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EDC\"/>
    </mc:Choice>
  </mc:AlternateContent>
  <xr:revisionPtr revIDLastSave="0" documentId="13_ncr:1_{295BF542-7E55-4536-8B10-71001D6DDC39}" xr6:coauthVersionLast="47" xr6:coauthVersionMax="47" xr10:uidLastSave="{00000000-0000-0000-0000-000000000000}"/>
  <bookViews>
    <workbookView xWindow="-60" yWindow="-60" windowWidth="28920" windowHeight="15720" firstSheet="6" activeTab="9" xr2:uid="{00000000-000D-0000-FFFF-FFFF00000000}"/>
  </bookViews>
  <sheets>
    <sheet name="EMR 수집" sheetId="1" r:id="rId1"/>
    <sheet name="baseline" sheetId="2" r:id="rId2"/>
    <sheet name="fu1" sheetId="3" r:id="rId3"/>
    <sheet name="fu2" sheetId="4" r:id="rId4"/>
    <sheet name="Query" sheetId="5" r:id="rId5"/>
    <sheet name="Exception" sheetId="6" r:id="rId6"/>
    <sheet name="Query_Rules" sheetId="7" r:id="rId7"/>
    <sheet name="PartB_Wide" sheetId="8" r:id="rId8"/>
    <sheet name="part B 변수목록 수정 - 송모세 검토" sheetId="9" r:id="rId9"/>
    <sheet name="part B 변수목록 수정_최종본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95" i="2" l="1"/>
  <c r="AF694" i="2"/>
  <c r="AF693" i="2"/>
  <c r="AF692" i="2"/>
  <c r="AF691" i="2"/>
  <c r="AF690" i="2"/>
  <c r="AF689" i="2"/>
  <c r="AF688" i="2"/>
  <c r="AF687" i="2"/>
  <c r="AF686" i="2"/>
  <c r="AF685" i="2"/>
  <c r="AF684" i="2"/>
  <c r="AF683" i="2"/>
  <c r="AF682" i="2"/>
  <c r="AF681" i="2"/>
  <c r="AF680" i="2"/>
  <c r="AF679" i="2"/>
  <c r="AF678" i="2"/>
  <c r="AF677" i="2"/>
  <c r="AF676" i="2"/>
  <c r="AF675" i="2"/>
  <c r="AF674" i="2"/>
  <c r="AF673" i="2"/>
  <c r="AF672" i="2"/>
  <c r="AF671" i="2"/>
  <c r="AF670" i="2"/>
  <c r="AF669" i="2"/>
  <c r="AF668" i="2"/>
  <c r="AF667" i="2"/>
  <c r="AF666" i="2"/>
  <c r="AF665" i="2"/>
  <c r="AF664" i="2"/>
  <c r="AF663" i="2"/>
  <c r="AF662" i="2"/>
  <c r="AF661" i="2"/>
  <c r="AF660" i="2"/>
  <c r="AF659" i="2"/>
  <c r="AF658" i="2"/>
  <c r="AF657" i="2"/>
  <c r="AF656" i="2"/>
  <c r="AF655" i="2"/>
  <c r="AF654" i="2"/>
  <c r="AF653" i="2"/>
  <c r="AF652" i="2"/>
  <c r="AF651" i="2"/>
  <c r="AF650" i="2"/>
  <c r="AF649" i="2"/>
  <c r="AF648" i="2"/>
  <c r="AF647" i="2"/>
  <c r="AF646" i="2"/>
  <c r="AF645" i="2"/>
  <c r="AF644" i="2"/>
  <c r="AF643" i="2"/>
  <c r="AF642" i="2"/>
  <c r="AF641" i="2"/>
  <c r="AF640" i="2"/>
  <c r="AF639" i="2"/>
  <c r="AF638" i="2"/>
  <c r="AF637" i="2"/>
  <c r="AF636" i="2"/>
  <c r="AF635" i="2"/>
  <c r="AF634" i="2"/>
  <c r="AF633" i="2"/>
  <c r="AF632" i="2"/>
  <c r="AF631" i="2"/>
  <c r="AF630" i="2"/>
  <c r="AF629" i="2"/>
  <c r="AF628" i="2"/>
  <c r="AF627" i="2"/>
  <c r="AF626" i="2"/>
  <c r="AF625" i="2"/>
  <c r="AF624" i="2"/>
  <c r="AF623" i="2"/>
  <c r="AF622" i="2"/>
  <c r="AF621" i="2"/>
  <c r="AF620" i="2"/>
  <c r="AF619" i="2"/>
  <c r="AF618" i="2"/>
  <c r="AF617" i="2"/>
  <c r="AF616" i="2"/>
  <c r="AF615" i="2"/>
  <c r="AF614" i="2"/>
  <c r="AF613" i="2"/>
  <c r="AF612" i="2"/>
  <c r="AF611" i="2"/>
  <c r="AF610" i="2"/>
  <c r="AF609" i="2"/>
  <c r="AF608" i="2"/>
  <c r="AF607" i="2"/>
  <c r="AF606" i="2"/>
  <c r="AF605" i="2"/>
  <c r="AF604" i="2"/>
  <c r="AF603" i="2"/>
  <c r="AF602" i="2"/>
  <c r="AF601" i="2"/>
  <c r="AF600" i="2"/>
  <c r="AF599" i="2"/>
  <c r="AF598" i="2"/>
  <c r="AF597" i="2"/>
  <c r="AF596" i="2"/>
  <c r="AF595" i="2"/>
  <c r="AF594" i="2"/>
  <c r="AF593" i="2"/>
  <c r="AF592" i="2"/>
  <c r="AF591" i="2"/>
  <c r="AF590" i="2"/>
  <c r="AF589" i="2"/>
  <c r="AF588" i="2"/>
  <c r="AF587" i="2"/>
  <c r="AF586" i="2"/>
  <c r="AF585" i="2"/>
  <c r="AF584" i="2"/>
  <c r="AF583" i="2"/>
  <c r="AF582" i="2"/>
  <c r="AF581" i="2"/>
  <c r="AF580" i="2"/>
  <c r="AF579" i="2"/>
  <c r="AF578" i="2"/>
  <c r="AF577" i="2"/>
  <c r="AF576" i="2"/>
  <c r="AF575" i="2"/>
  <c r="AF574" i="2"/>
  <c r="AF573" i="2"/>
  <c r="AF572" i="2"/>
  <c r="AF571" i="2"/>
  <c r="AF570" i="2"/>
  <c r="AF569" i="2"/>
  <c r="AF568" i="2"/>
  <c r="AF567" i="2"/>
  <c r="AF566" i="2"/>
  <c r="AF565" i="2"/>
  <c r="AF564" i="2"/>
  <c r="AF563" i="2"/>
  <c r="AF562" i="2"/>
  <c r="AF561" i="2"/>
  <c r="AF560" i="2"/>
  <c r="AF559" i="2"/>
  <c r="AF558" i="2"/>
  <c r="AF557" i="2"/>
  <c r="AF556" i="2"/>
  <c r="AF555" i="2"/>
  <c r="AF554" i="2"/>
  <c r="AF553" i="2"/>
  <c r="AF552" i="2"/>
  <c r="AF551" i="2"/>
  <c r="AF550" i="2"/>
  <c r="AF549" i="2"/>
  <c r="AF548" i="2"/>
  <c r="AF547" i="2"/>
  <c r="AF546" i="2"/>
  <c r="AF545" i="2"/>
  <c r="AF544" i="2"/>
  <c r="AF543" i="2"/>
  <c r="AF542" i="2"/>
  <c r="AF541" i="2"/>
  <c r="AF540" i="2"/>
  <c r="AF539" i="2"/>
  <c r="AF538" i="2"/>
  <c r="AF537" i="2"/>
  <c r="AF536" i="2"/>
  <c r="AF535" i="2"/>
  <c r="AF534" i="2"/>
  <c r="AF533" i="2"/>
  <c r="AF532" i="2"/>
  <c r="AF531" i="2"/>
  <c r="AF530" i="2"/>
  <c r="AF529" i="2"/>
  <c r="AF528" i="2"/>
  <c r="AF527" i="2"/>
  <c r="AF526" i="2"/>
  <c r="AF525" i="2"/>
  <c r="AF524" i="2"/>
  <c r="AF523" i="2"/>
  <c r="AF522" i="2"/>
  <c r="AF521" i="2"/>
  <c r="AF520" i="2"/>
  <c r="AF519" i="2"/>
  <c r="AF518" i="2"/>
  <c r="AF517" i="2"/>
  <c r="AF516" i="2"/>
  <c r="AF515" i="2"/>
  <c r="AF514" i="2"/>
  <c r="AF513" i="2"/>
  <c r="AF512" i="2"/>
  <c r="AF511" i="2"/>
  <c r="AF510" i="2"/>
  <c r="AF509" i="2"/>
  <c r="AF508" i="2"/>
  <c r="AF507" i="2"/>
  <c r="AF506" i="2"/>
  <c r="AF505" i="2"/>
  <c r="AF504" i="2"/>
  <c r="AF503" i="2"/>
  <c r="AF502" i="2"/>
  <c r="AF501" i="2"/>
  <c r="AF500" i="2"/>
  <c r="AF499" i="2"/>
  <c r="AF498" i="2"/>
  <c r="AF497" i="2"/>
  <c r="AF496" i="2"/>
  <c r="AF495" i="2"/>
  <c r="AF494" i="2"/>
  <c r="AF493" i="2"/>
  <c r="AF492" i="2"/>
  <c r="AF491" i="2"/>
  <c r="AF490" i="2"/>
  <c r="AF489" i="2"/>
  <c r="AF488" i="2"/>
  <c r="AF487" i="2"/>
  <c r="AF486" i="2"/>
  <c r="AF485" i="2"/>
  <c r="AF484" i="2"/>
  <c r="AF483" i="2"/>
  <c r="AF482" i="2"/>
  <c r="AF481" i="2"/>
  <c r="AF480" i="2"/>
  <c r="AF479" i="2"/>
  <c r="AF478" i="2"/>
  <c r="AF477" i="2"/>
  <c r="AF476" i="2"/>
  <c r="AF475" i="2"/>
  <c r="AF474" i="2"/>
  <c r="AF473" i="2"/>
  <c r="AF472" i="2"/>
  <c r="AF471" i="2"/>
  <c r="AF470" i="2"/>
  <c r="AF469" i="2"/>
  <c r="AF468" i="2"/>
  <c r="AF467" i="2"/>
  <c r="AF466" i="2"/>
  <c r="AF465" i="2"/>
  <c r="AF464" i="2"/>
  <c r="AF463" i="2"/>
  <c r="AF462" i="2"/>
  <c r="AF461" i="2"/>
  <c r="AF460" i="2"/>
  <c r="AF459" i="2"/>
  <c r="AF458" i="2"/>
  <c r="AF457" i="2"/>
  <c r="AF456" i="2"/>
  <c r="AF455" i="2"/>
  <c r="AF454" i="2"/>
  <c r="AF453" i="2"/>
  <c r="AF452" i="2"/>
  <c r="AF451" i="2"/>
  <c r="AF450" i="2"/>
  <c r="AF449" i="2"/>
  <c r="AF448" i="2"/>
  <c r="AF447" i="2"/>
  <c r="AF446" i="2"/>
  <c r="AF445" i="2"/>
  <c r="AF444" i="2"/>
  <c r="AF443" i="2"/>
  <c r="AF442" i="2"/>
  <c r="AF441" i="2"/>
  <c r="AF440" i="2"/>
  <c r="AF439" i="2"/>
  <c r="AF438" i="2"/>
  <c r="AF437" i="2"/>
  <c r="AF436" i="2"/>
  <c r="AF435" i="2"/>
  <c r="AF434" i="2"/>
  <c r="AF433" i="2"/>
  <c r="AF432" i="2"/>
  <c r="AF431" i="2"/>
  <c r="AF430" i="2"/>
  <c r="AF429" i="2"/>
  <c r="AF428" i="2"/>
  <c r="AF427" i="2"/>
  <c r="AF426" i="2"/>
  <c r="AF425" i="2"/>
  <c r="AF424" i="2"/>
  <c r="AF423" i="2"/>
  <c r="AF422" i="2"/>
  <c r="AF421" i="2"/>
  <c r="AF420" i="2"/>
  <c r="AF419" i="2"/>
  <c r="AF418" i="2"/>
  <c r="AF417" i="2"/>
  <c r="AF416" i="2"/>
  <c r="AF415" i="2"/>
  <c r="AF414" i="2"/>
  <c r="AF413" i="2"/>
  <c r="AF412" i="2"/>
  <c r="AF411" i="2"/>
  <c r="AF410" i="2"/>
  <c r="AF409" i="2"/>
  <c r="AF408" i="2"/>
  <c r="AF407" i="2"/>
  <c r="AF406" i="2"/>
  <c r="AF405" i="2"/>
  <c r="AF404" i="2"/>
  <c r="AF403" i="2"/>
  <c r="AF402" i="2"/>
  <c r="AF401" i="2"/>
  <c r="AF400" i="2"/>
  <c r="AF399" i="2"/>
  <c r="AF398" i="2"/>
  <c r="AF397" i="2"/>
  <c r="AF396" i="2"/>
  <c r="AF395" i="2"/>
  <c r="AF394" i="2"/>
  <c r="AF393" i="2"/>
  <c r="AF392" i="2"/>
  <c r="AF391" i="2"/>
  <c r="AF390" i="2"/>
  <c r="AF389" i="2"/>
  <c r="AF388" i="2"/>
  <c r="AF387" i="2"/>
  <c r="AF386" i="2"/>
  <c r="AF385" i="2"/>
  <c r="AF384" i="2"/>
  <c r="AF383" i="2"/>
  <c r="AF382" i="2"/>
  <c r="AF381" i="2"/>
  <c r="AF380" i="2"/>
  <c r="AF379" i="2"/>
  <c r="AF378" i="2"/>
  <c r="AF377" i="2"/>
  <c r="AF376" i="2"/>
  <c r="AF375" i="2"/>
  <c r="AF374" i="2"/>
  <c r="AF373" i="2"/>
  <c r="AF372" i="2"/>
  <c r="AF371" i="2"/>
  <c r="AF370" i="2"/>
  <c r="AF369" i="2"/>
  <c r="AF368" i="2"/>
  <c r="AF367" i="2"/>
  <c r="AF366" i="2"/>
  <c r="AF365" i="2"/>
  <c r="AF364" i="2"/>
  <c r="AF363" i="2"/>
  <c r="AF362" i="2"/>
  <c r="AF361" i="2"/>
  <c r="AF360" i="2"/>
  <c r="AF359" i="2"/>
  <c r="AF358" i="2"/>
  <c r="AF357" i="2"/>
  <c r="AF356" i="2"/>
  <c r="AF355" i="2"/>
  <c r="AF354" i="2"/>
  <c r="AF353" i="2"/>
  <c r="AF352" i="2"/>
  <c r="AF351" i="2"/>
  <c r="AF350" i="2"/>
  <c r="AF349" i="2"/>
  <c r="AF348" i="2"/>
  <c r="AF347" i="2"/>
  <c r="AF346" i="2"/>
  <c r="AF345" i="2"/>
  <c r="AF344" i="2"/>
  <c r="AF343" i="2"/>
  <c r="AF342" i="2"/>
  <c r="AF341" i="2"/>
  <c r="AF340" i="2"/>
  <c r="AF339" i="2"/>
  <c r="AF338" i="2"/>
  <c r="AF337" i="2"/>
  <c r="AF336" i="2"/>
  <c r="AF335" i="2"/>
  <c r="AF334" i="2"/>
  <c r="AF333" i="2"/>
  <c r="AF332" i="2"/>
  <c r="AF331" i="2"/>
  <c r="AF330" i="2"/>
  <c r="AF329" i="2"/>
  <c r="AF328" i="2"/>
  <c r="AF327" i="2"/>
  <c r="AF326" i="2"/>
  <c r="AF325" i="2"/>
  <c r="AF324" i="2"/>
  <c r="AF323" i="2"/>
  <c r="AF322" i="2"/>
  <c r="AF321" i="2"/>
  <c r="AF320" i="2"/>
  <c r="AF319" i="2"/>
  <c r="AF318" i="2"/>
  <c r="AF317" i="2"/>
  <c r="AF316" i="2"/>
  <c r="AF315" i="2"/>
  <c r="AF314" i="2"/>
  <c r="AF313" i="2"/>
  <c r="AF312" i="2"/>
  <c r="AF311" i="2"/>
  <c r="AF310" i="2"/>
  <c r="AF309" i="2"/>
  <c r="AF308" i="2"/>
  <c r="AF307" i="2"/>
  <c r="AF306" i="2"/>
  <c r="AF305" i="2"/>
  <c r="AF304" i="2"/>
  <c r="AF303" i="2"/>
  <c r="AF302" i="2"/>
  <c r="AF301" i="2"/>
  <c r="AF300" i="2"/>
  <c r="AF299" i="2"/>
  <c r="AF298" i="2"/>
  <c r="AF297" i="2"/>
  <c r="AF296" i="2"/>
  <c r="AF295" i="2"/>
  <c r="AF294" i="2"/>
  <c r="AF293" i="2"/>
  <c r="AF292" i="2"/>
  <c r="AF291" i="2"/>
  <c r="AF290" i="2"/>
  <c r="AF289" i="2"/>
  <c r="AF288" i="2"/>
  <c r="AF287" i="2"/>
  <c r="AF286" i="2"/>
  <c r="AF285" i="2"/>
  <c r="AF284" i="2"/>
  <c r="AF283" i="2"/>
  <c r="AF282" i="2"/>
  <c r="AF281" i="2"/>
  <c r="AF280" i="2"/>
  <c r="AF279" i="2"/>
  <c r="AF278" i="2"/>
  <c r="AF277" i="2"/>
  <c r="AF276" i="2"/>
  <c r="AF275" i="2"/>
  <c r="AF274" i="2"/>
  <c r="AF273" i="2"/>
  <c r="AF272" i="2"/>
  <c r="AF271" i="2"/>
  <c r="AF270" i="2"/>
  <c r="AF269" i="2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F243" i="2"/>
  <c r="AF242" i="2"/>
  <c r="AF241" i="2"/>
  <c r="AF240" i="2"/>
  <c r="AF239" i="2"/>
  <c r="AF238" i="2"/>
  <c r="AF237" i="2"/>
  <c r="AF236" i="2"/>
  <c r="AF235" i="2"/>
  <c r="AF234" i="2"/>
  <c r="AF233" i="2"/>
  <c r="AF232" i="2"/>
  <c r="AF231" i="2"/>
  <c r="AF230" i="2"/>
  <c r="AF229" i="2"/>
  <c r="AF228" i="2"/>
  <c r="AF227" i="2"/>
  <c r="AF226" i="2"/>
  <c r="AF225" i="2"/>
  <c r="AF224" i="2"/>
  <c r="AF223" i="2"/>
  <c r="AF222" i="2"/>
  <c r="AF221" i="2"/>
  <c r="AF220" i="2"/>
  <c r="AF219" i="2"/>
  <c r="AF218" i="2"/>
  <c r="AF217" i="2"/>
  <c r="AF216" i="2"/>
  <c r="AF215" i="2"/>
  <c r="AF214" i="2"/>
  <c r="AF213" i="2"/>
  <c r="AF212" i="2"/>
  <c r="AF211" i="2"/>
  <c r="AF210" i="2"/>
  <c r="AF209" i="2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AF196" i="2"/>
  <c r="AF195" i="2"/>
  <c r="AF194" i="2"/>
  <c r="AF193" i="2"/>
  <c r="AF192" i="2"/>
  <c r="AF191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1" i="2"/>
  <c r="AF160" i="2"/>
  <c r="AF159" i="2"/>
  <c r="AF158" i="2"/>
  <c r="AF157" i="2"/>
  <c r="AF156" i="2"/>
  <c r="AF155" i="2"/>
  <c r="AF154" i="2"/>
  <c r="AF153" i="2"/>
  <c r="AF152" i="2"/>
  <c r="AF151" i="2"/>
  <c r="AF150" i="2"/>
  <c r="AF149" i="2"/>
  <c r="AF148" i="2"/>
  <c r="AF147" i="2"/>
  <c r="AF146" i="2"/>
  <c r="AF145" i="2"/>
  <c r="AF144" i="2"/>
  <c r="AF143" i="2"/>
  <c r="AF142" i="2"/>
  <c r="AF141" i="2"/>
  <c r="AF140" i="2"/>
  <c r="AF139" i="2"/>
  <c r="AF138" i="2"/>
  <c r="AF137" i="2"/>
  <c r="AF136" i="2"/>
  <c r="AF135" i="2"/>
  <c r="AF134" i="2"/>
  <c r="AF133" i="2"/>
  <c r="AF132" i="2"/>
  <c r="AF131" i="2"/>
  <c r="AF130" i="2"/>
  <c r="AF129" i="2"/>
  <c r="AF128" i="2"/>
  <c r="AF127" i="2"/>
  <c r="AF126" i="2"/>
  <c r="AF125" i="2"/>
  <c r="AF124" i="2"/>
  <c r="AF123" i="2"/>
  <c r="AF122" i="2"/>
  <c r="AF121" i="2"/>
  <c r="AF120" i="2"/>
  <c r="AF119" i="2"/>
  <c r="AF118" i="2"/>
  <c r="AF117" i="2"/>
  <c r="AF116" i="2"/>
  <c r="AF115" i="2"/>
  <c r="AF114" i="2"/>
  <c r="AF113" i="2"/>
  <c r="AF112" i="2"/>
  <c r="AF111" i="2"/>
  <c r="AF110" i="2"/>
  <c r="AF109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91" i="2"/>
  <c r="AF90" i="2"/>
  <c r="AF89" i="2"/>
  <c r="AF88" i="2"/>
  <c r="AF87" i="2"/>
  <c r="AF86" i="2"/>
  <c r="AF85" i="2"/>
  <c r="AF84" i="2"/>
  <c r="AF83" i="2"/>
  <c r="AF82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8" i="2"/>
  <c r="E96" i="1"/>
  <c r="D96" i="1"/>
  <c r="C96" i="1"/>
  <c r="E78" i="1"/>
  <c r="D78" i="1"/>
  <c r="C78" i="1"/>
  <c r="E68" i="1"/>
  <c r="D68" i="1"/>
  <c r="C68" i="1"/>
  <c r="E55" i="1"/>
  <c r="D55" i="1"/>
  <c r="C55" i="1"/>
  <c r="E36" i="1"/>
  <c r="D36" i="1"/>
  <c r="C36" i="1"/>
  <c r="E28" i="1"/>
  <c r="D28" i="1"/>
  <c r="C28" i="1"/>
  <c r="E24" i="1"/>
  <c r="D24" i="1"/>
  <c r="C24" i="1"/>
  <c r="E12" i="1"/>
  <c r="D12" i="1"/>
  <c r="C12" i="1"/>
  <c r="H6" i="1"/>
  <c r="H5" i="1"/>
  <c r="H4" i="1"/>
  <c r="H3" i="1" s="1"/>
  <c r="H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" authorId="0" shapeId="0" xr:uid="{00000000-0006-0000-0000-00003C000000}">
      <text>
        <r>
          <rPr>
            <sz val="10"/>
            <color rgb="FF000000"/>
            <rFont val="Arial"/>
            <scheme val="minor"/>
          </rPr>
          <t>새 대상자를 시작할 때 대상자 번호를 입력하고 Enter를 누르세요.</t>
        </r>
      </text>
    </comment>
    <comment ref="B5" authorId="0" shapeId="0" xr:uid="{00000000-0006-0000-0000-000050000000}">
      <text>
        <r>
          <rPr>
            <sz val="10"/>
            <color rgb="FF000000"/>
            <rFont val="Arial"/>
            <scheme val="minor"/>
          </rPr>
          <t>[eCRF Query]
[DateFormat] vdt은(는) yyyy-mm-dd 형식으로 입력해야 합니다. 현재값: 2026. 1. 1</t>
        </r>
      </text>
    </comment>
    <comment ref="B6" authorId="0" shapeId="0" xr:uid="{00000000-0006-0000-0000-000012000000}">
      <text>
        <r>
          <rPr>
            <sz val="10"/>
            <color rgb="FF000000"/>
            <rFont val="Arial"/>
            <scheme val="minor"/>
          </rPr>
          <t>[eCRF Query]
[DateFormat] vdt은(는) yyyy-mm-dd 형식으로 입력해야 합니다. 현재값: 2026. 2. 2</t>
        </r>
      </text>
    </comment>
    <comment ref="B7" authorId="0" shapeId="0" xr:uid="{00000000-0006-0000-0000-000022000000}">
      <text>
        <r>
          <rPr>
            <sz val="10"/>
            <color rgb="FF000000"/>
            <rFont val="Arial"/>
            <scheme val="minor"/>
          </rPr>
          <t>[eCRF Query]
[DateFormat] vdt은(는) yyyy-mm-dd 형식으로 입력해야 합니다. 현재값: 2026. 3. 3</t>
        </r>
      </text>
    </comment>
    <comment ref="C13" authorId="0" shapeId="0" xr:uid="{00000000-0006-0000-0000-00004A000000}">
      <text>
        <r>
          <rPr>
            <sz val="10"/>
            <color rgb="FF000000"/>
            <rFont val="Arial"/>
            <scheme val="minor"/>
          </rPr>
          <t>[eCRF Query]
[Missing] sex은(는) 필수 Category 입력 항목입니다.</t>
        </r>
      </text>
    </comment>
    <comment ref="C14" authorId="0" shapeId="0" xr:uid="{00000000-0006-0000-0000-00000D000000}">
      <text>
        <r>
          <rPr>
            <sz val="10"/>
            <color rgb="FF000000"/>
            <rFont val="Arial"/>
            <scheme val="minor"/>
          </rPr>
          <t>[eCRF Query]
[Missing] age은(는) 필수 Category 입력 항목입니다.</t>
        </r>
      </text>
    </comment>
    <comment ref="D14" authorId="0" shapeId="0" xr:uid="{00000000-0006-0000-0000-00000F000000}">
      <text>
        <r>
          <rPr>
            <sz val="10"/>
            <color rgb="FF000000"/>
            <rFont val="Arial"/>
            <scheme val="minor"/>
          </rPr>
          <t>[eCRF Query]
[Missing] age은(는) 필수 Category 입력 항목입니다.</t>
        </r>
      </text>
    </comment>
    <comment ref="E14" authorId="0" shapeId="0" xr:uid="{00000000-0006-0000-0000-000010000000}">
      <text>
        <r>
          <rPr>
            <sz val="10"/>
            <color rgb="FF000000"/>
            <rFont val="Arial"/>
            <scheme val="minor"/>
          </rPr>
          <t>[eCRF Query]
[Missing] age은(는) 필수 Category 입력 항목입니다.</t>
        </r>
      </text>
    </comment>
    <comment ref="C15" authorId="0" shapeId="0" xr:uid="{00000000-0006-0000-0000-00001F000000}">
      <text>
        <r>
          <rPr>
            <sz val="10"/>
            <color rgb="FF000000"/>
            <rFont val="Arial"/>
            <scheme val="minor"/>
          </rPr>
          <t>[eCRF Query]
[Missing] edu은(는) 필수 Category 입력 항목입니다.</t>
        </r>
      </text>
    </comment>
    <comment ref="C16" authorId="0" shapeId="0" xr:uid="{00000000-0006-0000-0000-000032000000}">
      <text>
        <r>
          <rPr>
            <sz val="10"/>
            <color rgb="FF000000"/>
            <rFont val="Arial"/>
            <scheme val="minor"/>
          </rPr>
          <t>[eCRF Query]
[Missing] dth은(는) 필수 Category 입력 항목입니다.</t>
        </r>
      </text>
    </comment>
    <comment ref="D16" authorId="0" shapeId="0" xr:uid="{00000000-0006-0000-0000-000034000000}">
      <text>
        <r>
          <rPr>
            <sz val="10"/>
            <color rgb="FF000000"/>
            <rFont val="Arial"/>
            <scheme val="minor"/>
          </rPr>
          <t>[eCRF Query]
[Missing] dth은(는) 필수 Category 입력 항목입니다.</t>
        </r>
      </text>
    </comment>
    <comment ref="E16" authorId="0" shapeId="0" xr:uid="{00000000-0006-0000-0000-000035000000}">
      <text>
        <r>
          <rPr>
            <sz val="10"/>
            <color rgb="FF000000"/>
            <rFont val="Arial"/>
            <scheme val="minor"/>
          </rPr>
          <t>[eCRF Query]
[Missing] dth은(는) 필수 Category 입력 항목입니다.</t>
        </r>
      </text>
    </comment>
    <comment ref="C18" authorId="0" shapeId="0" xr:uid="{00000000-0006-0000-0000-000009000000}">
      <text>
        <r>
          <rPr>
            <sz val="10"/>
            <color rgb="FF000000"/>
            <rFont val="Arial"/>
            <scheme val="minor"/>
          </rPr>
          <t>[eCRF Query]
[Missing] smk은(는) 필수 Category 입력 항목입니다.</t>
        </r>
      </text>
    </comment>
    <comment ref="C25" authorId="0" shapeId="0" xr:uid="{00000000-0006-0000-0000-000044000000}">
      <text>
        <r>
          <rPr>
            <sz val="10"/>
            <color rgb="FF000000"/>
            <rFont val="Arial"/>
            <scheme val="minor"/>
          </rPr>
          <t>[eCRF Query]
[Missing] exl은(는) 필수 Category 입력 항목입니다.</t>
        </r>
      </text>
    </comment>
    <comment ref="C29" authorId="0" shapeId="0" xr:uid="{00000000-0006-0000-0000-000043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C30" authorId="0" shapeId="0" xr:uid="{00000000-0006-0000-0000-000002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C31" authorId="0" shapeId="0" xr:uid="{00000000-0006-0000-0000-000016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D31" authorId="0" shapeId="0" xr:uid="{00000000-0006-0000-0000-000017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E31" authorId="0" shapeId="0" xr:uid="{00000000-0006-0000-0000-000018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C32" authorId="0" shapeId="0" xr:uid="{00000000-0006-0000-0000-000028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D32" authorId="0" shapeId="0" xr:uid="{00000000-0006-0000-0000-000029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E32" authorId="0" shapeId="0" xr:uid="{00000000-0006-0000-0000-00002A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C33" authorId="0" shapeId="0" xr:uid="{00000000-0006-0000-0000-00003E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D33" authorId="0" shapeId="0" xr:uid="{00000000-0006-0000-0000-000040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E33" authorId="0" shapeId="0" xr:uid="{00000000-0006-0000-0000-000041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C57" authorId="0" shapeId="0" xr:uid="{00000000-0006-0000-0000-00002C000000}">
      <text>
        <r>
          <rPr>
            <sz val="10"/>
            <color rgb="FF000000"/>
            <rFont val="Arial"/>
            <scheme val="minor"/>
          </rPr>
          <t>[eCRF Query]
[Missing] dmdt은(는) 현재 조건에서 입력이 필요합니다.</t>
        </r>
      </text>
    </comment>
    <comment ref="C59" authorId="0" shapeId="0" xr:uid="{00000000-0006-0000-0000-000003000000}">
      <text>
        <r>
          <rPr>
            <sz val="10"/>
            <color rgb="FF000000"/>
            <rFont val="Arial"/>
            <scheme val="minor"/>
          </rPr>
          <t>[eCRF Query]
[Missing] htn은(는) 필수 Category 입력 항목입니다.</t>
        </r>
      </text>
    </comment>
    <comment ref="C60" authorId="0" shapeId="0" xr:uid="{00000000-0006-0000-0000-000019000000}">
      <text>
        <r>
          <rPr>
            <sz val="10"/>
            <color rgb="FF000000"/>
            <rFont val="Arial"/>
            <scheme val="minor"/>
          </rPr>
          <t>[eCRF Query]
[Missing] chd은(는) 필수 Category 입력 항목입니다.</t>
        </r>
      </text>
    </comment>
    <comment ref="C61" authorId="0" shapeId="0" xr:uid="{00000000-0006-0000-0000-00002B000000}">
      <text>
        <r>
          <rPr>
            <sz val="10"/>
            <color rgb="FF000000"/>
            <rFont val="Arial"/>
            <scheme val="minor"/>
          </rPr>
          <t>[eCRF Query]
[Missing] ckd은(는) 필수 Category 입력 항목입니다.</t>
        </r>
      </text>
    </comment>
    <comment ref="C62" authorId="0" shapeId="0" xr:uid="{00000000-0006-0000-0000-000042000000}">
      <text>
        <r>
          <rPr>
            <sz val="10"/>
            <color rgb="FF000000"/>
            <rFont val="Arial"/>
            <scheme val="minor"/>
          </rPr>
          <t>[eCRF Query]
[Missing] neph은(는) 필수 Category 입력 항목입니다.</t>
        </r>
      </text>
    </comment>
    <comment ref="C63" authorId="0" shapeId="0" xr:uid="{00000000-0006-0000-0000-000001000000}">
      <text>
        <r>
          <rPr>
            <sz val="10"/>
            <color rgb="FF000000"/>
            <rFont val="Arial"/>
            <scheme val="minor"/>
          </rPr>
          <t>[eCRF Query]
[Missing] neur은(는) 필수 Category 입력 항목입니다.</t>
        </r>
      </text>
    </comment>
    <comment ref="C64" authorId="0" shapeId="0" xr:uid="{00000000-0006-0000-0000-000015000000}">
      <text>
        <r>
          <rPr>
            <sz val="10"/>
            <color rgb="FF000000"/>
            <rFont val="Arial"/>
            <scheme val="minor"/>
          </rPr>
          <t>[eCRF Query]
[Missing] pvd은(는) 필수 Category 입력 항목입니다.</t>
        </r>
      </text>
    </comment>
    <comment ref="C65" authorId="0" shapeId="0" xr:uid="{00000000-0006-0000-0000-000027000000}">
      <text>
        <r>
          <rPr>
            <sz val="10"/>
            <color rgb="FF000000"/>
            <rFont val="Arial"/>
            <scheme val="minor"/>
          </rPr>
          <t>[eCRF Query]
[Missing] esrd은(는) 필수 Category 입력 항목입니다.</t>
        </r>
      </text>
    </comment>
    <comment ref="C69" authorId="0" shapeId="0" xr:uid="{00000000-0006-0000-0000-000024000000}">
      <text>
        <r>
          <rPr>
            <sz val="10"/>
            <color rgb="FF000000"/>
            <rFont val="Arial"/>
            <scheme val="minor"/>
          </rPr>
          <t>[eCRF Query]
[Missing] angio은(는) 필수 Category 입력 항목입니다.</t>
        </r>
      </text>
    </comment>
    <comment ref="D69" authorId="0" shapeId="0" xr:uid="{00000000-0006-0000-0000-000025000000}">
      <text>
        <r>
          <rPr>
            <sz val="10"/>
            <color rgb="FF000000"/>
            <rFont val="Arial"/>
            <scheme val="minor"/>
          </rPr>
          <t>[eCRF Query]
[Missing] angio은(는) 필수 Category 입력 항목입니다.</t>
        </r>
      </text>
    </comment>
    <comment ref="E69" authorId="0" shapeId="0" xr:uid="{00000000-0006-0000-0000-000026000000}">
      <text>
        <r>
          <rPr>
            <sz val="10"/>
            <color rgb="FF000000"/>
            <rFont val="Arial"/>
            <scheme val="minor"/>
          </rPr>
          <t>[eCRF Query]
[Missing] angio은(는) 필수 Category 입력 항목입니다.</t>
        </r>
      </text>
    </comment>
    <comment ref="C70" authorId="0" shapeId="0" xr:uid="{00000000-0006-0000-0000-000038000000}">
      <text>
        <r>
          <rPr>
            <sz val="10"/>
            <color rgb="FF000000"/>
            <rFont val="Arial"/>
            <scheme val="minor"/>
          </rPr>
          <t>[eCRF Query]
[Missing] pta은(는) 필수 Category 입력 항목입니다.</t>
        </r>
      </text>
    </comment>
    <comment ref="D70" authorId="0" shapeId="0" xr:uid="{00000000-0006-0000-0000-000039000000}">
      <text>
        <r>
          <rPr>
            <sz val="10"/>
            <color rgb="FF000000"/>
            <rFont val="Arial"/>
            <scheme val="minor"/>
          </rPr>
          <t>[eCRF Query]
[Missing] pta은(는) 필수 Category 입력 항목입니다.</t>
        </r>
      </text>
    </comment>
    <comment ref="E70" authorId="0" shapeId="0" xr:uid="{00000000-0006-0000-0000-00003A000000}">
      <text>
        <r>
          <rPr>
            <sz val="10"/>
            <color rgb="FF000000"/>
            <rFont val="Arial"/>
            <scheme val="minor"/>
          </rPr>
          <t>[eCRF Query]
[Missing] pta은(는) 필수 Category 입력 항목입니다.</t>
        </r>
      </text>
    </comment>
    <comment ref="C71" authorId="0" shapeId="0" xr:uid="{00000000-0006-0000-0000-00004F000000}">
      <text>
        <r>
          <rPr>
            <sz val="10"/>
            <color rgb="FF000000"/>
            <rFont val="Arial"/>
            <scheme val="minor"/>
          </rPr>
          <t>[eCRF Query]
[Missing] off은(는) 필수 Category 입력 항목입니다.</t>
        </r>
      </text>
    </comment>
    <comment ref="C72" authorId="0" shapeId="0" xr:uid="{00000000-0006-0000-0000-000011000000}">
      <text>
        <r>
          <rPr>
            <sz val="10"/>
            <color rgb="FF000000"/>
            <rFont val="Arial"/>
            <scheme val="minor"/>
          </rPr>
          <t>[eCRF Query]
[Missing] abx은(는) 필수 Category 입력 항목입니다.</t>
        </r>
      </text>
    </comment>
    <comment ref="C73" authorId="0" shapeId="0" xr:uid="{00000000-0006-0000-0000-000021000000}">
      <text>
        <r>
          <rPr>
            <sz val="10"/>
            <color rgb="FF000000"/>
            <rFont val="Arial"/>
            <scheme val="minor"/>
          </rPr>
          <t>[eCRF Query]
[Missing] insulin은(는) 필수 Category 입력 항목입니다.</t>
        </r>
      </text>
    </comment>
    <comment ref="C74" authorId="0" shapeId="0" xr:uid="{00000000-0006-0000-0000-000036000000}">
      <text>
        <r>
          <rPr>
            <sz val="10"/>
            <color rgb="FF000000"/>
            <rFont val="Arial"/>
            <scheme val="minor"/>
          </rPr>
          <t>[eCRF Query]
[Missing] dmm은(는) 필수 Category 입력 항목입니다.</t>
        </r>
      </text>
    </comment>
    <comment ref="C75" authorId="0" shapeId="0" xr:uid="{00000000-0006-0000-0000-00004C000000}">
      <text>
        <r>
          <rPr>
            <sz val="10"/>
            <color rgb="FF000000"/>
            <rFont val="Arial"/>
            <scheme val="minor"/>
          </rPr>
          <t>[eCRF Query]
[Missing] img2d은(는) 필수 Category 입력 항목입니다.</t>
        </r>
      </text>
    </comment>
    <comment ref="D75" authorId="0" shapeId="0" xr:uid="{00000000-0006-0000-0000-00004D000000}">
      <text>
        <r>
          <rPr>
            <sz val="10"/>
            <color rgb="FF000000"/>
            <rFont val="Arial"/>
            <scheme val="minor"/>
          </rPr>
          <t>[eCRF Query]
[Missing] img2d은(는) 현재 조건에서 입력이 필요합니다.</t>
        </r>
      </text>
    </comment>
    <comment ref="E75" authorId="0" shapeId="0" xr:uid="{00000000-0006-0000-0000-00004E000000}">
      <text>
        <r>
          <rPr>
            <sz val="10"/>
            <color rgb="FF000000"/>
            <rFont val="Arial"/>
            <scheme val="minor"/>
          </rPr>
          <t>[eCRF Query]
[Missing] img2d은(는) 현재 조건에서 입력이 필요합니다.</t>
        </r>
      </text>
    </comment>
    <comment ref="C79" authorId="0" shapeId="0" xr:uid="{00000000-0006-0000-0000-000048000000}">
      <text>
        <r>
          <rPr>
            <sz val="10"/>
            <color rgb="FF000000"/>
            <rFont val="Arial"/>
            <scheme val="minor"/>
          </rPr>
          <t>[eCRF Query]
[Missing] dfu은(는) 필수 Category 입력 항목입니다.</t>
        </r>
      </text>
    </comment>
    <comment ref="D79" authorId="0" shapeId="0" xr:uid="{00000000-0006-0000-0000-000049000000}">
      <text>
        <r>
          <rPr>
            <sz val="10"/>
            <color rgb="FF000000"/>
            <rFont val="Arial"/>
            <scheme val="minor"/>
          </rPr>
          <t>[eCRF Query]
[Missing] dfu은(는) 필수 Category 입력 항목입니다.</t>
        </r>
      </text>
    </comment>
    <comment ref="E79" authorId="0" shapeId="0" xr:uid="{00000000-0006-0000-0000-00004B000000}">
      <text>
        <r>
          <rPr>
            <sz val="10"/>
            <color rgb="FF000000"/>
            <rFont val="Arial"/>
            <scheme val="minor"/>
          </rPr>
          <t>[eCRF Query]
[Missing] dfu은(는) 필수 Category 입력 항목입니다.</t>
        </r>
      </text>
    </comment>
    <comment ref="C80" authorId="0" shapeId="0" xr:uid="{00000000-0006-0000-0000-00000B000000}">
      <text>
        <r>
          <rPr>
            <sz val="10"/>
            <color rgb="FF000000"/>
            <rFont val="Arial"/>
            <scheme val="minor"/>
          </rPr>
          <t>[eCRF Query]
[Missing] wag은(는) 필수 Category 입력 항목입니다.</t>
        </r>
      </text>
    </comment>
    <comment ref="D80" authorId="0" shapeId="0" xr:uid="{00000000-0006-0000-0000-00000C000000}">
      <text>
        <r>
          <rPr>
            <sz val="10"/>
            <color rgb="FF000000"/>
            <rFont val="Arial"/>
            <scheme val="minor"/>
          </rPr>
          <t>[eCRF Query]
[Missing] wag은(는) 필수 Category 입력 항목입니다.</t>
        </r>
      </text>
    </comment>
    <comment ref="E80" authorId="0" shapeId="0" xr:uid="{00000000-0006-0000-0000-00000E000000}">
      <text>
        <r>
          <rPr>
            <sz val="10"/>
            <color rgb="FF000000"/>
            <rFont val="Arial"/>
            <scheme val="minor"/>
          </rPr>
          <t>[eCRF Query]
[Missing] wag은(는) 필수 Category 입력 항목입니다.</t>
        </r>
      </text>
    </comment>
    <comment ref="C81" authorId="0" shapeId="0" xr:uid="{00000000-0006-0000-0000-00001D000000}">
      <text>
        <r>
          <rPr>
            <sz val="10"/>
            <color rgb="FF000000"/>
            <rFont val="Arial"/>
            <scheme val="minor"/>
          </rPr>
          <t>[eCRF Query]
[Missing] snb_site은(는) 필수 Category 입력 항목입니다.</t>
        </r>
      </text>
    </comment>
    <comment ref="D81" authorId="0" shapeId="0" xr:uid="{00000000-0006-0000-0000-00001E000000}">
      <text>
        <r>
          <rPr>
            <sz val="10"/>
            <color rgb="FF000000"/>
            <rFont val="Arial"/>
            <scheme val="minor"/>
          </rPr>
          <t>[eCRF Query]
[Missing] snb_site은(는) 필수 Category 입력 항목입니다.</t>
        </r>
      </text>
    </comment>
    <comment ref="E81" authorId="0" shapeId="0" xr:uid="{00000000-0006-0000-0000-000020000000}">
      <text>
        <r>
          <rPr>
            <sz val="10"/>
            <color rgb="FF000000"/>
            <rFont val="Arial"/>
            <scheme val="minor"/>
          </rPr>
          <t>[eCRF Query]
[Missing] snb_site은(는) 필수 Category 입력 항목입니다.</t>
        </r>
      </text>
    </comment>
    <comment ref="C82" authorId="0" shapeId="0" xr:uid="{00000000-0006-0000-0000-000030000000}">
      <text>
        <r>
          <rPr>
            <sz val="10"/>
            <color rgb="FF000000"/>
            <rFont val="Arial"/>
            <scheme val="minor"/>
          </rPr>
          <t>[eCRF Query]
[Missing] snb_isc은(는) 필수 Category 입력 항목입니다.</t>
        </r>
      </text>
    </comment>
    <comment ref="D82" authorId="0" shapeId="0" xr:uid="{00000000-0006-0000-0000-000031000000}">
      <text>
        <r>
          <rPr>
            <sz val="10"/>
            <color rgb="FF000000"/>
            <rFont val="Arial"/>
            <scheme val="minor"/>
          </rPr>
          <t>[eCRF Query]
[Missing] snb_isc은(는) 필수 Category 입력 항목입니다.</t>
        </r>
      </text>
    </comment>
    <comment ref="E82" authorId="0" shapeId="0" xr:uid="{00000000-0006-0000-0000-000033000000}">
      <text>
        <r>
          <rPr>
            <sz val="10"/>
            <color rgb="FF000000"/>
            <rFont val="Arial"/>
            <scheme val="minor"/>
          </rPr>
          <t>[eCRF Query]
[Missing] snb_isc은(는) 필수 Category 입력 항목입니다.</t>
        </r>
      </text>
    </comment>
    <comment ref="C83" authorId="0" shapeId="0" xr:uid="{00000000-0006-0000-0000-000045000000}">
      <text>
        <r>
          <rPr>
            <sz val="10"/>
            <color rgb="FF000000"/>
            <rFont val="Arial"/>
            <scheme val="minor"/>
          </rPr>
          <t>[eCRF Query]
[Missing] snb_neuro은(는) 필수 Category 입력 항목입니다.</t>
        </r>
      </text>
    </comment>
    <comment ref="D83" authorId="0" shapeId="0" xr:uid="{00000000-0006-0000-0000-000046000000}">
      <text>
        <r>
          <rPr>
            <sz val="10"/>
            <color rgb="FF000000"/>
            <rFont val="Arial"/>
            <scheme val="minor"/>
          </rPr>
          <t>[eCRF Query]
[Missing] snb_neuro은(는) 필수 Category 입력 항목입니다.</t>
        </r>
      </text>
    </comment>
    <comment ref="E83" authorId="0" shapeId="0" xr:uid="{00000000-0006-0000-0000-000047000000}">
      <text>
        <r>
          <rPr>
            <sz val="10"/>
            <color rgb="FF000000"/>
            <rFont val="Arial"/>
            <scheme val="minor"/>
          </rPr>
          <t>[eCRF Query]
[Missing] snb_neuro은(는) 필수 Category 입력 항목입니다.</t>
        </r>
      </text>
    </comment>
    <comment ref="C84" authorId="0" shapeId="0" xr:uid="{00000000-0006-0000-0000-000007000000}">
      <text>
        <r>
          <rPr>
            <sz val="10"/>
            <color rgb="FF000000"/>
            <rFont val="Arial"/>
            <scheme val="minor"/>
          </rPr>
          <t>[eCRF Query]
[Missing] snb_bac은(는) 필수 Category 입력 항목입니다.</t>
        </r>
      </text>
    </comment>
    <comment ref="D84" authorId="0" shapeId="0" xr:uid="{00000000-0006-0000-0000-000008000000}">
      <text>
        <r>
          <rPr>
            <sz val="10"/>
            <color rgb="FF000000"/>
            <rFont val="Arial"/>
            <scheme val="minor"/>
          </rPr>
          <t>[eCRF Query]
[Missing] snb_bac은(는) 필수 Category 입력 항목입니다.</t>
        </r>
      </text>
    </comment>
    <comment ref="E84" authorId="0" shapeId="0" xr:uid="{00000000-0006-0000-0000-00000A000000}">
      <text>
        <r>
          <rPr>
            <sz val="10"/>
            <color rgb="FF000000"/>
            <rFont val="Arial"/>
            <scheme val="minor"/>
          </rPr>
          <t>[eCRF Query]
[Missing] snb_bac은(는) 필수 Category 입력 항목입니다.</t>
        </r>
      </text>
    </comment>
    <comment ref="C85" authorId="0" shapeId="0" xr:uid="{00000000-0006-0000-0000-00001A000000}">
      <text>
        <r>
          <rPr>
            <sz val="10"/>
            <color rgb="FF000000"/>
            <rFont val="Arial"/>
            <scheme val="minor"/>
          </rPr>
          <t>[eCRF Query]
[Missing] snb_area은(는) 필수 Category 입력 항목입니다.</t>
        </r>
      </text>
    </comment>
    <comment ref="D85" authorId="0" shapeId="0" xr:uid="{00000000-0006-0000-0000-00001B000000}">
      <text>
        <r>
          <rPr>
            <sz val="10"/>
            <color rgb="FF000000"/>
            <rFont val="Arial"/>
            <scheme val="minor"/>
          </rPr>
          <t>[eCRF Query]
[Missing] snb_area은(는) 필수 Category 입력 항목입니다.</t>
        </r>
      </text>
    </comment>
    <comment ref="E85" authorId="0" shapeId="0" xr:uid="{00000000-0006-0000-0000-00001C000000}">
      <text>
        <r>
          <rPr>
            <sz val="10"/>
            <color rgb="FF000000"/>
            <rFont val="Arial"/>
            <scheme val="minor"/>
          </rPr>
          <t>[eCRF Query]
[Missing] snb_area은(는) 필수 Category 입력 항목입니다.</t>
        </r>
      </text>
    </comment>
    <comment ref="C86" authorId="0" shapeId="0" xr:uid="{00000000-0006-0000-0000-00002D000000}">
      <text>
        <r>
          <rPr>
            <sz val="10"/>
            <color rgb="FF000000"/>
            <rFont val="Arial"/>
            <scheme val="minor"/>
          </rPr>
          <t>[eCRF Query]
[Missing] snb_depth은(는) 필수 Category 입력 항목입니다.</t>
        </r>
      </text>
    </comment>
    <comment ref="D86" authorId="0" shapeId="0" xr:uid="{00000000-0006-0000-0000-00002E000000}">
      <text>
        <r>
          <rPr>
            <sz val="10"/>
            <color rgb="FF000000"/>
            <rFont val="Arial"/>
            <scheme val="minor"/>
          </rPr>
          <t>[eCRF Query]
[Missing] snb_depth은(는) 필수 Category 입력 항목입니다.</t>
        </r>
      </text>
    </comment>
    <comment ref="E86" authorId="0" shapeId="0" xr:uid="{00000000-0006-0000-0000-00002F000000}">
      <text>
        <r>
          <rPr>
            <sz val="10"/>
            <color rgb="FF000000"/>
            <rFont val="Arial"/>
            <scheme val="minor"/>
          </rPr>
          <t>[eCRF Query]
[Missing] snb_depth은(는) 필수 Category 입력 항목입니다.</t>
        </r>
      </text>
    </comment>
    <comment ref="C88" authorId="0" shapeId="0" xr:uid="{00000000-0006-0000-0000-000004000000}">
      <text>
        <r>
          <rPr>
            <sz val="10"/>
            <color rgb="FF000000"/>
            <rFont val="Arial"/>
            <scheme val="minor"/>
          </rPr>
          <t>[eCRF Query]
[Missing] dfu_wnd은(는) 필수 Category 입력 항목입니다.</t>
        </r>
      </text>
    </comment>
    <comment ref="D88" authorId="0" shapeId="0" xr:uid="{00000000-0006-0000-0000-000005000000}">
      <text>
        <r>
          <rPr>
            <sz val="10"/>
            <color rgb="FF000000"/>
            <rFont val="Arial"/>
            <scheme val="minor"/>
          </rPr>
          <t>[eCRF Query]
[Missing] dfu_wnd은(는) 필수 Category 입력 항목입니다.</t>
        </r>
      </text>
    </comment>
    <comment ref="E88" authorId="0" shapeId="0" xr:uid="{00000000-0006-0000-0000-000006000000}">
      <text>
        <r>
          <rPr>
            <sz val="10"/>
            <color rgb="FF000000"/>
            <rFont val="Arial"/>
            <scheme val="minor"/>
          </rPr>
          <t>[eCRF Query]
[Missing] dfu_wnd은(는) 필수 Category 입력 항목입니다.</t>
        </r>
      </text>
    </comment>
    <comment ref="C97" authorId="0" shapeId="0" xr:uid="{00000000-0006-0000-0000-000014000000}">
      <text>
        <r>
          <rPr>
            <sz val="10"/>
            <color rgb="FF000000"/>
            <rFont val="Arial"/>
            <scheme val="minor"/>
          </rPr>
          <t>[eCRF Query]
[Missing] occl은(는) 필수 Category 입력 항목입니다.</t>
        </r>
      </text>
    </comment>
    <comment ref="C99" authorId="0" shapeId="0" xr:uid="{00000000-0006-0000-0000-00003B000000}">
      <text>
        <r>
          <rPr>
            <sz val="10"/>
            <color rgb="FF000000"/>
            <rFont val="Arial"/>
            <scheme val="minor"/>
          </rPr>
          <t>[eCRF Query]
[Missing] amp_lt은(는) 필수 Category 입력 항목입니다.</t>
        </r>
      </text>
    </comment>
    <comment ref="D99" authorId="0" shapeId="0" xr:uid="{00000000-0006-0000-0000-00003D000000}">
      <text>
        <r>
          <rPr>
            <sz val="10"/>
            <color rgb="FF000000"/>
            <rFont val="Arial"/>
            <scheme val="minor"/>
          </rPr>
          <t>[eCRF Query]
[Missing] amp_lt은(는) 필수 Category 입력 항목입니다.</t>
        </r>
      </text>
    </comment>
    <comment ref="E99" authorId="0" shapeId="0" xr:uid="{00000000-0006-0000-0000-00003F000000}">
      <text>
        <r>
          <rPr>
            <sz val="10"/>
            <color rgb="FF000000"/>
            <rFont val="Arial"/>
            <scheme val="minor"/>
          </rPr>
          <t>[eCRF Query]
[Missing] amp_lt은(는) 필수 Category 입력 항목입니다.</t>
        </r>
      </text>
    </comment>
    <comment ref="C101" authorId="0" shapeId="0" xr:uid="{00000000-0006-0000-0000-000013000000}">
      <text>
        <r>
          <rPr>
            <sz val="10"/>
            <color rgb="FF000000"/>
            <rFont val="Arial"/>
            <scheme val="minor"/>
          </rPr>
          <t>[eCRF Query]
[Missing] cc_lops은(는) 필수 Category 입력 항목입니다.</t>
        </r>
      </text>
    </comment>
    <comment ref="C102" authorId="0" shapeId="0" xr:uid="{00000000-0006-0000-0000-000023000000}">
      <text>
        <r>
          <rPr>
            <sz val="10"/>
            <color rgb="FF000000"/>
            <rFont val="Arial"/>
            <scheme val="minor"/>
          </rPr>
          <t>[eCRF Query]
[Missing] cc_pad은(는) 필수 Category 입력 항목입니다.</t>
        </r>
      </text>
    </comment>
    <comment ref="C103" authorId="0" shapeId="0" xr:uid="{00000000-0006-0000-0000-000037000000}">
      <text>
        <r>
          <rPr>
            <sz val="10"/>
            <color rgb="FF000000"/>
            <rFont val="Arial"/>
            <scheme val="minor"/>
          </rPr>
          <t>[eCRF Query]
[Missing] foot_deformity은(는) 필수 Category 입력 항목입니다.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9" authorId="0" shapeId="0" xr:uid="{00000000-0006-0000-0100-000044000000}">
      <text>
        <r>
          <rPr>
            <sz val="10"/>
            <color rgb="FF000000"/>
            <rFont val="Arial"/>
            <scheme val="minor"/>
          </rPr>
          <t>[eCRF Query]
[Missing] sex은(는) 필수 Category 입력 항목입니다.</t>
        </r>
      </text>
    </comment>
    <comment ref="E9" authorId="0" shapeId="0" xr:uid="{00000000-0006-0000-0100-000045000000}">
      <text>
        <r>
          <rPr>
            <sz val="10"/>
            <color rgb="FF000000"/>
            <rFont val="Arial"/>
            <scheme val="minor"/>
          </rPr>
          <t>[eCRF Query]
[Missing] age은(는) 필수 Category 입력 항목입니다.</t>
        </r>
      </text>
    </comment>
    <comment ref="F9" authorId="0" shapeId="0" xr:uid="{00000000-0006-0000-0100-000046000000}">
      <text>
        <r>
          <rPr>
            <sz val="10"/>
            <color rgb="FF000000"/>
            <rFont val="Arial"/>
            <scheme val="minor"/>
          </rPr>
          <t>[eCRF Query]
[Missing] edu은(는) 필수 Category 입력 항목입니다.</t>
        </r>
      </text>
    </comment>
    <comment ref="G9" authorId="0" shapeId="0" xr:uid="{00000000-0006-0000-0100-000047000000}">
      <text>
        <r>
          <rPr>
            <sz val="10"/>
            <color rgb="FF000000"/>
            <rFont val="Arial"/>
            <scheme val="minor"/>
          </rPr>
          <t>[eCRF Query]
[DateFormat] vdt은(는) yyyy-mm-dd 형식으로 입력해야 합니다. 현재값: 2026. 3. 12</t>
        </r>
      </text>
    </comment>
    <comment ref="H9" authorId="0" shapeId="0" xr:uid="{00000000-0006-0000-0100-000048000000}">
      <text>
        <r>
          <rPr>
            <sz val="10"/>
            <color rgb="FF000000"/>
            <rFont val="Arial"/>
            <scheme val="minor"/>
          </rPr>
          <t>[eCRF Query]
[Missing] dth은(는) 필수 Category 입력 항목입니다.</t>
        </r>
      </text>
    </comment>
    <comment ref="J9" authorId="0" shapeId="0" xr:uid="{00000000-0006-0000-0100-000001000000}">
      <text>
        <r>
          <rPr>
            <sz val="10"/>
            <color rgb="FF000000"/>
            <rFont val="Arial"/>
            <scheme val="minor"/>
          </rPr>
          <t>[eCRF Query]
[Missing] smk은(는) 필수 Category 입력 항목입니다.</t>
        </r>
      </text>
    </comment>
    <comment ref="N9" authorId="0" shapeId="0" xr:uid="{00000000-0006-0000-0100-000002000000}">
      <text>
        <r>
          <rPr>
            <sz val="10"/>
            <color rgb="FF000000"/>
            <rFont val="Arial"/>
            <scheme val="minor"/>
          </rPr>
          <t>[eCRF Query]
[Missing] exl은(는) 필수 Category 입력 항목입니다.</t>
        </r>
      </text>
    </comment>
    <comment ref="O9" authorId="0" shapeId="0" xr:uid="{00000000-0006-0000-0100-000003000000}">
      <text>
        <r>
          <rPr>
            <sz val="10"/>
            <color rgb="FF000000"/>
            <rFont val="Arial"/>
            <scheme val="minor"/>
          </rPr>
          <t>[eCRF Query]
[Missing] dfu은(는) 필수 Category 입력 항목입니다.</t>
        </r>
      </text>
    </comment>
    <comment ref="Q9" authorId="0" shapeId="0" xr:uid="{00000000-0006-0000-0100-000004000000}">
      <text>
        <r>
          <rPr>
            <sz val="10"/>
            <color rgb="FF000000"/>
            <rFont val="Arial"/>
            <scheme val="minor"/>
          </rPr>
          <t>[eCRF Query]
[Missing] wag은(는) 필수 Category 입력 항목입니다.</t>
        </r>
      </text>
    </comment>
    <comment ref="R9" authorId="0" shapeId="0" xr:uid="{00000000-0006-0000-0100-000005000000}">
      <text>
        <r>
          <rPr>
            <sz val="10"/>
            <color rgb="FF000000"/>
            <rFont val="Arial"/>
            <scheme val="minor"/>
          </rPr>
          <t>[eCRF Query]
[Missing] snb_site은(는) 필수 Category 입력 항목입니다.</t>
        </r>
      </text>
    </comment>
    <comment ref="S9" authorId="0" shapeId="0" xr:uid="{00000000-0006-0000-0100-000006000000}">
      <text>
        <r>
          <rPr>
            <sz val="10"/>
            <color rgb="FF000000"/>
            <rFont val="Arial"/>
            <scheme val="minor"/>
          </rPr>
          <t>[eCRF Query]
[Missing] snb_isc은(는) 필수 Category 입력 항목입니다.</t>
        </r>
      </text>
    </comment>
    <comment ref="T9" authorId="0" shapeId="0" xr:uid="{00000000-0006-0000-0100-000007000000}">
      <text>
        <r>
          <rPr>
            <sz val="10"/>
            <color rgb="FF000000"/>
            <rFont val="Arial"/>
            <scheme val="minor"/>
          </rPr>
          <t>[eCRF Query]
[Missing] snb_neuro은(는) 필수 Category 입력 항목입니다.</t>
        </r>
      </text>
    </comment>
    <comment ref="U9" authorId="0" shapeId="0" xr:uid="{00000000-0006-0000-0100-000008000000}">
      <text>
        <r>
          <rPr>
            <sz val="10"/>
            <color rgb="FF000000"/>
            <rFont val="Arial"/>
            <scheme val="minor"/>
          </rPr>
          <t>[eCRF Query]
[Missing] snb_bac은(는) 필수 Category 입력 항목입니다.</t>
        </r>
      </text>
    </comment>
    <comment ref="V9" authorId="0" shapeId="0" xr:uid="{00000000-0006-0000-0100-000009000000}">
      <text>
        <r>
          <rPr>
            <sz val="10"/>
            <color rgb="FF000000"/>
            <rFont val="Arial"/>
            <scheme val="minor"/>
          </rPr>
          <t>[eCRF Query]
[Missing] snb_area은(는) 필수 Category 입력 항목입니다.</t>
        </r>
      </text>
    </comment>
    <comment ref="W9" authorId="0" shapeId="0" xr:uid="{00000000-0006-0000-0100-00000A000000}">
      <text>
        <r>
          <rPr>
            <sz val="10"/>
            <color rgb="FF000000"/>
            <rFont val="Arial"/>
            <scheme val="minor"/>
          </rPr>
          <t>[eCRF Query]
[Missing] snb_depth은(는) 필수 Category 입력 항목입니다.</t>
        </r>
      </text>
    </comment>
    <comment ref="AD9" authorId="0" shapeId="0" xr:uid="{00000000-0006-0000-0100-00000B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AE9" authorId="0" shapeId="0" xr:uid="{00000000-0006-0000-0100-00000C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AF9" authorId="0" shapeId="0" xr:uid="{00000000-0006-0000-0100-00000D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AG9" authorId="0" shapeId="0" xr:uid="{00000000-0006-0000-0100-00000E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AH9" authorId="0" shapeId="0" xr:uid="{00000000-0006-0000-0100-00000F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AY9" authorId="0" shapeId="0" xr:uid="{00000000-0006-0000-0100-00001B000000}">
      <text>
        <r>
          <rPr>
            <sz val="10"/>
            <color rgb="FF000000"/>
            <rFont val="Arial"/>
            <scheme val="minor"/>
          </rPr>
          <t>[Exception 반려]
기존 Query: angio은(는) 필수 Category 입력 항목입니다.
예외 요청 사유: 졸려 무척
반려사유: 나도 졸림
처리자: yeeun@rexsw.com
처리일: 2026-08-31 15:44
원본 데이터를 수정하거나 예외 내용을 다시 확인해주세요.</t>
        </r>
      </text>
    </comment>
    <comment ref="AZ9" authorId="0" shapeId="0" xr:uid="{00000000-0006-0000-0100-00001D000000}">
      <text>
        <r>
          <rPr>
            <sz val="10"/>
            <color rgb="FF000000"/>
            <rFont val="Arial"/>
            <scheme val="minor"/>
          </rPr>
          <t>[eCRF Query]
[Missing] occl은(는) 필수 Category 입력 항목입니다.</t>
        </r>
      </text>
    </comment>
    <comment ref="BB9" authorId="0" shapeId="0" xr:uid="{00000000-0006-0000-0100-000020000000}">
      <text>
        <r>
          <rPr>
            <sz val="10"/>
            <color rgb="FF000000"/>
            <rFont val="Arial"/>
            <scheme val="minor"/>
          </rPr>
          <t>[eCRF Query]
[Missing] pta은(는) 필수 Category 입력 항목입니다.</t>
        </r>
      </text>
    </comment>
    <comment ref="BC9" authorId="0" shapeId="0" xr:uid="{00000000-0006-0000-0100-000022000000}">
      <text>
        <r>
          <rPr>
            <sz val="10"/>
            <color rgb="FF000000"/>
            <rFont val="Arial"/>
            <scheme val="minor"/>
          </rPr>
          <t>[eCRF Query]
[Missing] off은(는) 필수 Category 입력 항목입니다.</t>
        </r>
      </text>
    </comment>
    <comment ref="BD9" authorId="0" shapeId="0" xr:uid="{00000000-0006-0000-0100-000023000000}">
      <text>
        <r>
          <rPr>
            <sz val="10"/>
            <color rgb="FF000000"/>
            <rFont val="Arial"/>
            <scheme val="minor"/>
          </rPr>
          <t>[eCRF Query]
[Missing] abx은(는) 필수 Category 입력 항목입니다.</t>
        </r>
      </text>
    </comment>
    <comment ref="BE9" authorId="0" shapeId="0" xr:uid="{00000000-0006-0000-0100-000024000000}">
      <text>
        <r>
          <rPr>
            <sz val="10"/>
            <color rgb="FF000000"/>
            <rFont val="Arial"/>
            <scheme val="minor"/>
          </rPr>
          <t>[eCRF Query]
[Missing] insulin은(는) 필수 Category 입력 항목입니다.</t>
        </r>
      </text>
    </comment>
    <comment ref="BF9" authorId="0" shapeId="0" xr:uid="{00000000-0006-0000-0100-000025000000}">
      <text>
        <r>
          <rPr>
            <sz val="10"/>
            <color rgb="FF000000"/>
            <rFont val="Arial"/>
            <scheme val="minor"/>
          </rPr>
          <t>[eCRF Query]
[Missing] dmm은(는) 필수 Category 입력 항목입니다.</t>
        </r>
      </text>
    </comment>
    <comment ref="BG9" authorId="0" shapeId="0" xr:uid="{00000000-0006-0000-0100-000026000000}">
      <text>
        <r>
          <rPr>
            <sz val="10"/>
            <color rgb="FF000000"/>
            <rFont val="Arial"/>
            <scheme val="minor"/>
          </rPr>
          <t>[eCRF Query]
[Missing] dmdt은(는) 현재 조건에서 입력이 필요합니다.</t>
        </r>
      </text>
    </comment>
    <comment ref="BI9" authorId="0" shapeId="0" xr:uid="{00000000-0006-0000-0100-000027000000}">
      <text>
        <r>
          <rPr>
            <sz val="10"/>
            <color rgb="FF000000"/>
            <rFont val="Arial"/>
            <scheme val="minor"/>
          </rPr>
          <t>[eCRF Query]
[Missing] htn은(는) 필수 Category 입력 항목입니다.</t>
        </r>
      </text>
    </comment>
    <comment ref="BJ9" authorId="0" shapeId="0" xr:uid="{00000000-0006-0000-0100-000029000000}">
      <text>
        <r>
          <rPr>
            <sz val="10"/>
            <color rgb="FF000000"/>
            <rFont val="Arial"/>
            <scheme val="minor"/>
          </rPr>
          <t>[eCRF Query]
[Missing] chd은(는) 필수 Category 입력 항목입니다.</t>
        </r>
      </text>
    </comment>
    <comment ref="BK9" authorId="0" shapeId="0" xr:uid="{00000000-0006-0000-0100-00002B000000}">
      <text>
        <r>
          <rPr>
            <sz val="10"/>
            <color rgb="FF000000"/>
            <rFont val="Arial"/>
            <scheme val="minor"/>
          </rPr>
          <t>[eCRF Query]
[Missing] ckd은(는) 필수 Category 입력 항목입니다.</t>
        </r>
      </text>
    </comment>
    <comment ref="BL9" authorId="0" shapeId="0" xr:uid="{00000000-0006-0000-0100-00002D000000}">
      <text>
        <r>
          <rPr>
            <sz val="10"/>
            <color rgb="FF000000"/>
            <rFont val="Arial"/>
            <scheme val="minor"/>
          </rPr>
          <t>[eCRF Query]
[Missing] neph은(는) 필수 Category 입력 항목입니다.</t>
        </r>
      </text>
    </comment>
    <comment ref="BM9" authorId="0" shapeId="0" xr:uid="{00000000-0006-0000-0100-00002F000000}">
      <text>
        <r>
          <rPr>
            <sz val="10"/>
            <color rgb="FF000000"/>
            <rFont val="Arial"/>
            <scheme val="minor"/>
          </rPr>
          <t>[eCRF Query]
[Missing] neur은(는) 필수 Category 입력 항목입니다.</t>
        </r>
      </text>
    </comment>
    <comment ref="BN9" authorId="0" shapeId="0" xr:uid="{00000000-0006-0000-0100-000031000000}">
      <text>
        <r>
          <rPr>
            <sz val="10"/>
            <color rgb="FF000000"/>
            <rFont val="Arial"/>
            <scheme val="minor"/>
          </rPr>
          <t>[eCRF Query]
[Missing] pvd은(는) 필수 Category 입력 항목입니다.</t>
        </r>
      </text>
    </comment>
    <comment ref="BP9" authorId="0" shapeId="0" xr:uid="{00000000-0006-0000-0100-000032000000}">
      <text>
        <r>
          <rPr>
            <sz val="10"/>
            <color rgb="FF000000"/>
            <rFont val="Arial"/>
            <scheme val="minor"/>
          </rPr>
          <t>[eCRF Query]
[Missing] amp_lt은(는) 필수 Category 입력 항목입니다.</t>
        </r>
      </text>
    </comment>
    <comment ref="BR9" authorId="0" shapeId="0" xr:uid="{00000000-0006-0000-0100-000033000000}">
      <text>
        <r>
          <rPr>
            <sz val="10"/>
            <color rgb="FF000000"/>
            <rFont val="Arial"/>
            <scheme val="minor"/>
          </rPr>
          <t>[eCRF Query]
[Missing] img2d은(는) 현재 조건에서 입력이 필요합니다.</t>
        </r>
      </text>
    </comment>
    <comment ref="D10" authorId="0" shapeId="0" xr:uid="{00000000-0006-0000-0100-000010000000}">
      <text>
        <r>
          <rPr>
            <sz val="10"/>
            <color rgb="FF000000"/>
            <rFont val="Arial"/>
            <scheme val="minor"/>
          </rPr>
          <t>[eCRF Query]
[Missing] sex은(는) 필수 Category 입력 항목입니다.</t>
        </r>
      </text>
    </comment>
    <comment ref="E10" authorId="0" shapeId="0" xr:uid="{00000000-0006-0000-0100-000011000000}">
      <text>
        <r>
          <rPr>
            <sz val="10"/>
            <color rgb="FF000000"/>
            <rFont val="Arial"/>
            <scheme val="minor"/>
          </rPr>
          <t>[eCRF Query]
[Missing] age은(는) 필수 Category 입력 항목입니다.</t>
        </r>
      </text>
    </comment>
    <comment ref="F10" authorId="0" shapeId="0" xr:uid="{00000000-0006-0000-0100-000012000000}">
      <text>
        <r>
          <rPr>
            <sz val="10"/>
            <color rgb="FF000000"/>
            <rFont val="Arial"/>
            <scheme val="minor"/>
          </rPr>
          <t>[eCRF Query]
[Missing] edu은(는) 필수 Category 입력 항목입니다.</t>
        </r>
      </text>
    </comment>
    <comment ref="G10" authorId="0" shapeId="0" xr:uid="{00000000-0006-0000-0100-000013000000}">
      <text>
        <r>
          <rPr>
            <sz val="10"/>
            <color rgb="FF000000"/>
            <rFont val="Arial"/>
            <scheme val="minor"/>
          </rPr>
          <t>[eCRF Query]
[DateFormat] vdt은(는) yyyy-mm-dd 형식으로 입력해야 합니다. 현재값: 2026. 1. 1</t>
        </r>
      </text>
    </comment>
    <comment ref="H10" authorId="0" shapeId="0" xr:uid="{00000000-0006-0000-0100-000014000000}">
      <text>
        <r>
          <rPr>
            <sz val="10"/>
            <color rgb="FF000000"/>
            <rFont val="Arial"/>
            <scheme val="minor"/>
          </rPr>
          <t>[eCRF Query]
[Missing] dth은(는) 필수 Category 입력 항목입니다.</t>
        </r>
      </text>
    </comment>
    <comment ref="J10" authorId="0" shapeId="0" xr:uid="{00000000-0006-0000-0100-000015000000}">
      <text>
        <r>
          <rPr>
            <sz val="10"/>
            <color rgb="FF000000"/>
            <rFont val="Arial"/>
            <scheme val="minor"/>
          </rPr>
          <t>[eCRF Query]
[Missing] smk은(는) 필수 Category 입력 항목입니다.</t>
        </r>
      </text>
    </comment>
    <comment ref="N10" authorId="0" shapeId="0" xr:uid="{00000000-0006-0000-0100-000016000000}">
      <text>
        <r>
          <rPr>
            <sz val="10"/>
            <color rgb="FF000000"/>
            <rFont val="Arial"/>
            <scheme val="minor"/>
          </rPr>
          <t>[eCRF Query]
[Missing] exl은(는) 필수 Category 입력 항목입니다.</t>
        </r>
      </text>
    </comment>
    <comment ref="O10" authorId="0" shapeId="0" xr:uid="{00000000-0006-0000-0100-000017000000}">
      <text>
        <r>
          <rPr>
            <sz val="10"/>
            <color rgb="FF000000"/>
            <rFont val="Arial"/>
            <scheme val="minor"/>
          </rPr>
          <t>[eCRF Query]
[Missing] dfu은(는) 필수 Category 입력 항목입니다.</t>
        </r>
      </text>
    </comment>
    <comment ref="Q10" authorId="0" shapeId="0" xr:uid="{00000000-0006-0000-0100-000018000000}">
      <text>
        <r>
          <rPr>
            <sz val="10"/>
            <color rgb="FF000000"/>
            <rFont val="Arial"/>
            <scheme val="minor"/>
          </rPr>
          <t>[eCRF Query]
[Missing] wag은(는) 필수 Category 입력 항목입니다.</t>
        </r>
      </text>
    </comment>
    <comment ref="R10" authorId="0" shapeId="0" xr:uid="{00000000-0006-0000-0100-000019000000}">
      <text>
        <r>
          <rPr>
            <sz val="10"/>
            <color rgb="FF000000"/>
            <rFont val="Arial"/>
            <scheme val="minor"/>
          </rPr>
          <t>[eCRF Query]
[Missing] snb_site은(는) 필수 Category 입력 항목입니다.</t>
        </r>
      </text>
    </comment>
    <comment ref="S10" authorId="0" shapeId="0" xr:uid="{00000000-0006-0000-0100-00001A000000}">
      <text>
        <r>
          <rPr>
            <sz val="10"/>
            <color rgb="FF000000"/>
            <rFont val="Arial"/>
            <scheme val="minor"/>
          </rPr>
          <t>[eCRF Query]
[Missing] snb_isc은(는) 필수 Category 입력 항목입니다.</t>
        </r>
      </text>
    </comment>
    <comment ref="T10" authorId="0" shapeId="0" xr:uid="{00000000-0006-0000-0100-00001C000000}">
      <text>
        <r>
          <rPr>
            <sz val="10"/>
            <color rgb="FF000000"/>
            <rFont val="Arial"/>
            <scheme val="minor"/>
          </rPr>
          <t>[eCRF Query]
[Missing] snb_neuro은(는) 필수 Category 입력 항목입니다.</t>
        </r>
      </text>
    </comment>
    <comment ref="U10" authorId="0" shapeId="0" xr:uid="{00000000-0006-0000-0100-00001E000000}">
      <text>
        <r>
          <rPr>
            <sz val="10"/>
            <color rgb="FF000000"/>
            <rFont val="Arial"/>
            <scheme val="minor"/>
          </rPr>
          <t>[eCRF Query]
[Missing] snb_bac은(는) 필수 Category 입력 항목입니다.</t>
        </r>
      </text>
    </comment>
    <comment ref="V10" authorId="0" shapeId="0" xr:uid="{00000000-0006-0000-0100-00001F000000}">
      <text>
        <r>
          <rPr>
            <sz val="10"/>
            <color rgb="FF000000"/>
            <rFont val="Arial"/>
            <scheme val="minor"/>
          </rPr>
          <t>[eCRF Query]
[Missing] snb_area은(는) 필수 Category 입력 항목입니다.</t>
        </r>
      </text>
    </comment>
    <comment ref="W10" authorId="0" shapeId="0" xr:uid="{00000000-0006-0000-0100-000021000000}">
      <text>
        <r>
          <rPr>
            <sz val="10"/>
            <color rgb="FF000000"/>
            <rFont val="Arial"/>
            <scheme val="minor"/>
          </rPr>
          <t>[eCRF Query]
[Missing] snb_depth은(는) 필수 Category 입력 항목입니다.</t>
        </r>
      </text>
    </comment>
    <comment ref="AD10" authorId="0" shapeId="0" xr:uid="{00000000-0006-0000-0100-000028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AE10" authorId="0" shapeId="0" xr:uid="{00000000-0006-0000-0100-00002A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AF10" authorId="0" shapeId="0" xr:uid="{00000000-0006-0000-0100-00002C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AG10" authorId="0" shapeId="0" xr:uid="{00000000-0006-0000-0100-00002E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AH10" authorId="0" shapeId="0" xr:uid="{00000000-0006-0000-0100-000030000000}">
      <text>
        <r>
          <rPr>
            <sz val="10"/>
            <color rgb="FF000000"/>
            <rFont val="Arial"/>
            <scheme val="minor"/>
          </rPr>
          <t>[eCRF Query]
[Missing] 계측·혈압: 묶음 변수 중 최소 하나에 정상 숫자값을 입력해야 합니다.</t>
        </r>
      </text>
    </comment>
    <comment ref="AY10" authorId="0" shapeId="0" xr:uid="{00000000-0006-0000-0100-000034000000}">
      <text>
        <r>
          <rPr>
            <sz val="10"/>
            <color rgb="FF000000"/>
            <rFont val="Arial"/>
            <scheme val="minor"/>
          </rPr>
          <t>[eCRF Query]
[Missing] angio은(는) 필수 Category 입력 항목입니다.</t>
        </r>
      </text>
    </comment>
    <comment ref="AZ10" authorId="0" shapeId="0" xr:uid="{00000000-0006-0000-0100-000035000000}">
      <text>
        <r>
          <rPr>
            <sz val="10"/>
            <color rgb="FF000000"/>
            <rFont val="Arial"/>
            <scheme val="minor"/>
          </rPr>
          <t>[eCRF Query]
[Missing] occl은(는) 필수 Category 입력 항목입니다.</t>
        </r>
      </text>
    </comment>
    <comment ref="BB10" authorId="0" shapeId="0" xr:uid="{00000000-0006-0000-0100-000036000000}">
      <text>
        <r>
          <rPr>
            <sz val="10"/>
            <color rgb="FF000000"/>
            <rFont val="Arial"/>
            <scheme val="minor"/>
          </rPr>
          <t>[eCRF Query]
[Missing] pta은(는) 필수 Category 입력 항목입니다.</t>
        </r>
      </text>
    </comment>
    <comment ref="BC10" authorId="0" shapeId="0" xr:uid="{00000000-0006-0000-0100-000037000000}">
      <text>
        <r>
          <rPr>
            <sz val="10"/>
            <color rgb="FF000000"/>
            <rFont val="Arial"/>
            <scheme val="minor"/>
          </rPr>
          <t>[eCRF Query]
[Missing] off은(는) 필수 Category 입력 항목입니다.</t>
        </r>
      </text>
    </comment>
    <comment ref="BD10" authorId="0" shapeId="0" xr:uid="{00000000-0006-0000-0100-000038000000}">
      <text>
        <r>
          <rPr>
            <sz val="10"/>
            <color rgb="FF000000"/>
            <rFont val="Arial"/>
            <scheme val="minor"/>
          </rPr>
          <t>[eCRF Query]
[Missing] abx은(는) 필수 Category 입력 항목입니다.</t>
        </r>
      </text>
    </comment>
    <comment ref="BE10" authorId="0" shapeId="0" xr:uid="{00000000-0006-0000-0100-000039000000}">
      <text>
        <r>
          <rPr>
            <sz val="10"/>
            <color rgb="FF000000"/>
            <rFont val="Arial"/>
            <scheme val="minor"/>
          </rPr>
          <t>[eCRF Query]
[Missing] insulin은(는) 필수 Category 입력 항목입니다.</t>
        </r>
      </text>
    </comment>
    <comment ref="BF10" authorId="0" shapeId="0" xr:uid="{00000000-0006-0000-0100-00003A000000}">
      <text>
        <r>
          <rPr>
            <sz val="10"/>
            <color rgb="FF000000"/>
            <rFont val="Arial"/>
            <scheme val="minor"/>
          </rPr>
          <t>[eCRF Query]
[Missing] dmm은(는) 필수 Category 입력 항목입니다.</t>
        </r>
      </text>
    </comment>
    <comment ref="BG10" authorId="0" shapeId="0" xr:uid="{00000000-0006-0000-0100-00003B000000}">
      <text>
        <r>
          <rPr>
            <sz val="10"/>
            <color rgb="FF000000"/>
            <rFont val="Arial"/>
            <scheme val="minor"/>
          </rPr>
          <t>[eCRF Query]
[Missing] dmdt은(는) 현재 조건에서 입력이 필요합니다.</t>
        </r>
      </text>
    </comment>
    <comment ref="BI10" authorId="0" shapeId="0" xr:uid="{00000000-0006-0000-0100-00003C000000}">
      <text>
        <r>
          <rPr>
            <sz val="10"/>
            <color rgb="FF000000"/>
            <rFont val="Arial"/>
            <scheme val="minor"/>
          </rPr>
          <t>[eCRF Query]
[Missing] htn은(는) 필수 Category 입력 항목입니다.</t>
        </r>
      </text>
    </comment>
    <comment ref="BJ10" authorId="0" shapeId="0" xr:uid="{00000000-0006-0000-0100-00003D000000}">
      <text>
        <r>
          <rPr>
            <sz val="10"/>
            <color rgb="FF000000"/>
            <rFont val="Arial"/>
            <scheme val="minor"/>
          </rPr>
          <t>[eCRF Query]
[Missing] chd은(는) 필수 Category 입력 항목입니다.</t>
        </r>
      </text>
    </comment>
    <comment ref="BK10" authorId="0" shapeId="0" xr:uid="{00000000-0006-0000-0100-00003E000000}">
      <text>
        <r>
          <rPr>
            <sz val="10"/>
            <color rgb="FF000000"/>
            <rFont val="Arial"/>
            <scheme val="minor"/>
          </rPr>
          <t>[eCRF Query]
[Missing] ckd은(는) 필수 Category 입력 항목입니다.</t>
        </r>
      </text>
    </comment>
    <comment ref="BL10" authorId="0" shapeId="0" xr:uid="{00000000-0006-0000-0100-00003F000000}">
      <text>
        <r>
          <rPr>
            <sz val="10"/>
            <color rgb="FF000000"/>
            <rFont val="Arial"/>
            <scheme val="minor"/>
          </rPr>
          <t>[eCRF Query]
[Missing] neph은(는) 필수 Category 입력 항목입니다.</t>
        </r>
      </text>
    </comment>
    <comment ref="BM10" authorId="0" shapeId="0" xr:uid="{00000000-0006-0000-0100-000040000000}">
      <text>
        <r>
          <rPr>
            <sz val="10"/>
            <color rgb="FF000000"/>
            <rFont val="Arial"/>
            <scheme val="minor"/>
          </rPr>
          <t>[eCRF Query]
[Missing] neur은(는) 필수 Category 입력 항목입니다.</t>
        </r>
      </text>
    </comment>
    <comment ref="BN10" authorId="0" shapeId="0" xr:uid="{00000000-0006-0000-0100-000041000000}">
      <text>
        <r>
          <rPr>
            <sz val="10"/>
            <color rgb="FF000000"/>
            <rFont val="Arial"/>
            <scheme val="minor"/>
          </rPr>
          <t>[eCRF Query]
[Missing] pvd은(는) 필수 Category 입력 항목입니다.</t>
        </r>
      </text>
    </comment>
    <comment ref="BP10" authorId="0" shapeId="0" xr:uid="{00000000-0006-0000-0100-000042000000}">
      <text>
        <r>
          <rPr>
            <sz val="10"/>
            <color rgb="FF000000"/>
            <rFont val="Arial"/>
            <scheme val="minor"/>
          </rPr>
          <t>[eCRF Query]
[Missing] amp_lt은(는) 필수 Category 입력 항목입니다.</t>
        </r>
      </text>
    </comment>
    <comment ref="BR10" authorId="0" shapeId="0" xr:uid="{00000000-0006-0000-0100-000043000000}">
      <text>
        <r>
          <rPr>
            <sz val="10"/>
            <color rgb="FF000000"/>
            <rFont val="Arial"/>
            <scheme val="minor"/>
          </rPr>
          <t>[eCRF Query]
[Missing] img2d은(는) 현재 조건에서 입력이 필요합니다.</t>
        </r>
      </text>
    </comment>
  </commentList>
</comments>
</file>

<file path=xl/sharedStrings.xml><?xml version="1.0" encoding="utf-8"?>
<sst xmlns="http://schemas.openxmlformats.org/spreadsheetml/2006/main" count="4889" uniqueCount="995">
  <si>
    <t>PartB EMR 데이터 수집</t>
  </si>
  <si>
    <t>병원</t>
  </si>
  <si>
    <t>IJH</t>
  </si>
  <si>
    <t>입력현황</t>
  </si>
  <si>
    <t>EMR에서 찾아야하는 항목들 일단 '노란색'으로 구분지어 놓았습니다(불편하시면 추후에 다시 정리하겠습니다)-예은</t>
  </si>
  <si>
    <t>빨간글씨들은 EMR mapping내용기반으로 수정되어야 할 수 있습니다.</t>
  </si>
  <si>
    <t>대상자 선택</t>
  </si>
  <si>
    <t>신규 대상자 번호</t>
  </si>
  <si>
    <t>검사결과</t>
  </si>
  <si>
    <t>입력완료</t>
  </si>
  <si>
    <t>✅대상자의 최근 1년간의 기록을 중심으로 봐주세요</t>
  </si>
  <si>
    <t>T1 진료일자 [vdt]</t>
  </si>
  <si>
    <t>소수점 둘째자리</t>
  </si>
  <si>
    <t>소수점 첫째자리</t>
  </si>
  <si>
    <t>전체</t>
  </si>
  <si>
    <t xml:space="preserve"> -&gt; 당뇨발 2D 이미지 파일명</t>
  </si>
  <si>
    <t>T2 진료일자 [vdt]</t>
  </si>
  <si>
    <t>현재 Query</t>
  </si>
  <si>
    <t>age</t>
  </si>
  <si>
    <t>수식 있는 란</t>
  </si>
  <si>
    <t>vdt</t>
  </si>
  <si>
    <t>dth</t>
  </si>
  <si>
    <t>dthdt</t>
  </si>
  <si>
    <t>dfu</t>
  </si>
  <si>
    <t>dfudt</t>
  </si>
  <si>
    <t>기본정보</t>
  </si>
  <si>
    <t>wag</t>
  </si>
  <si>
    <t>snb_site</t>
  </si>
  <si>
    <t>snb_isc</t>
  </si>
  <si>
    <t>snb_neuro</t>
  </si>
  <si>
    <t>snb_bac</t>
  </si>
  <si>
    <t>snb_area</t>
  </si>
  <si>
    <t>snb_depth</t>
  </si>
  <si>
    <t>snb_score</t>
  </si>
  <si>
    <t>dfu_wnd</t>
  </si>
  <si>
    <t>T3 진료일자 [vdt]</t>
  </si>
  <si>
    <t>dfu_ex_amt</t>
  </si>
  <si>
    <t>dfu_nrs</t>
  </si>
  <si>
    <t>상태</t>
  </si>
  <si>
    <t>pta</t>
  </si>
  <si>
    <t>off</t>
  </si>
  <si>
    <t>abx</t>
  </si>
  <si>
    <t>insulin</t>
  </si>
  <si>
    <t>dmm</t>
  </si>
  <si>
    <t>htn</t>
  </si>
  <si>
    <t>chd</t>
  </si>
  <si>
    <t>ckd</t>
  </si>
  <si>
    <t>neph</t>
  </si>
  <si>
    <t>neur</t>
  </si>
  <si>
    <t>pvd</t>
  </si>
  <si>
    <t>esrd</t>
  </si>
  <si>
    <t>※ 각 변수의 T1/T2/T3 제목에 현재 대상자의 진료일자가 함께 표시됩니다. 다른 대상자로 이동하면 현재 대상자는 자동 저장됩니다. 입력 중에는 원본 eCRF를 수정하지 않아 Ctrl+Z 흐름을 유지합니다.</t>
  </si>
  <si>
    <r>
      <rPr>
        <sz val="13"/>
        <color rgb="FF000000"/>
        <rFont val="Arial"/>
      </rPr>
      <t>amp</t>
    </r>
    <r>
      <rPr>
        <strike/>
        <sz val="13"/>
        <color rgb="FF000000"/>
        <rFont val="Arial"/>
      </rPr>
      <t>_lt</t>
    </r>
  </si>
  <si>
    <r>
      <rPr>
        <sz val="13"/>
        <color rgb="FF000000"/>
        <rFont val="Arial"/>
      </rPr>
      <t>amp</t>
    </r>
    <r>
      <rPr>
        <strike/>
        <sz val="13"/>
        <color rgb="FF000000"/>
        <rFont val="Arial"/>
      </rPr>
      <t>_lt</t>
    </r>
  </si>
  <si>
    <t>id</t>
  </si>
  <si>
    <r>
      <rPr>
        <sz val="10"/>
        <color theme="1"/>
        <rFont val="Arial"/>
      </rPr>
      <t>ampdt</t>
    </r>
    <r>
      <rPr>
        <strike/>
        <sz val="10"/>
        <color theme="1"/>
        <rFont val="Arial"/>
      </rPr>
      <t>_lt</t>
    </r>
  </si>
  <si>
    <r>
      <rPr>
        <sz val="10"/>
        <color theme="1"/>
        <rFont val="Arial"/>
      </rPr>
      <t>ampdt</t>
    </r>
    <r>
      <rPr>
        <strike/>
        <sz val="10"/>
        <color theme="1"/>
        <rFont val="Arial"/>
      </rPr>
      <t>_lt</t>
    </r>
  </si>
  <si>
    <t>sex</t>
  </si>
  <si>
    <t>wei</t>
  </si>
  <si>
    <t>기본정보 / 생활습관</t>
  </si>
  <si>
    <t>bmi</t>
  </si>
  <si>
    <t>edu</t>
  </si>
  <si>
    <t>sbp</t>
  </si>
  <si>
    <t>dbp</t>
  </si>
  <si>
    <t>lab</t>
  </si>
  <si>
    <t>crp</t>
  </si>
  <si>
    <t>toep</t>
  </si>
  <si>
    <t>smk</t>
  </si>
  <si>
    <t>fbs</t>
  </si>
  <si>
    <t>smdt</t>
  </si>
  <si>
    <t>hba1c</t>
  </si>
  <si>
    <t>glu</t>
  </si>
  <si>
    <t>neutro</t>
  </si>
  <si>
    <t>smkd</t>
  </si>
  <si>
    <t>변수</t>
  </si>
  <si>
    <t>lympho</t>
  </si>
  <si>
    <t>py</t>
  </si>
  <si>
    <t>esr</t>
  </si>
  <si>
    <t>exl</t>
  </si>
  <si>
    <t>alb</t>
  </si>
  <si>
    <t>ua</t>
  </si>
  <si>
    <t>hb</t>
  </si>
  <si>
    <t>입력 방법</t>
  </si>
  <si>
    <t>hdl</t>
  </si>
  <si>
    <t>ldl</t>
  </si>
  <si>
    <t>tchol</t>
  </si>
  <si>
    <t>angio</t>
  </si>
  <si>
    <t>occl</t>
  </si>
  <si>
    <t>occl_no</t>
  </si>
  <si>
    <t>img2d</t>
  </si>
  <si>
    <t>cc_lops</t>
  </si>
  <si>
    <t>cc_pad</t>
  </si>
  <si>
    <t>foot_deformity</t>
  </si>
  <si>
    <t>dfu_no</t>
  </si>
  <si>
    <t>map_lt</t>
  </si>
  <si>
    <t>__QUERY_ERROR_COLS</t>
  </si>
  <si>
    <t>map_rt</t>
  </si>
  <si>
    <t>__QUERY_ENTERED_COLS</t>
  </si>
  <si>
    <t>__QUERY_INACTIVE_COLS</t>
  </si>
  <si>
    <t>hei</t>
  </si>
  <si>
    <t>__QUERY_CONFIRMED_COLS</t>
  </si>
  <si>
    <t>나이</t>
  </si>
  <si>
    <t>abi</t>
  </si>
  <si>
    <t>진료기록일자</t>
  </si>
  <si>
    <t>사망여부</t>
  </si>
  <si>
    <t>사망일</t>
  </si>
  <si>
    <t>당뇨발진단 여부</t>
  </si>
  <si>
    <t>당뇨발 진단일</t>
  </si>
  <si>
    <t>당뇨발 Wagner grade</t>
  </si>
  <si>
    <t>당뇨발 SINBAD Site</t>
  </si>
  <si>
    <t>dmdt</t>
  </si>
  <si>
    <t>dmt</t>
  </si>
  <si>
    <t>당뇨발 SINBAD Ischemia</t>
  </si>
  <si>
    <t>당뇨발 SINBAD Neuropathy</t>
  </si>
  <si>
    <t>당뇨발 SINBAD Baterical infection</t>
  </si>
  <si>
    <t>당뇨발 SINBAD area(size)</t>
  </si>
  <si>
    <t>당뇨발 SINBAD depth</t>
  </si>
  <si>
    <t>성별</t>
  </si>
  <si>
    <t>당뇨발 SINBAD score</t>
  </si>
  <si>
    <r>
      <rPr>
        <sz val="13"/>
        <color rgb="FF000000"/>
        <rFont val="Arial"/>
      </rPr>
      <t>amp</t>
    </r>
    <r>
      <rPr>
        <strike/>
        <sz val="13"/>
        <color rgb="FF000000"/>
        <rFont val="Arial"/>
      </rPr>
      <t>_lt</t>
    </r>
  </si>
  <si>
    <t>궤양여부</t>
  </si>
  <si>
    <r>
      <rPr>
        <sz val="13"/>
        <color rgb="FF000000"/>
        <rFont val="Arial"/>
      </rPr>
      <t>ampdt</t>
    </r>
    <r>
      <rPr>
        <strike/>
        <sz val="13"/>
        <color rgb="FF000000"/>
        <rFont val="Arial"/>
      </rPr>
      <t>_lt</t>
    </r>
  </si>
  <si>
    <t>궤양의 특성-삼출물 여부</t>
  </si>
  <si>
    <t>dfu-NRS</t>
  </si>
  <si>
    <t>PTA (Percutaneous Transluminal Angioplasty) 여부</t>
  </si>
  <si>
    <t>당뇨발 감압치료 여부</t>
  </si>
  <si>
    <t>0=남자 ,
1=여자 / 99=모름 / 입력 대상이면 공란 불가</t>
  </si>
  <si>
    <t>항생제 사용여부</t>
  </si>
  <si>
    <t>인슐린사용 여부</t>
  </si>
  <si>
    <t>경구혈당강하제 사용 여부</t>
  </si>
  <si>
    <t>고혈압진단 여부</t>
  </si>
  <si>
    <t>관상동맥질환 진단 여부</t>
  </si>
  <si>
    <t>만성콩팥질환 진단 여부</t>
  </si>
  <si>
    <t>당뇨병성신증 진단여부</t>
  </si>
  <si>
    <t>말초신경병증 진단여부</t>
  </si>
  <si>
    <t>말초동맥질환 진단 여부</t>
  </si>
  <si>
    <t>esrd진단여부</t>
  </si>
  <si>
    <t>대상자 번호</t>
  </si>
  <si>
    <r>
      <rPr>
        <sz val="10"/>
        <color rgb="FF000000"/>
        <rFont val="함초롬바탕"/>
        <family val="1"/>
        <charset val="129"/>
      </rPr>
      <t>신체절단 여부</t>
    </r>
    <r>
      <rPr>
        <strike/>
        <sz val="10"/>
        <color rgb="FF000000"/>
        <rFont val="함초롬바탕"/>
        <family val="1"/>
        <charset val="129"/>
      </rPr>
      <t>-왼발</t>
    </r>
  </si>
  <si>
    <r>
      <rPr>
        <sz val="10"/>
        <color rgb="FF000000"/>
        <rFont val="함초롬바탕"/>
        <family val="1"/>
        <charset val="129"/>
      </rPr>
      <t>신체절단 여부</t>
    </r>
    <r>
      <rPr>
        <strike/>
        <sz val="10"/>
        <color rgb="FF000000"/>
        <rFont val="함초롬바탕"/>
        <family val="1"/>
        <charset val="129"/>
      </rPr>
      <t>-왼발</t>
    </r>
  </si>
  <si>
    <r>
      <rPr>
        <sz val="10"/>
        <color theme="1"/>
        <rFont val="Arial"/>
      </rPr>
      <t>신체절단일</t>
    </r>
    <r>
      <rPr>
        <strike/>
        <sz val="10"/>
        <color theme="1"/>
        <rFont val="Arial"/>
      </rPr>
      <t>-왼발</t>
    </r>
  </si>
  <si>
    <r>
      <rPr>
        <sz val="10"/>
        <color theme="1"/>
        <rFont val="Arial"/>
      </rPr>
      <t>신체절단일</t>
    </r>
    <r>
      <rPr>
        <strike/>
        <sz val="10"/>
        <color theme="1"/>
        <rFont val="Arial"/>
      </rPr>
      <t>-왼발</t>
    </r>
  </si>
  <si>
    <t>몸무게(kg)</t>
  </si>
  <si>
    <t>BMI</t>
  </si>
  <si>
    <t>SBP</t>
  </si>
  <si>
    <t>학력</t>
  </si>
  <si>
    <t>DBP</t>
  </si>
  <si>
    <t>lab 검사 시행 여부</t>
  </si>
  <si>
    <t>흡연여부</t>
  </si>
  <si>
    <t>흡연기간(년)</t>
  </si>
  <si>
    <t>CRP</t>
  </si>
  <si>
    <t>toe pressure</t>
  </si>
  <si>
    <t>HbA1c</t>
  </si>
  <si>
    <t>하루 흡연량(개피)
1갑 - 20개피</t>
  </si>
  <si>
    <t>random plasma glucose</t>
  </si>
  <si>
    <t>packyear(갑년)</t>
  </si>
  <si>
    <t>neutrophil percent</t>
  </si>
  <si>
    <t>lymphocyte percent</t>
  </si>
  <si>
    <t>신체활동여부</t>
  </si>
  <si>
    <t>ESR</t>
  </si>
  <si>
    <t>albumin</t>
  </si>
  <si>
    <t>uric acid</t>
  </si>
  <si>
    <t>Hb</t>
  </si>
  <si>
    <t>HDL</t>
  </si>
  <si>
    <t>LDL</t>
  </si>
  <si>
    <t>total cholesterol</t>
  </si>
  <si>
    <t>CT angiography 여부</t>
  </si>
  <si>
    <t>하지동맥폐색 여부</t>
  </si>
  <si>
    <t>1=20≤x&lt;25, 
2=25≤x&lt;30, 
3=30≤x&lt;35, 
4=35≤x&lt;40, 
5=40≤x&lt;45, 
6=45≤x&lt;50, 
7=50≤x&lt;55, 
8=55≤x&lt;60, 
9=60≤x&lt;65, 
10=65≤x&lt;70,
11=70≤x&lt;75, 
12=75≤x&lt;80, 
13=80≤x&lt;85, 
14=85≤x&lt;90, 
15=90≤x / 99=모름 / 입력 대상이면 공란 불가</t>
  </si>
  <si>
    <t>하지동맥폐색 개수</t>
  </si>
  <si>
    <t>당뇨발 2D 이미지 EMR에 업로드 되어있는지 여부</t>
  </si>
  <si>
    <t>LOPS 증상 진단 여부</t>
  </si>
  <si>
    <t>pad 증상 여부</t>
  </si>
  <si>
    <t>발변형 여부</t>
  </si>
  <si>
    <t>Query 오류 위치(자동)</t>
  </si>
  <si>
    <t>정상 입력 위치(자동)</t>
  </si>
  <si>
    <t>궤양 총 개수</t>
  </si>
  <si>
    <t>입력 불필요 위치(자동)</t>
  </si>
  <si>
    <t>1=초졸,   2=중졸,   3=고졸,   4=대졸,   5=대학원이상 / 99=모름 / 입력 대상이면 공란 불가</t>
  </si>
  <si>
    <t>좌측(L) 발 여부</t>
  </si>
  <si>
    <t>Exception 확인 완료 위치(자동)</t>
  </si>
  <si>
    <t>우측(R) 발 여부</t>
  </si>
  <si>
    <t>키(cm)</t>
  </si>
  <si>
    <t>0=No, 
1=Yes / 99=모름 / 입력 대상이면 공란 불가</t>
  </si>
  <si>
    <t>1=20≤x&lt;25, 
2=25≤x&lt;30, 
3=30≤x&lt;35, 
4=35≤x&lt;40, 
5=40≤x&lt;45, 
6=45≤x&lt;50, 
7=50≤x&lt;55, 
8=55≤x&lt;60, 
9=60≤x&lt;65, 
10=65≤x&lt;70,
11=70≤x&lt;75, 
12=75≤x&lt;80, 
13=80≤x&lt;85, 
14=85≤x&lt;90, 
15=90≤x</t>
  </si>
  <si>
    <t>yyyy-mm-dd / 날짜 미상: 9999 / 조건: 사망여부=1일 때</t>
  </si>
  <si>
    <t>yyyy-mm-dd</t>
  </si>
  <si>
    <t>0=No, 1=Yes</t>
  </si>
  <si>
    <t>0=None or past-smoker,
1=current smoker / 99=모름 / 입력 대상이면 공란 불가</t>
  </si>
  <si>
    <t>0=grade0, 1=grade1, 2=grade2, 3=grade3, 4=grade4, 5=grade5</t>
  </si>
  <si>
    <t>0=No, 
1=Yes</t>
  </si>
  <si>
    <t>ABI(ankle-brachial index)</t>
  </si>
  <si>
    <t>integer</t>
  </si>
  <si>
    <t>숫자 입력(소수 가능) / 범위: 0 ~ 200 / 조건: 흡연여부 입력 시 / 공란 허용</t>
  </si>
  <si>
    <t>0=없음, 
1=있음</t>
  </si>
  <si>
    <t>정수 입력 / 범위: 0 ~ 200 / 조건: 흡연여부 입력 시 / 공란 허용</t>
  </si>
  <si>
    <t>0=처방받은적없음, 1=처방받은적있음</t>
  </si>
  <si>
    <t>당뇨 진단일</t>
  </si>
  <si>
    <t>0=처방받은적없음, 
1=처방받은적있음</t>
  </si>
  <si>
    <t>0=진단받지않음, 
1=진단받음</t>
  </si>
  <si>
    <t>0=절단받지않음, 1=절단받음</t>
  </si>
  <si>
    <t>당뇨 type</t>
  </si>
  <si>
    <t>real</t>
  </si>
  <si>
    <t>신체활동</t>
  </si>
  <si>
    <t>0=검사 없음, 
1=검사 있음</t>
  </si>
  <si>
    <r>
      <rPr>
        <sz val="10"/>
        <color rgb="FF000000"/>
        <rFont val="함초롬바탕"/>
        <family val="1"/>
        <charset val="129"/>
      </rPr>
      <t>신체절단 여부</t>
    </r>
    <r>
      <rPr>
        <strike/>
        <sz val="10"/>
        <color rgb="FF000000"/>
        <rFont val="함초롬바탕"/>
        <family val="1"/>
        <charset val="129"/>
      </rPr>
      <t>-왼발</t>
    </r>
  </si>
  <si>
    <r>
      <rPr>
        <sz val="10"/>
        <color rgb="FF000000"/>
        <rFont val="맑은 고딕"/>
        <family val="3"/>
        <charset val="129"/>
      </rPr>
      <t>신체절단일-</t>
    </r>
    <r>
      <rPr>
        <strike/>
        <sz val="10"/>
        <color rgb="FF000000"/>
        <rFont val="맑은 고딕"/>
        <family val="3"/>
        <charset val="129"/>
      </rPr>
      <t>왼발</t>
    </r>
  </si>
  <si>
    <t>0= 없음,
1=있음</t>
  </si>
  <si>
    <t>subject number 그대로 입력
(예: 0001)</t>
  </si>
  <si>
    <t>입력 가이드라인</t>
  </si>
  <si>
    <t>0=남자 ,
1=여자</t>
  </si>
  <si>
    <t>1=초졸,   2=중졸,   3=고졸,   4=대졸,   5=대학원이상</t>
  </si>
  <si>
    <t>0=None or past-smoker,
1=current smoker</t>
  </si>
  <si>
    <t>신체계측 / Vital</t>
  </si>
  <si>
    <t>1=1형, 
2=2형</t>
  </si>
  <si>
    <t>|4||6|</t>
  </si>
  <si>
    <t>정수 입력 / 범위: 100 ~ 500 / 입력 대상이면 공란 불가</t>
  </si>
  <si>
    <t>숫자 입력(소수 가능) / 범위: 10 ~ 500 / 입력 대상이면 공란 불가</t>
  </si>
  <si>
    <t>숫자 입력(소수 가능) / 범위: 10 ~ 70 / 입력 대상이면 공란 불가</t>
  </si>
  <si>
    <t>정수 입력 / 범위: 50 ~ 300 / 입력 대상이면 공란 불가</t>
  </si>
  <si>
    <t>정수 입력 / 범위: 30 ~ 200 / 입력 대상이면 공란 불가</t>
  </si>
  <si>
    <t>1</t>
  </si>
  <si>
    <t>0=검사 없음, 
1=검사 있음 / 입력 대상이면 공란 불가</t>
  </si>
  <si>
    <t>텍스트 입력 / 범위: 0 ~ 500 / 입력 대상이면 공란 불가</t>
  </si>
  <si>
    <t>정수 입력 / 범위: 0 ~ 200 / 공란 허용</t>
  </si>
  <si>
    <t>정수 입력 / 범위: 20 ~ 800 / 입력 대상이면 공란 불가</t>
  </si>
  <si>
    <t>텍스트 입력 / 범위: 3 ~ 20 / 입력 대상이면 공란 불가</t>
  </si>
  <si>
    <t>정수 입력 / 범위: 20 ~ 1000 / 입력 대상이면 공란 불가</t>
  </si>
  <si>
    <t>2</t>
  </si>
  <si>
    <t>숫자 입력(소수 가능) / 범위: 0 ~ 100 / 입력 대상이면 공란 불가</t>
  </si>
  <si>
    <t>정수 입력 / 범위: 0 ~ 150 / 입력 대상이면 공란 불가</t>
  </si>
  <si>
    <t>숫자 입력(소수 가능) / 범위: 1 ~ 6 / 입력 대상이면 공란 불가</t>
  </si>
  <si>
    <t>숫자 입력(소수 가능) / 범위: 1 ~ 20 / 입력 대상이면 공란 불가</t>
  </si>
  <si>
    <t>숫자 입력(소수 가능) / 범위: 3 ~ 25 / 입력 대상이면 공란 불가</t>
  </si>
  <si>
    <t>정수 입력 / 범위: 5 ~ 150 / 입력 대상이면 공란 불가</t>
  </si>
  <si>
    <t>정수 입력 / 범위: 10 ~ 400 / 입력 대상이면 공란 불가</t>
  </si>
  <si>
    <t>정수 입력 / 범위: 50 ~ 600 / 입력 대상이면 공란 불가</t>
  </si>
  <si>
    <t>숫자 입력(소수 가능) / 범위: 0 ~ 2 / 공란 허용</t>
  </si>
  <si>
    <t>과거력 / 진단</t>
  </si>
  <si>
    <t>yyyy-mm-dd / 날짜 미상: 9999 / 조건: 당뇨발진단 여부=1일 때</t>
  </si>
  <si>
    <t>yyyy-mm-dd / 날짜 미상: 9999 / 입력 대상이면 공란 불가</t>
  </si>
  <si>
    <t>1=1형, 
2=2형 / 99=모름 / 조건: 당뇨 진단일 입력 시 / 입력 대상이면 공란 불가</t>
  </si>
  <si>
    <t>0=진단받지않음, 
1=진단받음 / 99=모름 / 입력 대상이면 공란 불가</t>
  </si>
  <si>
    <t>치료 / 약물 / 영상</t>
  </si>
  <si>
    <t>0=처방받은적없음, 1=처방받은적있음 / 99=모름 / 입력 대상이면 공란 불가</t>
  </si>
  <si>
    <t>0=처방받은적없음, 
1=처방받은적있음 / 99=모름 / 입력 대상이면 공란 불가</t>
  </si>
  <si>
    <t>0= 없음,
1=있음 / 99=모름 / 입력 대상이면 공란 불가</t>
  </si>
  <si>
    <t>DFU 평가</t>
  </si>
  <si>
    <t>0=grade0, 1=grade1, 2=grade2, 3=grade3, 4=grade4, 5=grade5 / 99=모름 / 입력 대상이면 공란 불가</t>
  </si>
  <si>
    <t>정수 입력 / 범위: 0 ~ 6 / 공란 허용</t>
  </si>
  <si>
    <t>0=없음, 
1=있음 / 99=모름 / 입력 대상이면 공란 불가</t>
  </si>
  <si>
    <t>정수 입력 / 범위: 0 ~ 100 / 조건: 궤양여부=1일 때</t>
  </si>
  <si>
    <t>0=없음, 
1=있음 / 99=모름 / 조건: 궤양여부=1일 때 / 입력 대상이면 공란 불가</t>
  </si>
  <si>
    <t>정수 입력 / 범위: 0 ~ 10 / 공란 허용</t>
  </si>
  <si>
    <t>기타</t>
  </si>
  <si>
    <t>정수 입력 / 범위: 0 ~ 10 / 조건: 하지동맥폐색 여부=1일 때</t>
  </si>
  <si>
    <t>신체절단 여부</t>
  </si>
  <si>
    <t>0=절단받지않음, 1=절단받음 / 99=모름 / 입력 대상이면 공란 불가</t>
  </si>
  <si>
    <t>amp_lt</t>
  </si>
  <si>
    <t>신체절단일</t>
  </si>
  <si>
    <t>yyyy-mm-dd / 날짜 미상: 9999 / 조건: 신체절단 여부=1일 때</t>
  </si>
  <si>
    <t>ampdt_lt</t>
  </si>
  <si>
    <t>QueryKey</t>
  </si>
  <si>
    <t>Timestamp</t>
  </si>
  <si>
    <t>Sheet</t>
  </si>
  <si>
    <t>Hospital</t>
  </si>
  <si>
    <t>SubjectID</t>
  </si>
  <si>
    <t>Row</t>
  </si>
  <si>
    <t>Column</t>
  </si>
  <si>
    <t>Variable</t>
  </si>
  <si>
    <t>QueryType</t>
  </si>
  <si>
    <t>Message</t>
  </si>
  <si>
    <t>예외 체크</t>
  </si>
  <si>
    <t>예외 사유</t>
  </si>
  <si>
    <t>예외 요청자</t>
  </si>
  <si>
    <t>요청일</t>
  </si>
  <si>
    <t>확인자</t>
  </si>
  <si>
    <t>확인일</t>
  </si>
  <si>
    <t>예외상태</t>
  </si>
  <si>
    <t>반려사유</t>
  </si>
  <si>
    <t>baseline|9|4|sex|Missing|sex은(는) 필수 Category 입력 항목입니다.</t>
  </si>
  <si>
    <t>baseline</t>
  </si>
  <si>
    <t>Missing</t>
  </si>
  <si>
    <t>sex은(는) 필수 Category 입력 항목입니다.</t>
  </si>
  <si>
    <t>baseline|9|5|age|Missing|age은(는) 필수 Category 입력 항목입니다.</t>
  </si>
  <si>
    <t>age은(는) 필수 Category 입력 항목입니다.</t>
  </si>
  <si>
    <t>baseline|9|6|edu|Missing|edu은(는) 필수 Category 입력 항목입니다.</t>
  </si>
  <si>
    <t>edu은(는) 필수 Category 입력 항목입니다.</t>
  </si>
  <si>
    <t>baseline|9|7|vdt|DateFormat|vdt은(는) yyyy-mm-dd 형식으로 입력해야 합니다. 현재값: 2026. 3. 12</t>
  </si>
  <si>
    <t>DateFormat</t>
  </si>
  <si>
    <t>vdt은(는) yyyy-mm-dd 형식으로 입력해야 합니다. 현재값: 2026. 3. 12</t>
  </si>
  <si>
    <t>baseline|9|8|add|Missing|add은(는) 필수 Category 입력 항목입니다.</t>
  </si>
  <si>
    <t>add</t>
  </si>
  <si>
    <t>add은(는) 필수 Category 입력 항목입니다.</t>
  </si>
  <si>
    <t>baseline|9|9|dth|Missing|dth은(는) 필수 Category 입력 항목입니다.</t>
  </si>
  <si>
    <t>dth은(는) 필수 Category 입력 항목입니다.</t>
  </si>
  <si>
    <t>baseline|9|11|smk|Missing|smk은(는) 필수 Category 입력 항목입니다.</t>
  </si>
  <si>
    <t>smk은(는) 필수 Category 입력 항목입니다.</t>
  </si>
  <si>
    <t>baseline|9|15|mob|Missing|mob은(는) 필수 Category 입력 항목입니다.</t>
  </si>
  <si>
    <t>mob</t>
  </si>
  <si>
    <t>mob은(는) 필수 Category 입력 항목입니다.</t>
  </si>
  <si>
    <t>baseline|9|16|exl|Missing|exl은(는) 필수 Category 입력 항목입니다.</t>
  </si>
  <si>
    <t>exl은(는) 필수 Category 입력 항목입니다.</t>
  </si>
  <si>
    <t>baseline|9|17|exm|Missing|exm은(는) 필수 Category 입력 항목입니다.</t>
  </si>
  <si>
    <t>exm</t>
  </si>
  <si>
    <t>exm은(는) 필수 Category 입력 항목입니다.</t>
  </si>
  <si>
    <t>baseline|9|18|exh|Missing|exh은(는) 필수 Category 입력 항목입니다.</t>
  </si>
  <si>
    <t>exh</t>
  </si>
  <si>
    <t>exh은(는) 필수 Category 입력 항목입니다.</t>
  </si>
  <si>
    <t>baseline|9|19|exs|Missing|exs은(는) 필수 Category 입력 항목입니다.</t>
  </si>
  <si>
    <t>exs</t>
  </si>
  <si>
    <t>exs은(는) 필수 Category 입력 항목입니다.</t>
  </si>
  <si>
    <t>baseline|9|32|dfu|Missing|dfu은(는) 필수 Category 입력 항목입니다.</t>
  </si>
  <si>
    <t>dfu은(는) 필수 Category 입력 항목입니다.</t>
  </si>
  <si>
    <t>baseline|9|34|wag|Missing|wag은(는) 필수 Category 입력 항목입니다.</t>
  </si>
  <si>
    <t>wag은(는) 필수 Category 입력 항목입니다.</t>
  </si>
  <si>
    <t>baseline|9|35|snb_site|Missing|snb_site은(는) 필수 Category 입력 항목입니다.</t>
  </si>
  <si>
    <t>snb_site은(는) 필수 Category 입력 항목입니다.</t>
  </si>
  <si>
    <t>baseline|9|36|snb_isc|Missing|snb_isc은(는) 필수 Category 입력 항목입니다.</t>
  </si>
  <si>
    <t>snb_isc은(는) 필수 Category 입력 항목입니다.</t>
  </si>
  <si>
    <t>baseline|9|37|snb_neuro|Missing|snb_neuro은(는) 필수 Category 입력 항목입니다.</t>
  </si>
  <si>
    <t>snb_neuro은(는) 필수 Category 입력 항목입니다.</t>
  </si>
  <si>
    <t>baseline|9|38|snb_bac|Missing|snb_bac은(는) 필수 Category 입력 항목입니다.</t>
  </si>
  <si>
    <t>snb_bac은(는) 필수 Category 입력 항목입니다.</t>
  </si>
  <si>
    <t>baseline|9|39|snb_area|Missing|snb_area은(는) 필수 Category 입력 항목입니다.</t>
  </si>
  <si>
    <t>snb_area은(는) 필수 Category 입력 항목입니다.</t>
  </si>
  <si>
    <t>baseline|9|40|snb_depth|Missing|snb_depth은(는) 필수 Category 입력 항목입니다.</t>
  </si>
  <si>
    <t>snb_depth은(는) 필수 Category 입력 항목입니다.</t>
  </si>
  <si>
    <t>baseline|9|42|dfu_wnd|Missing|dfu_wnd은(는) 필수 Category 입력 항목입니다.</t>
  </si>
  <si>
    <t>dfu_wnd은(는) 필수 Category 입력 항목입니다.</t>
  </si>
  <si>
    <t>baseline|9|53|dfu_imgdt|Missing|dfu_imgdt은(는) 현재 조건에서 입력이 필요합니다.</t>
  </si>
  <si>
    <t>dfu_imgdt</t>
  </si>
  <si>
    <t>dfu_imgdt은(는) 현재 조건에서 입력이 필요합니다.</t>
  </si>
  <si>
    <t>baseline|9|74|hei|Missing|계측·혈압: 묶음 변수 중 최소 하나에 정상 숫자값을 입력해야 합니다.</t>
  </si>
  <si>
    <t>계측·혈압: 묶음 변수 중 최소 하나에 정상 숫자값을 입력해야 합니다.</t>
  </si>
  <si>
    <t>baseline|9|75|wei|Missing|계측·혈압: 묶음 변수 중 최소 하나에 정상 숫자값을 입력해야 합니다.</t>
  </si>
  <si>
    <t>baseline|9|76|bmi|Missing|계측·혈압: 묶음 변수 중 최소 하나에 정상 숫자값을 입력해야 합니다.</t>
  </si>
  <si>
    <t>baseline|9|77|sbp|Missing|계측·혈압: 묶음 변수 중 최소 하나에 정상 숫자값을 입력해야 합니다.</t>
  </si>
  <si>
    <t>baseline|9|78|dbp|Missing|계측·혈압: 묶음 변수 중 최소 하나에 정상 숫자값을 입력해야 합니다.</t>
  </si>
  <si>
    <t>baseline|9|94|angio|Missing|angio은(는) 필수 Category 입력 항목입니다.</t>
  </si>
  <si>
    <t>angio은(는) 필수 Category 입력 항목입니다.</t>
  </si>
  <si>
    <t>baseline|9|96|occl|Missing|occl은(는) 필수 Category 입력 항목입니다.</t>
  </si>
  <si>
    <t>occl은(는) 필수 Category 입력 항목입니다.</t>
  </si>
  <si>
    <t>baseline|9|99|pta|Missing|pta은(는) 필수 Category 입력 항목입니다.</t>
  </si>
  <si>
    <t>pta은(는) 필수 Category 입력 항목입니다.</t>
  </si>
  <si>
    <t>baseline|9|101|off|Missing|off은(는) 필수 Category 입력 항목입니다.</t>
  </si>
  <si>
    <t>off은(는) 필수 Category 입력 항목입니다.</t>
  </si>
  <si>
    <t>baseline|9|103|abx|Missing|abx은(는) 필수 Category 입력 항목입니다.</t>
  </si>
  <si>
    <t>abx은(는) 필수 Category 입력 항목입니다.</t>
  </si>
  <si>
    <t>baseline|9|105|therapy|Missing|therapy은(는) 현재 조건에서 입력이 필요합니다.</t>
  </si>
  <si>
    <t>therapy</t>
  </si>
  <si>
    <t>therapy은(는) 현재 조건에서 입력이 필요합니다.</t>
  </si>
  <si>
    <t>baseline|9|106|insulin|Missing|insulin은(는) 필수 Category 입력 항목입니다.</t>
  </si>
  <si>
    <t>insulin은(는) 필수 Category 입력 항목입니다.</t>
  </si>
  <si>
    <t>baseline|9|107|dmm|Missing|dmm은(는) 필수 Category 입력 항목입니다.</t>
  </si>
  <si>
    <t>dmm은(는) 필수 Category 입력 항목입니다.</t>
  </si>
  <si>
    <t>baseline|9|108|dmdt|Missing|dmdt은(는) 현재 조건에서 입력이 필요합니다.</t>
  </si>
  <si>
    <t>dmdt은(는) 현재 조건에서 입력이 필요합니다.</t>
  </si>
  <si>
    <t>baseline|9|110|htn|Missing|htn은(는) 필수 Category 입력 항목입니다.</t>
  </si>
  <si>
    <t>htn은(는) 필수 Category 입력 항목입니다.</t>
  </si>
  <si>
    <t>baseline|9|112|chd|Missing|chd은(는) 필수 Category 입력 항목입니다.</t>
  </si>
  <si>
    <t>chd은(는) 필수 Category 입력 항목입니다.</t>
  </si>
  <si>
    <t>baseline|9|114|ckd|Missing|ckd은(는) 필수 Category 입력 항목입니다.</t>
  </si>
  <si>
    <t>ckd은(는) 필수 Category 입력 항목입니다.</t>
  </si>
  <si>
    <t>baseline|9|116|neph|Missing|neph은(는) 필수 Category 입력 항목입니다.</t>
  </si>
  <si>
    <t>neph은(는) 필수 Category 입력 항목입니다.</t>
  </si>
  <si>
    <t>baseline|9|118|neur|Missing|neur은(는) 필수 Category 입력 항목입니다.</t>
  </si>
  <si>
    <t>neur은(는) 필수 Category 입력 항목입니다.</t>
  </si>
  <si>
    <t>baseline|9|120|pvd|Missing|pvd은(는) 필수 Category 입력 항목입니다.</t>
  </si>
  <si>
    <t>pvd은(는) 필수 Category 입력 항목입니다.</t>
  </si>
  <si>
    <t>baseline|9|122|esrd|Missing|esrd은(는) 필수 Category 입력 항목입니다.</t>
  </si>
  <si>
    <t>esrd은(는) 필수 Category 입력 항목입니다.</t>
  </si>
  <si>
    <t>baseline|9|123|amp_lt|Missing|amp_lt은(는) 필수 Category 입력 항목입니다.</t>
  </si>
  <si>
    <t>amp_lt은(는) 필수 Category 입력 항목입니다.</t>
  </si>
  <si>
    <t>baseline|9|124|amp_rt|Missing|amp_rt은(는) 필수 Category 입력 항목입니다.</t>
  </si>
  <si>
    <t>amp_rt</t>
  </si>
  <si>
    <t>amp_rt은(는) 필수 Category 입력 항목입니다.</t>
  </si>
  <si>
    <t>baseline|9|131|img2d|Missing|img2d은(는) 필수 Category 입력 항목입니다.</t>
  </si>
  <si>
    <t>img2d은(는) 필수 Category 입력 항목입니다.</t>
  </si>
  <si>
    <t>baseline|9|132|cc_lops|Missing|cc_lops은(는) 필수 Category 입력 항목입니다.</t>
  </si>
  <si>
    <t>cc_lops은(는) 필수 Category 입력 항목입니다.</t>
  </si>
  <si>
    <t>baseline|9|133|cc_pad|Missing|cc_pad은(는) 필수 Category 입력 항목입니다.</t>
  </si>
  <si>
    <t>cc_pad은(는) 필수 Category 입력 항목입니다.</t>
  </si>
  <si>
    <t>baseline|9|134|foot_deformity|Missing|foot_deformity은(는) 필수 Category 입력 항목입니다.</t>
  </si>
  <si>
    <t>foot_deformity은(는) 필수 Category 입력 항목입니다.</t>
  </si>
  <si>
    <t>baseline|10|4|sex|Missing|sex은(는) 필수 Category 입력 항목입니다.</t>
  </si>
  <si>
    <t>baseline|10|5|age|Missing|age은(는) 필수 Category 입력 항목입니다.</t>
  </si>
  <si>
    <t>baseline|10|6|edu|Missing|edu은(는) 필수 Category 입력 항목입니다.</t>
  </si>
  <si>
    <t>baseline|10|7|vdt|DateFormat|vdt은(는) yyyy-mm-dd 형식으로 입력해야 합니다. 현재값: 2026. 1. 1</t>
  </si>
  <si>
    <t>vdt은(는) yyyy-mm-dd 형식으로 입력해야 합니다. 현재값: 2026. 1. 1</t>
  </si>
  <si>
    <t>baseline|10|8|add|Missing|add은(는) 필수 Category 입력 항목입니다.</t>
  </si>
  <si>
    <t>baseline|10|9|dth|Missing|dth은(는) 필수 Category 입력 항목입니다.</t>
  </si>
  <si>
    <t>baseline|10|11|smk|Missing|smk은(는) 필수 Category 입력 항목입니다.</t>
  </si>
  <si>
    <t>baseline|10|15|mob|Missing|mob은(는) 필수 Category 입력 항목입니다.</t>
  </si>
  <si>
    <t>baseline|10|16|exl|Missing|exl은(는) 필수 Category 입력 항목입니다.</t>
  </si>
  <si>
    <t>baseline|10|17|exm|Missing|exm은(는) 필수 Category 입력 항목입니다.</t>
  </si>
  <si>
    <t>baseline|10|18|exh|Missing|exh은(는) 필수 Category 입력 항목입니다.</t>
  </si>
  <si>
    <t>baseline|10|19|exs|Missing|exs은(는) 필수 Category 입력 항목입니다.</t>
  </si>
  <si>
    <t>baseline|10|32|dfu|Missing|dfu은(는) 필수 Category 입력 항목입니다.</t>
  </si>
  <si>
    <t>baseline|10|34|wag|Missing|wag은(는) 필수 Category 입력 항목입니다.</t>
  </si>
  <si>
    <t>baseline|10|35|snb_site|Missing|snb_site은(는) 필수 Category 입력 항목입니다.</t>
  </si>
  <si>
    <t>baseline|10|36|snb_isc|Missing|snb_isc은(는) 필수 Category 입력 항목입니다.</t>
  </si>
  <si>
    <t>baseline|10|37|snb_neuro|Missing|snb_neuro은(는) 필수 Category 입력 항목입니다.</t>
  </si>
  <si>
    <t>baseline|10|38|snb_bac|Missing|snb_bac은(는) 필수 Category 입력 항목입니다.</t>
  </si>
  <si>
    <t>baseline|10|39|snb_area|Missing|snb_area은(는) 필수 Category 입력 항목입니다.</t>
  </si>
  <si>
    <t>baseline|10|40|snb_depth|Missing|snb_depth은(는) 필수 Category 입력 항목입니다.</t>
  </si>
  <si>
    <t>baseline|10|42|dfu_wnd|Missing|dfu_wnd은(는) 필수 Category 입력 항목입니다.</t>
  </si>
  <si>
    <t>baseline|10|53|dfu_imgdt|Missing|dfu_imgdt은(는) 현재 조건에서 입력이 필요합니다.</t>
  </si>
  <si>
    <t>baseline|10|74|hei|Missing|계측·혈압: 묶음 변수 중 최소 하나에 정상 숫자값을 입력해야 합니다.</t>
  </si>
  <si>
    <t>baseline|10|75|wei|Missing|계측·혈압: 묶음 변수 중 최소 하나에 정상 숫자값을 입력해야 합니다.</t>
  </si>
  <si>
    <t>baseline|10|76|bmi|Missing|계측·혈압: 묶음 변수 중 최소 하나에 정상 숫자값을 입력해야 합니다.</t>
  </si>
  <si>
    <t>baseline|10|77|sbp|Missing|계측·혈압: 묶음 변수 중 최소 하나에 정상 숫자값을 입력해야 합니다.</t>
  </si>
  <si>
    <t>baseline|10|78|dbp|Missing|계측·혈압: 묶음 변수 중 최소 하나에 정상 숫자값을 입력해야 합니다.</t>
  </si>
  <si>
    <t>baseline|10|94|angio|Missing|angio은(는) 필수 Category 입력 항목입니다.</t>
  </si>
  <si>
    <t>baseline|10|96|occl|Missing|occl은(는) 필수 Category 입력 항목입니다.</t>
  </si>
  <si>
    <t>baseline|10|99|pta|Missing|pta은(는) 필수 Category 입력 항목입니다.</t>
  </si>
  <si>
    <t>baseline|10|101|off|Missing|off은(는) 필수 Category 입력 항목입니다.</t>
  </si>
  <si>
    <t>baseline|10|103|abx|Missing|abx은(는) 필수 Category 입력 항목입니다.</t>
  </si>
  <si>
    <t>baseline|10|105|therapy|Missing|therapy은(는) 현재 조건에서 입력이 필요합니다.</t>
  </si>
  <si>
    <t>baseline|10|106|insulin|Missing|insulin은(는) 필수 Category 입력 항목입니다.</t>
  </si>
  <si>
    <t>baseline|10|107|dmm|Missing|dmm은(는) 필수 Category 입력 항목입니다.</t>
  </si>
  <si>
    <t>baseline|10|108|dmdt|Missing|dmdt은(는) 현재 조건에서 입력이 필요합니다.</t>
  </si>
  <si>
    <t>baseline|10|110|htn|Missing|htn은(는) 필수 Category 입력 항목입니다.</t>
  </si>
  <si>
    <t>baseline|10|112|chd|Missing|chd은(는) 필수 Category 입력 항목입니다.</t>
  </si>
  <si>
    <t>baseline|10|114|ckd|Missing|ckd은(는) 필수 Category 입력 항목입니다.</t>
  </si>
  <si>
    <t>baseline|10|116|neph|Missing|neph은(는) 필수 Category 입력 항목입니다.</t>
  </si>
  <si>
    <t>baseline|10|118|neur|Missing|neur은(는) 필수 Category 입력 항목입니다.</t>
  </si>
  <si>
    <t>baseline|10|120|pvd|Missing|pvd은(는) 필수 Category 입력 항목입니다.</t>
  </si>
  <si>
    <t>baseline|10|122|esrd|Missing|esrd은(는) 필수 Category 입력 항목입니다.</t>
  </si>
  <si>
    <t>baseline|10|123|amp_lt|Missing|amp_lt은(는) 필수 Category 입력 항목입니다.</t>
  </si>
  <si>
    <t>baseline|10|124|amp_rt|Missing|amp_rt은(는) 필수 Category 입력 항목입니다.</t>
  </si>
  <si>
    <t>baseline|10|131|img2d|Missing|img2d은(는) 필수 Category 입력 항목입니다.</t>
  </si>
  <si>
    <t>baseline|10|132|cc_lops|Missing|cc_lops은(는) 필수 Category 입력 항목입니다.</t>
  </si>
  <si>
    <t>baseline|10|133|cc_pad|Missing|cc_pad은(는) 필수 Category 입력 항목입니다.</t>
  </si>
  <si>
    <t>baseline|10|134|foot_deformity|Missing|foot_deformity은(는) 필수 Category 입력 항목입니다.</t>
  </si>
  <si>
    <t>f/u1|9|4|age|Missing|age은(는) 필수 Category 입력 항목입니다.</t>
  </si>
  <si>
    <t>f/u1</t>
  </si>
  <si>
    <t>테테스트</t>
  </si>
  <si>
    <t>moses@rexsw.com</t>
  </si>
  <si>
    <t>yeeun@rexsw.com</t>
  </si>
  <si>
    <t>확인</t>
  </si>
  <si>
    <t>f/u1|9|5|vdt|DateFormat|vdt은(는) yyyy-mm-dd 형식으로 입력해야 합니다. 현재값: 2026. 4. 12</t>
  </si>
  <si>
    <t>vdt은(는) yyyy-mm-dd 형식으로 입력해야 합니다. 현재값: 2026. 4. 12</t>
  </si>
  <si>
    <t>f/u1|9|6|dth|Missing|dth은(는) 필수 Category 입력 항목입니다.</t>
  </si>
  <si>
    <t>졸려</t>
  </si>
  <si>
    <t>f/u1|9|8|dfu|Missing|dfu은(는) 필수 Category 입력 항목입니다.</t>
  </si>
  <si>
    <t>f/u1|9|10|wag|Missing|wag은(는) 필수 Category 입력 항목입니다.</t>
  </si>
  <si>
    <t>f/u1|9|11|snb_site|Missing|snb_site은(는) 필수 Category 입력 항목입니다.</t>
  </si>
  <si>
    <t>f/u1|9|12|snb_isc|Missing|snb_isc은(는) 필수 Category 입력 항목입니다.</t>
  </si>
  <si>
    <t>f/u1|9|13|snb_neuro|Missing|snb_neuro은(는) 필수 Category 입력 항목입니다.</t>
  </si>
  <si>
    <t>f/u1|9|14|snb_bac|Missing|snb_bac은(는) 필수 Category 입력 항목입니다.</t>
  </si>
  <si>
    <t>f/u1|9|15|snb_area|Missing|snb_area은(는) 필수 Category 입력 항목입니다.</t>
  </si>
  <si>
    <t>f/u1|9|16|snb_depth|Missing|snb_depth은(는) 필수 Category 입력 항목입니다.</t>
  </si>
  <si>
    <t>f/u1|9|18|dfu_wnd|Missing|dfu_wnd은(는) 필수 Category 입력 항목입니다.</t>
  </si>
  <si>
    <t>f/u1|9|27|dfu_imgdt|Missing|dfu_imgdt은(는) 현재 조건에서 입력이 필요합니다.</t>
  </si>
  <si>
    <t>f/u1|9|50|pta|Missing|pta은(는) 필수 Category 입력 항목입니다.</t>
  </si>
  <si>
    <t>f/u1|9|52|amp_lt|Missing|amp_lt은(는) 필수 Category 입력 항목입니다.</t>
  </si>
  <si>
    <t>f/u1|9|53|amp_rt|Missing|amp_rt은(는) 필수 Category 입력 항목입니다.</t>
  </si>
  <si>
    <t>f/u1|9|60|bmi|Missing|계측·혈압: 묶음 변수 중 최소 하나에 정상 숫자값을 입력해야 합니다.</t>
  </si>
  <si>
    <t>f/u1|9|61|sbp|Missing|계측·혈압: 묶음 변수 중 최소 하나에 정상 숫자값을 입력해야 합니다.</t>
  </si>
  <si>
    <t>f/u1|9|62|dbp|Missing|계측·혈압: 묶음 변수 중 최소 하나에 정상 숫자값을 입력해야 합니다.</t>
  </si>
  <si>
    <t>f/u1|9|77|angio|Missing|angio은(는) 필수 Category 입력 항목입니다.</t>
  </si>
  <si>
    <t>f/u1|9|79|img2d|Missing|img2d은(는) 현재 조건에서 입력이 필요합니다.</t>
  </si>
  <si>
    <t>img2d은(는) 현재 조건에서 입력이 필요합니다.</t>
  </si>
  <si>
    <t>f/u1|10|4|age|Missing|age은(는) 필수 Category 입력 항목입니다.</t>
  </si>
  <si>
    <t>f/u1|10|5|vdt|DateFormat|vdt은(는) yyyy-mm-dd 형식으로 입력해야 합니다. 현재값: 2026. 2. 2</t>
  </si>
  <si>
    <t>vdt은(는) yyyy-mm-dd 형식으로 입력해야 합니다. 현재값: 2026. 2. 2</t>
  </si>
  <si>
    <t>f/u1|10|6|dth|Missing|dth은(는) 필수 Category 입력 항목입니다.</t>
  </si>
  <si>
    <t>f/u1|10|8|dfu|Missing|dfu은(는) 필수 Category 입력 항목입니다.</t>
  </si>
  <si>
    <t>f/u1|10|10|wag|Missing|wag은(는) 필수 Category 입력 항목입니다.</t>
  </si>
  <si>
    <t>f/u1|10|11|snb_site|Missing|snb_site은(는) 필수 Category 입력 항목입니다.</t>
  </si>
  <si>
    <t>f/u1|10|12|snb_isc|Missing|snb_isc은(는) 필수 Category 입력 항목입니다.</t>
  </si>
  <si>
    <t>f/u1|10|13|snb_neuro|Missing|snb_neuro은(는) 필수 Category 입력 항목입니다.</t>
  </si>
  <si>
    <t>f/u1|10|14|snb_bac|Missing|snb_bac은(는) 필수 Category 입력 항목입니다.</t>
  </si>
  <si>
    <t>f/u1|10|15|snb_area|Missing|snb_area은(는) 필수 Category 입력 항목입니다.</t>
  </si>
  <si>
    <t>f/u1|10|16|snb_depth|Missing|snb_depth은(는) 필수 Category 입력 항목입니다.</t>
  </si>
  <si>
    <t>f/u1|10|18|dfu_wnd|Missing|dfu_wnd은(는) 필수 Category 입력 항목입니다.</t>
  </si>
  <si>
    <t>f/u1|10|27|dfu_imgdt|Missing|dfu_imgdt은(는) 현재 조건에서 입력이 필요합니다.</t>
  </si>
  <si>
    <t>f/u1|10|50|pta|Missing|pta은(는) 필수 Category 입력 항목입니다.</t>
  </si>
  <si>
    <t>f/u1|10|52|amp_lt|Missing|amp_lt은(는) 필수 Category 입력 항목입니다.</t>
  </si>
  <si>
    <t>f/u1|10|53|amp_rt|Missing|amp_rt은(는) 필수 Category 입력 항목입니다.</t>
  </si>
  <si>
    <t>f/u1|10|60|bmi|Missing|계측·혈압: 묶음 변수 중 최소 하나에 정상 숫자값을 입력해야 합니다.</t>
  </si>
  <si>
    <t>f/u1|10|61|sbp|Missing|계측·혈압: 묶음 변수 중 최소 하나에 정상 숫자값을 입력해야 합니다.</t>
  </si>
  <si>
    <t>f/u1|10|62|dbp|Missing|계측·혈압: 묶음 변수 중 최소 하나에 정상 숫자값을 입력해야 합니다.</t>
  </si>
  <si>
    <t>f/u1|10|77|angio|Missing|angio은(는) 필수 Category 입력 항목입니다.</t>
  </si>
  <si>
    <t>f/u1|10|79|img2d|Missing|img2d은(는) 현재 조건에서 입력이 필요합니다.</t>
  </si>
  <si>
    <t>f/u2|9|4|age|Missing|age은(는) 필수 Category 입력 항목입니다.</t>
  </si>
  <si>
    <t>f/u2</t>
  </si>
  <si>
    <t>f/u2|9|5|vdt|DateFormat|vdt은(는) yyyy-mm-dd 형식으로 입력해야 합니다. 현재값: 2026. 5. 12</t>
  </si>
  <si>
    <t>vdt은(는) yyyy-mm-dd 형식으로 입력해야 합니다. 현재값: 2026. 5. 12</t>
  </si>
  <si>
    <t>f/u2|9|6|dth|Missing|dth은(는) 필수 Category 입력 항목입니다.</t>
  </si>
  <si>
    <t>f/u2|9|8|dfu|Missing|dfu은(는) 필수 Category 입력 항목입니다.</t>
  </si>
  <si>
    <t>f/u2|9|10|wag|Missing|wag은(는) 필수 Category 입력 항목입니다.</t>
  </si>
  <si>
    <t>f/u2|9|11|snb_site|Missing|snb_site은(는) 필수 Category 입력 항목입니다.</t>
  </si>
  <si>
    <t>f/u2|9|12|snb_isc|Missing|snb_isc은(는) 필수 Category 입력 항목입니다.</t>
  </si>
  <si>
    <t>f/u2|9|13|snb_neuro|Missing|snb_neuro은(는) 필수 Category 입력 항목입니다.</t>
  </si>
  <si>
    <t>f/u2|9|14|snb_bac|Missing|snb_bac은(는) 필수 Category 입력 항목입니다.</t>
  </si>
  <si>
    <t>f/u2|9|15|snb_area|Missing|snb_area은(는) 필수 Category 입력 항목입니다.</t>
  </si>
  <si>
    <t>f/u2|9|16|snb_depth|Missing|snb_depth은(는) 필수 Category 입력 항목입니다.</t>
  </si>
  <si>
    <t>f/u2|9|18|dfu_wnd|Missing|dfu_wnd은(는) 필수 Category 입력 항목입니다.</t>
  </si>
  <si>
    <t>f/u2|9|27|dfu_imgdt|Missing|dfu_imgdt은(는) 현재 조건에서 입력이 필요합니다.</t>
  </si>
  <si>
    <t>f/u2|9|50|pta|Missing|pta은(는) 필수 Category 입력 항목입니다.</t>
  </si>
  <si>
    <t>f/u2|9|52|amp_lt|Missing|amp_lt은(는) 필수 Category 입력 항목입니다.</t>
  </si>
  <si>
    <t>f/u2|9|53|amp_rt|Missing|amp_rt은(는) 필수 Category 입력 항목입니다.</t>
  </si>
  <si>
    <t>f/u2|9|60|bmi|Missing|계측·혈압: 묶음 변수 중 최소 하나에 정상 숫자값을 입력해야 합니다.</t>
  </si>
  <si>
    <t>f/u2|9|61|sbp|Missing|계측·혈압: 묶음 변수 중 최소 하나에 정상 숫자값을 입력해야 합니다.</t>
  </si>
  <si>
    <t>f/u2|9|62|dbp|Missing|계측·혈압: 묶음 변수 중 최소 하나에 정상 숫자값을 입력해야 합니다.</t>
  </si>
  <si>
    <t>f/u2|9|77|angio|Missing|angio은(는) 필수 Category 입력 항목입니다.</t>
  </si>
  <si>
    <t>f/u2|9|79|img2d|Missing|img2d은(는) 현재 조건에서 입력이 필요합니다.</t>
  </si>
  <si>
    <t>f/u2|10|4|age|Missing|age은(는) 필수 Category 입력 항목입니다.</t>
  </si>
  <si>
    <t>f/u2|10|5|vdt|DateFormat|vdt은(는) yyyy-mm-dd 형식으로 입력해야 합니다. 현재값: 2026. 3. 3</t>
  </si>
  <si>
    <t>vdt은(는) yyyy-mm-dd 형식으로 입력해야 합니다. 현재값: 2026. 3. 3</t>
  </si>
  <si>
    <t>f/u2|10|6|dth|Missing|dth은(는) 필수 Category 입력 항목입니다.</t>
  </si>
  <si>
    <t>f/u2|10|8|dfu|Missing|dfu은(는) 필수 Category 입력 항목입니다.</t>
  </si>
  <si>
    <t>f/u2|10|10|wag|Missing|wag은(는) 필수 Category 입력 항목입니다.</t>
  </si>
  <si>
    <t>f/u2|10|11|snb_site|Missing|snb_site은(는) 필수 Category 입력 항목입니다.</t>
  </si>
  <si>
    <t>f/u2|10|12|snb_isc|Missing|snb_isc은(는) 필수 Category 입력 항목입니다.</t>
  </si>
  <si>
    <t>f/u2|10|13|snb_neuro|Missing|snb_neuro은(는) 필수 Category 입력 항목입니다.</t>
  </si>
  <si>
    <t>f/u2|10|14|snb_bac|Missing|snb_bac은(는) 필수 Category 입력 항목입니다.</t>
  </si>
  <si>
    <t>f/u2|10|15|snb_area|Missing|snb_area은(는) 필수 Category 입력 항목입니다.</t>
  </si>
  <si>
    <t>f/u2|10|16|snb_depth|Missing|snb_depth은(는) 필수 Category 입력 항목입니다.</t>
  </si>
  <si>
    <t>f/u2|10|18|dfu_wnd|Missing|dfu_wnd은(는) 필수 Category 입력 항목입니다.</t>
  </si>
  <si>
    <t>f/u2|10|27|dfu_imgdt|Missing|dfu_imgdt은(는) 현재 조건에서 입력이 필요합니다.</t>
  </si>
  <si>
    <t>f/u2|10|50|pta|Missing|pta은(는) 필수 Category 입력 항목입니다.</t>
  </si>
  <si>
    <t>f/u2|10|52|amp_lt|Missing|amp_lt은(는) 필수 Category 입력 항목입니다.</t>
  </si>
  <si>
    <t>f/u2|10|53|amp_rt|Missing|amp_rt은(는) 필수 Category 입력 항목입니다.</t>
  </si>
  <si>
    <t>f/u2|10|60|bmi|Missing|계측·혈압: 묶음 변수 중 최소 하나에 정상 숫자값을 입력해야 합니다.</t>
  </si>
  <si>
    <t>f/u2|10|61|sbp|Missing|계측·혈압: 묶음 변수 중 최소 하나에 정상 숫자값을 입력해야 합니다.</t>
  </si>
  <si>
    <t>f/u2|10|62|dbp|Missing|계측·혈압: 묶음 변수 중 최소 하나에 정상 숫자값을 입력해야 합니다.</t>
  </si>
  <si>
    <t>f/u2|10|77|angio|Missing|angio은(는) 필수 Category 입력 항목입니다.</t>
  </si>
  <si>
    <t>f/u2|10|79|img2d|Missing|img2d은(는) 현재 조건에서 입력이 필요합니다.</t>
  </si>
  <si>
    <t>ExceptionKey</t>
  </si>
  <si>
    <t>RegisteredAt</t>
  </si>
  <si>
    <t>OriginalQueryKey</t>
  </si>
  <si>
    <t>Value</t>
  </si>
  <si>
    <t>확인 체크</t>
  </si>
  <si>
    <t>반려 체크</t>
  </si>
  <si>
    <t>처리자</t>
  </si>
  <si>
    <t>처리일</t>
  </si>
  <si>
    <t>승인상태</t>
  </si>
  <si>
    <t>baseline|IJH|0001|9|4|sex|Missing|</t>
  </si>
  <si>
    <t>baseline|9|4|sex|Missing|sex은(는) 필수 입력 항목입니다.</t>
  </si>
  <si>
    <t>0001</t>
  </si>
  <si>
    <t>sex은(는) 필수 입력 항목입니다.</t>
  </si>
  <si>
    <t>예외사유</t>
  </si>
  <si>
    <t>baseline|IJH|0001|9|6|edu|Category|?edu</t>
  </si>
  <si>
    <t>baseline|9|6|edu|Category|edu은(는) 허용된 category 값만 입력할 수 있습니다. 허용값: 1, 2, 3, 4, 5 / 현재값: ?edu</t>
  </si>
  <si>
    <t>Category</t>
  </si>
  <si>
    <t>?edu</t>
  </si>
  <si>
    <t>edu은(는) 허용된 category 값만 입력할 수 있습니다. 허용값: 1, 2, 3, 4, 5 / 현재값: ?edu</t>
  </si>
  <si>
    <t>그냥</t>
  </si>
  <si>
    <t>반려</t>
  </si>
  <si>
    <t>반려 처리 완료</t>
  </si>
  <si>
    <t>baseline|IJH|0002|10|4|sex|Category|3</t>
  </si>
  <si>
    <t>baseline|10|4|sex|Category|sex은(는) 허용된 category 값만 입력할 수 있습니다. 허용값: 0, 1, 99 / 현재값: 3</t>
  </si>
  <si>
    <t>0002</t>
  </si>
  <si>
    <t>sex은(는) 허용된 category 값만 입력할 수 있습니다. 허용값: 0, 1, 99 / 현재값: 3</t>
  </si>
  <si>
    <t>테스트</t>
  </si>
  <si>
    <t>baseline|IJH|0002|10|5|age|Missing|</t>
  </si>
  <si>
    <t>테스트2</t>
  </si>
  <si>
    <t>반려 테스트</t>
  </si>
  <si>
    <t>baseline|IJH|1|9|11|vdt|Missing|</t>
  </si>
  <si>
    <t>baseline|9|11|vdt|Missing|vdt은(는) 현재 조건에서 입력이 필요합니다.</t>
  </si>
  <si>
    <t>vdt은(는) 현재 조건에서 입력이 필요합니다.</t>
  </si>
  <si>
    <t>모세님 아이디</t>
  </si>
  <si>
    <t>모세님 반려</t>
  </si>
  <si>
    <t>baseline|IJH|0002|10|4|sex|Missing|</t>
  </si>
  <si>
    <t>모세님 아이디2</t>
  </si>
  <si>
    <t>f/u1|IJH|1|9|4|age|Missing|</t>
  </si>
  <si>
    <t>f/u1|IJH|1|9|6|dth|Missing|</t>
  </si>
  <si>
    <t>baseline|IJH|1|9|27|angio|Missing|</t>
  </si>
  <si>
    <t>baseline|9|27|angio|Missing|angio은(는) 필수 Category 입력 항목입니다.</t>
  </si>
  <si>
    <t>졸려 무척</t>
  </si>
  <si>
    <t>나도 졸림</t>
  </si>
  <si>
    <t>사용</t>
  </si>
  <si>
    <t>변수명</t>
  </si>
  <si>
    <t>한글명</t>
  </si>
  <si>
    <t>섹션</t>
  </si>
  <si>
    <t>형식</t>
  </si>
  <si>
    <t>단위/날짜형식</t>
  </si>
  <si>
    <t>Min</t>
  </si>
  <si>
    <t>Max</t>
  </si>
  <si>
    <t>NA규칙</t>
  </si>
  <si>
    <t>상위변수</t>
  </si>
  <si>
    <t>활성값</t>
  </si>
  <si>
    <t>공란허용</t>
  </si>
  <si>
    <t>99허용</t>
  </si>
  <si>
    <t>그룹명</t>
  </si>
  <si>
    <t>그룹종류</t>
  </si>
  <si>
    <t>그룹상위변수</t>
  </si>
  <si>
    <t>그룹활성값</t>
  </si>
  <si>
    <t>순서</t>
  </si>
  <si>
    <t>Y</t>
  </si>
  <si>
    <t>X</t>
  </si>
  <si>
    <t>N</t>
  </si>
  <si>
    <t>categorical</t>
  </si>
  <si>
    <t>x</t>
  </si>
  <si>
    <t>datetime</t>
  </si>
  <si>
    <t>공란</t>
  </si>
  <si>
    <t>*</t>
  </si>
  <si>
    <t>dfu_ex_type</t>
  </si>
  <si>
    <t>궤양의 특성-삼출물 성상</t>
  </si>
  <si>
    <t>1=장액성, 2=혈액성, 3=혈정혈액성, 4=화농성, 5=기타</t>
  </si>
  <si>
    <t>dfu_wnd,dfu_ex_amt</t>
  </si>
  <si>
    <t>1,1</t>
  </si>
  <si>
    <t>계측·혈압</t>
  </si>
  <si>
    <t>number</t>
  </si>
  <si>
    <t>character</t>
  </si>
  <si>
    <t>검사 결과</t>
  </si>
  <si>
    <t>발사이즈</t>
  </si>
  <si>
    <t>o</t>
  </si>
  <si>
    <t>O</t>
  </si>
  <si>
    <t>hospital</t>
  </si>
  <si>
    <t>vdt_t1</t>
  </si>
  <si>
    <t>vdt_t2</t>
  </si>
  <si>
    <t>vdt_t3</t>
  </si>
  <si>
    <t>sex_t1</t>
  </si>
  <si>
    <t>age_t1</t>
  </si>
  <si>
    <t>age_t2</t>
  </si>
  <si>
    <t>age_t3</t>
  </si>
  <si>
    <t>edu_t1</t>
  </si>
  <si>
    <t>dth_t1</t>
  </si>
  <si>
    <t>dth_t2</t>
  </si>
  <si>
    <t>dth_t3</t>
  </si>
  <si>
    <t>dthdt_t1</t>
  </si>
  <si>
    <t>dthdt_t2</t>
  </si>
  <si>
    <t>dthdt_t3</t>
  </si>
  <si>
    <t>smk_t1</t>
  </si>
  <si>
    <t>smdt_t1</t>
  </si>
  <si>
    <t>smkd_t1</t>
  </si>
  <si>
    <t>py_t1</t>
  </si>
  <si>
    <t>exl_t1</t>
  </si>
  <si>
    <t>dfu_t1</t>
  </si>
  <si>
    <t>dfu_t2</t>
  </si>
  <si>
    <t>dfu_t3</t>
  </si>
  <si>
    <t>dfudt_t1</t>
  </si>
  <si>
    <t>dfudt_t2</t>
  </si>
  <si>
    <t>dfudt_t3</t>
  </si>
  <si>
    <t>wag_t1</t>
  </si>
  <si>
    <t>wag_t2</t>
  </si>
  <si>
    <t>wag_t3</t>
  </si>
  <si>
    <t>snb_site_t1</t>
  </si>
  <si>
    <t>snb_site_t2</t>
  </si>
  <si>
    <t>snb_site_t3</t>
  </si>
  <si>
    <t>snb_isc_t1</t>
  </si>
  <si>
    <t>snb_isc_t2</t>
  </si>
  <si>
    <t>snb_isc_t3</t>
  </si>
  <si>
    <t>snb_neuro_t1</t>
  </si>
  <si>
    <t>snb_neuro_t2</t>
  </si>
  <si>
    <t>snb_neuro_t3</t>
  </si>
  <si>
    <t>snb_bac_t1</t>
  </si>
  <si>
    <t>snb_bac_t2</t>
  </si>
  <si>
    <t>snb_bac_t3</t>
  </si>
  <si>
    <t>snb_area_t1</t>
  </si>
  <si>
    <t>snb_area_t2</t>
  </si>
  <si>
    <t>snb_area_t3</t>
  </si>
  <si>
    <t>snb_depth_t1</t>
  </si>
  <si>
    <t>snb_depth_t2</t>
  </si>
  <si>
    <t>snb_depth_t3</t>
  </si>
  <si>
    <t>snb_score_t1</t>
  </si>
  <si>
    <t>snb_score_t2</t>
  </si>
  <si>
    <t>snb_score_t3</t>
  </si>
  <si>
    <t>dfu_wnd_t1</t>
  </si>
  <si>
    <t>dfu_wnd_t2</t>
  </si>
  <si>
    <t>dfu_wnd_t3</t>
  </si>
  <si>
    <t>dfu_no_t1</t>
  </si>
  <si>
    <t>dfu_ex_amt_t1</t>
  </si>
  <si>
    <t>dfu_ex_amt_t2</t>
  </si>
  <si>
    <t>dfu_ex_amt_t3</t>
  </si>
  <si>
    <t>dfu_nrs_t1</t>
  </si>
  <si>
    <t>dfu_nrs_t2</t>
  </si>
  <si>
    <t>dfu_nrs_t3</t>
  </si>
  <si>
    <t>map_lt_t1</t>
  </si>
  <si>
    <t>map_rt_t1</t>
  </si>
  <si>
    <t>hei_t1</t>
  </si>
  <si>
    <t>wei_t1</t>
  </si>
  <si>
    <t>wei_t2</t>
  </si>
  <si>
    <t>wei_t3</t>
  </si>
  <si>
    <t>bmi_t1</t>
  </si>
  <si>
    <t>bmi_t2</t>
  </si>
  <si>
    <t>bmi_t3</t>
  </si>
  <si>
    <t>sbp_t1</t>
  </si>
  <si>
    <t>sbp_t2</t>
  </si>
  <si>
    <t>sbp_t3</t>
  </si>
  <si>
    <t>dbp_t1</t>
  </si>
  <si>
    <t>dbp_t2</t>
  </si>
  <si>
    <t>dbp_t3</t>
  </si>
  <si>
    <t>crp_t1</t>
  </si>
  <si>
    <t>crp_t2</t>
  </si>
  <si>
    <t>crp_t3</t>
  </si>
  <si>
    <t>toep_t1</t>
  </si>
  <si>
    <t>toep_t2</t>
  </si>
  <si>
    <t>toep_t3</t>
  </si>
  <si>
    <t>fbs_t1</t>
  </si>
  <si>
    <t>fbs_t2</t>
  </si>
  <si>
    <t>fbs_t3</t>
  </si>
  <si>
    <t>hba1c_t1</t>
  </si>
  <si>
    <t>hba1c_t2</t>
  </si>
  <si>
    <t>hba1c_t3</t>
  </si>
  <si>
    <t>glu_t1</t>
  </si>
  <si>
    <t>glu_t2</t>
  </si>
  <si>
    <t>glu_t3</t>
  </si>
  <si>
    <t>neutro_t1</t>
  </si>
  <si>
    <t>neutro_t2</t>
  </si>
  <si>
    <t>neutro_t3</t>
  </si>
  <si>
    <t>lympho_t1</t>
  </si>
  <si>
    <t>lympho_t2</t>
  </si>
  <si>
    <t>lympho_t3</t>
  </si>
  <si>
    <t>esr_t1</t>
  </si>
  <si>
    <t>esr_t2</t>
  </si>
  <si>
    <t>esr_t3</t>
  </si>
  <si>
    <t>alb_t1</t>
  </si>
  <si>
    <t>alb_t2</t>
  </si>
  <si>
    <t>alb_t3</t>
  </si>
  <si>
    <t>ua_t1</t>
  </si>
  <si>
    <t>ua_t2</t>
  </si>
  <si>
    <t>ua_t3</t>
  </si>
  <si>
    <t>hb_t1</t>
  </si>
  <si>
    <t>hb_t2</t>
  </si>
  <si>
    <t>hb_t3</t>
  </si>
  <si>
    <t>hdl_t1</t>
  </si>
  <si>
    <t>hdl_t2</t>
  </si>
  <si>
    <t>hdl_t3</t>
  </si>
  <si>
    <t>ldl_t1</t>
  </si>
  <si>
    <t>ldl_t2</t>
  </si>
  <si>
    <t>ldl_t3</t>
  </si>
  <si>
    <t>tchol_t1</t>
  </si>
  <si>
    <t>tchol_t2</t>
  </si>
  <si>
    <t>tchol_t3</t>
  </si>
  <si>
    <t>abi_t1</t>
  </si>
  <si>
    <t>angio_t1</t>
  </si>
  <si>
    <t>angio_t2</t>
  </si>
  <si>
    <t>angio_t3</t>
  </si>
  <si>
    <t>occl_t1</t>
  </si>
  <si>
    <t>occl_t2</t>
  </si>
  <si>
    <t>occl_t3</t>
  </si>
  <si>
    <t>occl_no_t1</t>
  </si>
  <si>
    <t>occl_no_t2</t>
  </si>
  <si>
    <t>occl_no_t3</t>
  </si>
  <si>
    <t>pta_t1</t>
  </si>
  <si>
    <t>pta_t2</t>
  </si>
  <si>
    <t>pta_t3</t>
  </si>
  <si>
    <t>off_t1</t>
  </si>
  <si>
    <t>off_t2</t>
  </si>
  <si>
    <t>off_t3</t>
  </si>
  <si>
    <t>abx_t1</t>
  </si>
  <si>
    <t>abx_t2</t>
  </si>
  <si>
    <t>abx_t3</t>
  </si>
  <si>
    <t>insulin_t1</t>
  </si>
  <si>
    <t>insulin_t2</t>
  </si>
  <si>
    <t>insulin_t3</t>
  </si>
  <si>
    <t>dmm_t1</t>
  </si>
  <si>
    <t>dmm_t2</t>
  </si>
  <si>
    <t>dmm_t3</t>
  </si>
  <si>
    <t>dmdt_t1</t>
  </si>
  <si>
    <t>dmt_t1</t>
  </si>
  <si>
    <t>htn_t1</t>
  </si>
  <si>
    <t>htn_t2</t>
  </si>
  <si>
    <t>htn_t3</t>
  </si>
  <si>
    <t>chd_t1</t>
  </si>
  <si>
    <t>chd_t2</t>
  </si>
  <si>
    <t>chd_t3</t>
  </si>
  <si>
    <t>ckd_t1</t>
  </si>
  <si>
    <t>ckd_t2</t>
  </si>
  <si>
    <t>ckd_t3</t>
  </si>
  <si>
    <t>neph_t1</t>
  </si>
  <si>
    <t>neph_t2</t>
  </si>
  <si>
    <t>neph_t3</t>
  </si>
  <si>
    <t>neur_t1</t>
  </si>
  <si>
    <t>neur_t2</t>
  </si>
  <si>
    <t>neur_t3</t>
  </si>
  <si>
    <t>pvd_t1</t>
  </si>
  <si>
    <t>pvd_t2</t>
  </si>
  <si>
    <t>pvd_t3</t>
  </si>
  <si>
    <t>esrd_t1</t>
  </si>
  <si>
    <t>esrd_t2</t>
  </si>
  <si>
    <t>esrd_t3</t>
  </si>
  <si>
    <t>amp_lt_t1</t>
  </si>
  <si>
    <t>amp_lt_t2</t>
  </si>
  <si>
    <t>amp_lt_t3</t>
  </si>
  <si>
    <t>ampdt_lt_t1</t>
  </si>
  <si>
    <t>ampdt_lt_t2</t>
  </si>
  <si>
    <t>ampdt_lt_t3</t>
  </si>
  <si>
    <t>img2d_t1</t>
  </si>
  <si>
    <t>img2d_t2</t>
  </si>
  <si>
    <t>img2d_t3</t>
  </si>
  <si>
    <t>cc_lops_t1</t>
  </si>
  <si>
    <t>cc_lops_t2</t>
  </si>
  <si>
    <t>cc_lops_t3</t>
  </si>
  <si>
    <t>cc_pad_t1</t>
  </si>
  <si>
    <t>cc_pad_t2</t>
  </si>
  <si>
    <t>cc_pad_t3</t>
  </si>
  <si>
    <t>foot_deformity_t1</t>
  </si>
  <si>
    <t>foot_deformity_t2</t>
  </si>
  <si>
    <t>foot_deformity_t3</t>
  </si>
  <si>
    <t>한글 항목명</t>
  </si>
  <si>
    <t>수집시점 해당여부(T1)</t>
  </si>
  <si>
    <t>수집시점 해당여부(T2)</t>
  </si>
  <si>
    <t>수집시점 해당여부(T3)</t>
  </si>
  <si>
    <t>수집시점에 따라 변수를 그만큼 여러개 만들어야하는가</t>
  </si>
  <si>
    <t>fs</t>
  </si>
  <si>
    <t>특정약물에 중독여부</t>
  </si>
  <si>
    <t>하루 흡연량(개비)
1갑 - 20개비</t>
  </si>
  <si>
    <t>신체기동성</t>
  </si>
  <si>
    <r>
      <rPr>
        <sz val="10"/>
        <color theme="1"/>
        <rFont val="Arial"/>
      </rPr>
      <t>신체활동</t>
    </r>
    <r>
      <rPr>
        <strike/>
        <sz val="10"/>
        <color theme="1"/>
        <rFont val="Arial"/>
      </rPr>
      <t xml:space="preserve">(저강도) </t>
    </r>
    <r>
      <rPr>
        <b/>
        <sz val="10"/>
        <color rgb="FF0000FF"/>
        <rFont val="Arial"/>
      </rPr>
      <t>여부</t>
    </r>
  </si>
  <si>
    <t>신체활동(중강도) 여부</t>
  </si>
  <si>
    <t>신체활동(고강도)
여부</t>
  </si>
  <si>
    <t>신체활동(근력운동)
여부</t>
  </si>
  <si>
    <t>exl_freq</t>
  </si>
  <si>
    <t>신체활동 주기(저강도)
(주 n회)</t>
  </si>
  <si>
    <t>exl_hr</t>
  </si>
  <si>
    <t>신체활동 시간(저강도)
(하루 n시간)</t>
  </si>
  <si>
    <t>exl_min</t>
  </si>
  <si>
    <t>신체활동 분(저강도)
(하루 n분)</t>
  </si>
  <si>
    <t>exm_freq</t>
  </si>
  <si>
    <t>신체활동 주기(중강도)
(주 n회)</t>
  </si>
  <si>
    <t>exm_hr</t>
  </si>
  <si>
    <t>신체활동 시간(중강도)
(하루 n시간)</t>
  </si>
  <si>
    <t>exm_min</t>
  </si>
  <si>
    <t>신체활동 분(중강도)
(하루 n분)</t>
  </si>
  <si>
    <t>exh_freq</t>
  </si>
  <si>
    <t>신체활동 주기(고강도)
(주 n회)</t>
  </si>
  <si>
    <t>exh_hr</t>
  </si>
  <si>
    <t>신체활동 시간(고강도)
(하루 n시간)</t>
  </si>
  <si>
    <t>exh_min</t>
  </si>
  <si>
    <t>신체활동 분(고강도)
(하루 n분)</t>
  </si>
  <si>
    <t>exs_freq</t>
  </si>
  <si>
    <t>신체활동 주기(근력운동)
(주 n회)</t>
  </si>
  <si>
    <t>exs_hr</t>
  </si>
  <si>
    <t>신체활동 시간(근력운동)
(하루 n시간)</t>
  </si>
  <si>
    <t>exs_min</t>
  </si>
  <si>
    <t>신체활동 분(근력운동)
(하루 n분)</t>
  </si>
  <si>
    <t>당뇨발 Wagner grade(T1때의 궤양에 대해)</t>
  </si>
  <si>
    <t>당뇨발 SINBAD Site(T1때의 궤양에 대해)</t>
  </si>
  <si>
    <t>당뇨발 SINBAD Ischemia(T1때의 궤양에 대해)</t>
  </si>
  <si>
    <t>당뇨발 SINBAD Neuropathy(T1때의 궤양에 대해)</t>
  </si>
  <si>
    <t>당뇨발 SINBAD Baterical infection(T1때의 궤양에 대해)</t>
  </si>
  <si>
    <t>당뇨발 SINBAD area(T1때의 궤양에 대해)</t>
  </si>
  <si>
    <t>당뇨발 SINBAD depth(T1때의 궤양에 대해)</t>
  </si>
  <si>
    <t>당뇨발 SINBAD score(T1때의 궤양에 대해)</t>
  </si>
  <si>
    <t>dfu_l</t>
  </si>
  <si>
    <t>궤양의 특성-장축</t>
  </si>
  <si>
    <t>dfu_s</t>
  </si>
  <si>
    <t>궤양의 특성-단축</t>
  </si>
  <si>
    <t>dfu_area</t>
  </si>
  <si>
    <t>궤양의 특성-크기</t>
  </si>
  <si>
    <t>dfu_tis</t>
  </si>
  <si>
    <t>궤양의 특성-조직유형</t>
  </si>
  <si>
    <r>
      <rPr>
        <sz val="10"/>
        <color theme="1"/>
        <rFont val="Arial"/>
      </rPr>
      <t xml:space="preserve">궤양의 특성-삼출물 </t>
    </r>
    <r>
      <rPr>
        <b/>
        <sz val="10"/>
        <color rgb="FF0000FF"/>
        <rFont val="Arial"/>
      </rPr>
      <t>여부</t>
    </r>
  </si>
  <si>
    <t>촬영날짜</t>
  </si>
  <si>
    <t>좌측(L) 발 여부(T1때의 궤양에 대해)</t>
  </si>
  <si>
    <t>우측(R) 발 여부(T1때의 궤양에 대해)</t>
  </si>
  <si>
    <t>map_lt_pl_toe</t>
  </si>
  <si>
    <t>왼쪽 발바닥(Plantar)toe 여부</t>
  </si>
  <si>
    <t>map_lt_pl_ff</t>
  </si>
  <si>
    <t>왼쪽 발바닥(Plantar)fore foot 여부</t>
  </si>
  <si>
    <t>map_lt_pl_mf</t>
  </si>
  <si>
    <t>왼쪽 발바닥(Plantar)mid foot 여부</t>
  </si>
  <si>
    <t>map_lt_pl_hf</t>
  </si>
  <si>
    <t>왼쪽 발바닥(Plantar)hind foot 여부</t>
  </si>
  <si>
    <t>map_lt_pl_ank</t>
  </si>
  <si>
    <t>왼쪽 발바닥(Plantar)ankle여부</t>
  </si>
  <si>
    <t>map_lt_dor_toe</t>
  </si>
  <si>
    <t>왼쪽 발등(dorsum)toe 여부</t>
  </si>
  <si>
    <t>map_lt_dor_ff</t>
  </si>
  <si>
    <t>왼쪽 발등(dorsum)fore foot 여부</t>
  </si>
  <si>
    <t>map_lt_dor_mf</t>
  </si>
  <si>
    <t>왼쪽 발등(dorsum)mid foot 여부</t>
  </si>
  <si>
    <t>map_lt_dor_hf</t>
  </si>
  <si>
    <t>왼쪽 발등(dorsum)hind foot 여부</t>
  </si>
  <si>
    <t>map_lt_dor_ank</t>
  </si>
  <si>
    <t>왼쪽 발등(dorsum)ankle 여부</t>
  </si>
  <si>
    <t>map_rt_pl_toe</t>
  </si>
  <si>
    <t>오른쪽 발바닥(Plantar)toe 여부</t>
  </si>
  <si>
    <t>map_rt_pl_ff</t>
  </si>
  <si>
    <t>오른쪽 발바닥(Plantar)fore foot 여부</t>
  </si>
  <si>
    <t>map_rt_pl_mf</t>
  </si>
  <si>
    <t>오른쪽 발바닥(Plantar)mid foot 여부</t>
  </si>
  <si>
    <t>map_rt_pl_hf</t>
  </si>
  <si>
    <t>오른쪽 발바닥(Plantar)hind foot 여부</t>
  </si>
  <si>
    <t>map_rt_pl_ank</t>
  </si>
  <si>
    <t>오른쪽 발바닥(Plantar)ankle여부</t>
  </si>
  <si>
    <t>map_rt_dor_toe</t>
  </si>
  <si>
    <t>오른쪽 발등(dorsum)toe 여부</t>
  </si>
  <si>
    <t>map_rt_dor_ff</t>
  </si>
  <si>
    <t>오른쪽 발등(dorsum)fore foot 여부</t>
  </si>
  <si>
    <t>map_rt_dor_mf</t>
  </si>
  <si>
    <t>오른쪽 발등(dorsum)mid foot 여부</t>
  </si>
  <si>
    <t>map_rt_dor_hf</t>
  </si>
  <si>
    <t>오른쪽 발등(dorsum)hind foot 여부</t>
  </si>
  <si>
    <t>map_rt_dor_ank</t>
  </si>
  <si>
    <t>오른쪽 발등(dorsum)ankle 여부</t>
  </si>
  <si>
    <t>Percutaneous Transluminal Angioplasty 여부(T1때 궤양에 대한 PTA만 수집)</t>
  </si>
  <si>
    <t>ptadt</t>
  </si>
  <si>
    <t>PTA 시행일</t>
  </si>
  <si>
    <t>당뇨발 감압치료 여부(T1때의 궤양에 대해)</t>
  </si>
  <si>
    <t>offt</t>
  </si>
  <si>
    <t>당뇨발 감압치료 종류</t>
  </si>
  <si>
    <t>항생제 사용여부(T1때의 궤양에 대해)</t>
  </si>
  <si>
    <t>abx_name</t>
  </si>
  <si>
    <t>항생제 약물명</t>
  </si>
  <si>
    <t>기타치료</t>
  </si>
  <si>
    <r>
      <rPr>
        <sz val="10"/>
        <color theme="1"/>
        <rFont val="Arial"/>
      </rPr>
      <t>당뇨 type</t>
    </r>
    <r>
      <rPr>
        <b/>
        <sz val="10"/>
        <color rgb="FF0000FF"/>
        <rFont val="Arial"/>
      </rPr>
      <t>(1형 vs 2형)</t>
    </r>
  </si>
  <si>
    <t>htndt</t>
  </si>
  <si>
    <t>고혈압 진단일</t>
  </si>
  <si>
    <t>chddt</t>
  </si>
  <si>
    <t>관상동맥질환 진단일</t>
  </si>
  <si>
    <t>ckddt</t>
  </si>
  <si>
    <t>만성콩팥질환 진단일</t>
  </si>
  <si>
    <t>nephdt</t>
  </si>
  <si>
    <t>당뇨병성신증 진단일</t>
  </si>
  <si>
    <t>ESRD 진단여부</t>
  </si>
  <si>
    <t>neurdt</t>
  </si>
  <si>
    <t>말초신경병증 진단일</t>
  </si>
  <si>
    <t>pad</t>
  </si>
  <si>
    <t>paddt</t>
  </si>
  <si>
    <t>말초동맥질환 진단일</t>
  </si>
  <si>
    <r>
      <rPr>
        <sz val="10"/>
        <color theme="1"/>
        <rFont val="Arial"/>
      </rPr>
      <t>amp</t>
    </r>
    <r>
      <rPr>
        <strike/>
        <sz val="10"/>
        <color theme="1"/>
        <rFont val="Arial"/>
      </rPr>
      <t>_lt</t>
    </r>
  </si>
  <si>
    <r>
      <rPr>
        <sz val="10"/>
        <color theme="1"/>
        <rFont val="Arial"/>
      </rPr>
      <t>신체절단 여부</t>
    </r>
    <r>
      <rPr>
        <strike/>
        <sz val="10"/>
        <color theme="1"/>
        <rFont val="Arial"/>
      </rPr>
      <t>-왼발</t>
    </r>
  </si>
  <si>
    <t>신체절단 여부-오른발</t>
  </si>
  <si>
    <t>amp_type_lt</t>
  </si>
  <si>
    <t>절단유형-왼발</t>
  </si>
  <si>
    <t>amp_type_rt</t>
  </si>
  <si>
    <t>절단유형-오른발</t>
  </si>
  <si>
    <t>amp_lt_reg</t>
  </si>
  <si>
    <t>신체절단 부위-왼발</t>
  </si>
  <si>
    <t>amp_rt_reg</t>
  </si>
  <si>
    <t>신체절단 부위-오른발</t>
  </si>
  <si>
    <r>
      <rPr>
        <b/>
        <sz val="10"/>
        <color rgb="FF0000FF"/>
        <rFont val="Arial"/>
      </rPr>
      <t>amp_dt</t>
    </r>
    <r>
      <rPr>
        <strike/>
        <sz val="10"/>
        <color theme="1"/>
        <rFont val="Arial"/>
      </rPr>
      <t>_lt</t>
    </r>
  </si>
  <si>
    <r>
      <rPr>
        <sz val="10"/>
        <color theme="1"/>
        <rFont val="Arial"/>
      </rPr>
      <t>신체절단일</t>
    </r>
    <r>
      <rPr>
        <strike/>
        <sz val="10"/>
        <color theme="1"/>
        <rFont val="Arial"/>
      </rPr>
      <t>-왼발</t>
    </r>
  </si>
  <si>
    <t>ampdt_rt</t>
  </si>
  <si>
    <t>신체절단일-오른발</t>
  </si>
  <si>
    <t>키
(cm)</t>
  </si>
  <si>
    <t>몸무게
(kg)</t>
  </si>
  <si>
    <t>Body mass index
(kg/m^2)</t>
  </si>
  <si>
    <t>Systolic blood pressure
(mmHg)</t>
  </si>
  <si>
    <t>Diastolic blood pressure
(mmHg)</t>
  </si>
  <si>
    <t>c-reactive protein
(mg/dL)</t>
  </si>
  <si>
    <t>toe pressure
(mmHg)</t>
  </si>
  <si>
    <t>fasting blood sugar
(mg/dL)</t>
  </si>
  <si>
    <t>hemoglobin a1c
(%)</t>
  </si>
  <si>
    <t>random plasma glucose
(mg/dL)</t>
  </si>
  <si>
    <t>neutrophil percent
(%)</t>
  </si>
  <si>
    <t>lymphocyte percent
(%)</t>
  </si>
  <si>
    <t>Erythrocyte sedimentation rate
(mm/hr)</t>
  </si>
  <si>
    <t>albumin
(g/dL)</t>
  </si>
  <si>
    <t>uric acid
(mg/dL)</t>
  </si>
  <si>
    <t>hemoglobin
(g/dL)</t>
  </si>
  <si>
    <t>High-density lipoprotein
(mg/dL)</t>
  </si>
  <si>
    <t>Low-density lipoprotein
(mg/dL)</t>
  </si>
  <si>
    <t>total cholesterol
(mg/dL)</t>
  </si>
  <si>
    <t>ankle-brachial index
(단위없음)</t>
  </si>
  <si>
    <t>CT angiography(CTA) 여부(T1때의 궤양에 대해 최근일자로)</t>
  </si>
  <si>
    <t>angiodt</t>
  </si>
  <si>
    <t>CT angiography(CTA) 시행일</t>
  </si>
  <si>
    <t>하지동맥폐색 여부(T1때의 궤양에 대해 최근일자로)</t>
  </si>
  <si>
    <t>occl_area</t>
  </si>
  <si>
    <t>하지동맥폐색 부위</t>
  </si>
  <si>
    <t>하지동맥폐색 갯수(T1때의 궤양에 대해 최근일자로)</t>
  </si>
  <si>
    <r>
      <rPr>
        <sz val="10"/>
        <color theme="1"/>
        <rFont val="Arial"/>
      </rPr>
      <t>당뇨발 2D 이미지</t>
    </r>
    <r>
      <rPr>
        <b/>
        <sz val="10"/>
        <color rgb="FF0000FF"/>
        <rFont val="Arial"/>
      </rPr>
      <t xml:space="preserve"> EMR에 업로드되어있는지 여부</t>
    </r>
  </si>
  <si>
    <t>img3d</t>
  </si>
  <si>
    <t>당뇨발 3D 이미지</t>
  </si>
  <si>
    <t>LOPS증상 여부(chief complain_lops)(T1때의 궤양측 하지에 대해)</t>
  </si>
  <si>
    <t>pad증상 여부(chief complain_pad)(T1때의 궤양측 하지에 대해)</t>
  </si>
  <si>
    <t>신체활동 여부</t>
  </si>
  <si>
    <t>당뇨 type(1형 vs 2형)</t>
  </si>
  <si>
    <r>
      <rPr>
        <sz val="10"/>
        <color theme="1"/>
        <rFont val="Arial"/>
      </rPr>
      <t>amp</t>
    </r>
    <r>
      <rPr>
        <strike/>
        <sz val="10"/>
        <color theme="1"/>
        <rFont val="Arial"/>
      </rPr>
      <t>_lt</t>
    </r>
  </si>
  <si>
    <t>amp_dt</t>
  </si>
  <si>
    <r>
      <rPr>
        <sz val="10"/>
        <color theme="1"/>
        <rFont val="Arial"/>
      </rPr>
      <t>당뇨발 2D 이미지</t>
    </r>
    <r>
      <rPr>
        <b/>
        <sz val="10"/>
        <color rgb="FF0000FF"/>
        <rFont val="Arial"/>
      </rPr>
      <t xml:space="preserve"> </t>
    </r>
    <r>
      <rPr>
        <sz val="10"/>
        <color theme="1"/>
        <rFont val="Arial"/>
      </rPr>
      <t>EMR에 업로드되어있는지 여부</t>
    </r>
  </si>
  <si>
    <t>-</t>
  </si>
  <si>
    <t>첫화면</t>
  </si>
  <si>
    <t>초기 간호 기록지
외래 초진 기록
입원 초진 기록</t>
  </si>
  <si>
    <t>외래 초/재진 기록</t>
  </si>
  <si>
    <t>외래 초/재진 기록
입/퇴원 기록
초기 간호 기록지</t>
  </si>
  <si>
    <t>처방
외래 초/재진 기록
입/퇴원 기록</t>
  </si>
  <si>
    <t>처방
외래 초/재진 기록
입/퇴원 기록
초기 간호 기록지</t>
  </si>
  <si>
    <t>초기 간호 기록지
외래 초/재진 기록
진단 코드명</t>
  </si>
  <si>
    <t>초기 간호 기록지
입/퇴원 기록
수술 기록</t>
  </si>
  <si>
    <t>첫화면
임상기록 결과</t>
  </si>
  <si>
    <t>검사 결과 
외래 재진 기록
입/퇴원 기록</t>
  </si>
  <si>
    <t>검사결과(영상)
외래 초/재진 기록
입/퇴원 기록</t>
  </si>
  <si>
    <t>환자 정보</t>
    <phoneticPr fontId="30" type="noConversion"/>
  </si>
  <si>
    <r>
      <rPr>
        <sz val="10"/>
        <color rgb="FF000000"/>
        <rFont val="맑은 고딕"/>
        <family val="2"/>
        <charset val="129"/>
      </rPr>
      <t>환자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2"/>
        <charset val="129"/>
      </rPr>
      <t>정보</t>
    </r>
    <phoneticPr fontId="30" type="noConversion"/>
  </si>
  <si>
    <r>
      <rPr>
        <sz val="10"/>
        <color rgb="FF000000"/>
        <rFont val="맑은 고딕"/>
        <family val="3"/>
        <charset val="129"/>
      </rPr>
      <t>외래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초진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기록
외래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재진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2"/>
        <charset val="129"/>
      </rPr>
      <t>기</t>
    </r>
    <r>
      <rPr>
        <sz val="10"/>
        <color rgb="FF000000"/>
        <rFont val="맑은 고딕"/>
        <family val="3"/>
        <charset val="129"/>
      </rPr>
      <t>록
진단 코드명</t>
    </r>
    <phoneticPr fontId="30" type="noConversion"/>
  </si>
  <si>
    <r>
      <rPr>
        <sz val="10"/>
        <color rgb="FF000000"/>
        <rFont val="맑은 고딕"/>
        <family val="3"/>
        <charset val="129"/>
      </rPr>
      <t>인제대</t>
    </r>
    <r>
      <rPr>
        <sz val="10"/>
        <color rgb="FF000000"/>
        <rFont val="Arial"/>
        <family val="2"/>
        <scheme val="minor"/>
      </rPr>
      <t xml:space="preserve"> EMR </t>
    </r>
    <r>
      <rPr>
        <sz val="10"/>
        <color rgb="FF000000"/>
        <rFont val="맑은 고딕"/>
        <family val="3"/>
        <charset val="129"/>
      </rPr>
      <t>위치</t>
    </r>
    <phoneticPr fontId="30" type="noConversion"/>
  </si>
  <si>
    <r>
      <rPr>
        <sz val="10"/>
        <color rgb="FF000000"/>
        <rFont val="맑은 고딕"/>
        <family val="3"/>
        <charset val="129"/>
      </rPr>
      <t>순천향</t>
    </r>
    <r>
      <rPr>
        <sz val="10"/>
        <color rgb="FF000000"/>
        <rFont val="Arial"/>
        <family val="2"/>
        <scheme val="minor"/>
      </rPr>
      <t xml:space="preserve"> EMR </t>
    </r>
    <r>
      <rPr>
        <sz val="10"/>
        <color rgb="FF000000"/>
        <rFont val="맑은 고딕"/>
        <family val="3"/>
        <charset val="129"/>
      </rPr>
      <t>위치</t>
    </r>
    <phoneticPr fontId="30" type="noConversion"/>
  </si>
  <si>
    <t>-</t>
    <phoneticPr fontId="30" type="noConversion"/>
  </si>
  <si>
    <t>외래 초진 기록</t>
    <phoneticPr fontId="30" type="noConversion"/>
  </si>
  <si>
    <r>
      <rPr>
        <sz val="10"/>
        <color rgb="FF000000"/>
        <rFont val="맑은 고딕"/>
        <family val="3"/>
        <charset val="129"/>
      </rPr>
      <t>외래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초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맑은 고딕"/>
        <family val="3"/>
        <charset val="129"/>
      </rPr>
      <t>재진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기록
입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맑은 고딕"/>
        <family val="3"/>
        <charset val="129"/>
      </rPr>
      <t>퇴원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기록
초기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간호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기록지</t>
    </r>
    <phoneticPr fontId="30" type="noConversion"/>
  </si>
  <si>
    <t>이대목동 EMR 위치</t>
  </si>
  <si>
    <t>외래 초/재진 기록
초기 간호 기록지
진단 코드명</t>
  </si>
  <si>
    <t>처방
초기 간호 기록지
외래 초/재진 기록</t>
  </si>
  <si>
    <t>외래 초진 기록
수술 기록
입/퇴원 기록</t>
  </si>
  <si>
    <t>처방
검사 결과
외래 초/재진 기록</t>
  </si>
  <si>
    <t xml:space="preserve">외래 초/재진 기록
입/퇴원 기록
초기 간호 기록지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</si>
</sst>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\-mm\-dd"/>
  </numFmts>
  <fonts count="3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7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FF0000"/>
      <name val="Arial"/>
    </font>
    <font>
      <b/>
      <sz val="10"/>
      <color rgb="FFFF0000"/>
      <name val="Arial"/>
    </font>
    <font>
      <sz val="13"/>
      <color rgb="FF000000"/>
      <name val="Arial"/>
    </font>
    <font>
      <sz val="10"/>
      <color rgb="FF0000FF"/>
      <name val="Arial"/>
      <scheme val="minor"/>
    </font>
    <font>
      <sz val="13"/>
      <color rgb="FF0000FF"/>
      <name val="Arial"/>
    </font>
    <font>
      <sz val="9"/>
      <color rgb="FF5F6368"/>
      <name val="Arial"/>
      <scheme val="minor"/>
    </font>
    <font>
      <b/>
      <sz val="12"/>
      <color rgb="FFFFFFFF"/>
      <name val="Arial"/>
      <scheme val="minor"/>
    </font>
    <font>
      <sz val="10"/>
      <color rgb="FF000000"/>
      <name val="함초롬바탕"/>
      <family val="1"/>
      <charset val="129"/>
    </font>
    <font>
      <sz val="10"/>
      <color rgb="FF000000"/>
      <name val="맑은 고딕"/>
      <family val="3"/>
      <charset val="129"/>
    </font>
    <font>
      <sz val="9"/>
      <color rgb="FF444444"/>
      <name val="Arial"/>
      <scheme val="minor"/>
    </font>
    <font>
      <sz val="10"/>
      <color rgb="FF0000FF"/>
      <name val="함초롬바탕"/>
      <family val="1"/>
      <charset val="129"/>
    </font>
    <font>
      <sz val="10"/>
      <color rgb="FF0000FF"/>
      <name val="맑은 고딕"/>
      <family val="3"/>
      <charset val="129"/>
    </font>
    <font>
      <sz val="11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b/>
      <sz val="10"/>
      <color theme="1"/>
      <name val="Roboto"/>
    </font>
    <font>
      <strike/>
      <sz val="10"/>
      <color theme="1"/>
      <name val="Arial"/>
      <scheme val="minor"/>
    </font>
    <font>
      <sz val="10"/>
      <color rgb="FF434343"/>
      <name val="Roboto"/>
    </font>
    <font>
      <b/>
      <sz val="10"/>
      <color rgb="FF0000FF"/>
      <name val="Arial"/>
      <scheme val="minor"/>
    </font>
    <font>
      <strike/>
      <sz val="13"/>
      <color rgb="FF000000"/>
      <name val="Arial"/>
    </font>
    <font>
      <strike/>
      <sz val="10"/>
      <color theme="1"/>
      <name val="Arial"/>
    </font>
    <font>
      <strike/>
      <sz val="10"/>
      <color rgb="FF000000"/>
      <name val="함초롬바탕"/>
      <family val="1"/>
      <charset val="129"/>
    </font>
    <font>
      <strike/>
      <sz val="10"/>
      <color rgb="FF000000"/>
      <name val="맑은 고딕"/>
      <family val="3"/>
      <charset val="129"/>
    </font>
    <font>
      <b/>
      <sz val="10"/>
      <color rgb="FF0000FF"/>
      <name val="Arial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맑은 고딕"/>
      <family val="2"/>
      <charset val="129"/>
    </font>
    <font>
      <sz val="10"/>
      <color rgb="FF000000"/>
      <name val="Arial"/>
      <family val="2"/>
      <charset val="129"/>
      <scheme val="minor"/>
    </font>
    <font>
      <sz val="10"/>
      <color rgb="FF000000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DF2"/>
        <bgColor rgb="FFFFFDF2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8F9FA"/>
        <bgColor rgb="FFF8F9FA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BFE1F6"/>
        <bgColor rgb="FFBFE1F6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D9EAF7"/>
        <bgColor rgb="FFD9EAF7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</fills>
  <borders count="1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/>
    <xf numFmtId="49" fontId="1" fillId="0" borderId="0" xfId="0" applyNumberFormat="1" applyFont="1"/>
    <xf numFmtId="0" fontId="1" fillId="0" borderId="0" xfId="0" applyFont="1"/>
    <xf numFmtId="0" fontId="3" fillId="0" borderId="0" xfId="0" applyFont="1"/>
    <xf numFmtId="0" fontId="4" fillId="4" borderId="0" xfId="0" applyFont="1" applyFill="1"/>
    <xf numFmtId="49" fontId="1" fillId="5" borderId="0" xfId="0" applyNumberFormat="1" applyFont="1" applyFill="1"/>
    <xf numFmtId="49" fontId="5" fillId="0" borderId="0" xfId="0" applyNumberFormat="1" applyFont="1"/>
    <xf numFmtId="9" fontId="3" fillId="0" borderId="0" xfId="0" applyNumberFormat="1" applyFont="1"/>
    <xf numFmtId="0" fontId="4" fillId="6" borderId="0" xfId="0" applyFont="1" applyFill="1"/>
    <xf numFmtId="0" fontId="3" fillId="7" borderId="0" xfId="0" applyFont="1" applyFill="1"/>
    <xf numFmtId="0" fontId="5" fillId="0" borderId="0" xfId="0" applyFont="1" applyAlignment="1">
      <alignment vertical="center"/>
    </xf>
    <xf numFmtId="176" fontId="3" fillId="0" borderId="0" xfId="0" applyNumberFormat="1" applyFont="1"/>
    <xf numFmtId="0" fontId="6" fillId="0" borderId="0" xfId="0" applyFont="1"/>
    <xf numFmtId="49" fontId="1" fillId="8" borderId="1" xfId="0" applyNumberFormat="1" applyFont="1" applyFill="1" applyBorder="1"/>
    <xf numFmtId="49" fontId="1" fillId="0" borderId="2" xfId="0" applyNumberFormat="1" applyFont="1" applyBorder="1"/>
    <xf numFmtId="0" fontId="7" fillId="2" borderId="3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49" fontId="1" fillId="2" borderId="1" xfId="0" applyNumberFormat="1" applyFont="1" applyFill="1" applyBorder="1"/>
    <xf numFmtId="0" fontId="7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4" fillId="11" borderId="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9" fillId="5" borderId="3" xfId="0" applyFont="1" applyFill="1" applyBorder="1" applyAlignment="1">
      <alignment horizontal="center"/>
    </xf>
    <xf numFmtId="49" fontId="1" fillId="8" borderId="6" xfId="0" applyNumberFormat="1" applyFont="1" applyFill="1" applyBorder="1"/>
    <xf numFmtId="0" fontId="12" fillId="2" borderId="7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4" fillId="12" borderId="8" xfId="0" applyFont="1" applyFill="1" applyBorder="1"/>
    <xf numFmtId="0" fontId="12" fillId="9" borderId="7" xfId="0" applyFont="1" applyFill="1" applyBorder="1" applyAlignment="1">
      <alignment horizontal="center"/>
    </xf>
    <xf numFmtId="0" fontId="3" fillId="0" borderId="3" xfId="0" applyFont="1" applyBorder="1"/>
    <xf numFmtId="0" fontId="14" fillId="0" borderId="8" xfId="0" applyFont="1" applyBorder="1" applyAlignment="1">
      <alignment wrapText="1"/>
    </xf>
    <xf numFmtId="0" fontId="15" fillId="9" borderId="7" xfId="0" applyFont="1" applyFill="1" applyBorder="1" applyAlignment="1">
      <alignment horizontal="center"/>
    </xf>
    <xf numFmtId="49" fontId="1" fillId="2" borderId="6" xfId="0" applyNumberFormat="1" applyFont="1" applyFill="1" applyBorder="1"/>
    <xf numFmtId="0" fontId="3" fillId="0" borderId="8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6" fillId="9" borderId="7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3" fillId="5" borderId="7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6" fillId="0" borderId="7" xfId="0" applyFont="1" applyBorder="1" applyAlignment="1">
      <alignment horizontal="center"/>
    </xf>
    <xf numFmtId="49" fontId="1" fillId="0" borderId="9" xfId="0" applyNumberFormat="1" applyFont="1" applyBorder="1"/>
    <xf numFmtId="49" fontId="1" fillId="0" borderId="10" xfId="0" applyNumberFormat="1" applyFont="1" applyBorder="1"/>
    <xf numFmtId="0" fontId="1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/>
    </xf>
    <xf numFmtId="0" fontId="3" fillId="0" borderId="7" xfId="0" applyFont="1" applyBorder="1"/>
    <xf numFmtId="49" fontId="1" fillId="2" borderId="9" xfId="0" applyNumberFormat="1" applyFont="1" applyFill="1" applyBorder="1"/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8" fillId="13" borderId="9" xfId="0" applyNumberFormat="1" applyFont="1" applyFill="1" applyBorder="1" applyAlignment="1">
      <alignment horizontal="center" vertical="center" wrapText="1"/>
    </xf>
    <xf numFmtId="49" fontId="19" fillId="0" borderId="13" xfId="0" applyNumberFormat="1" applyFont="1" applyBorder="1" applyAlignment="1">
      <alignment horizontal="center" wrapText="1"/>
    </xf>
    <xf numFmtId="0" fontId="1" fillId="0" borderId="11" xfId="0" applyFont="1" applyBorder="1" applyAlignment="1">
      <alignment horizontal="center" vertical="center" wrapText="1"/>
    </xf>
    <xf numFmtId="0" fontId="1" fillId="8" borderId="0" xfId="0" applyFont="1" applyFill="1"/>
    <xf numFmtId="0" fontId="1" fillId="8" borderId="0" xfId="0" applyFont="1" applyFill="1" applyAlignment="1">
      <alignment horizontal="center"/>
    </xf>
    <xf numFmtId="49" fontId="1" fillId="8" borderId="0" xfId="0" applyNumberFormat="1" applyFont="1" applyFill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14" fontId="1" fillId="8" borderId="0" xfId="0" applyNumberFormat="1" applyFont="1" applyFill="1"/>
    <xf numFmtId="49" fontId="1" fillId="0" borderId="0" xfId="0" applyNumberFormat="1" applyFont="1" applyAlignment="1">
      <alignment horizontal="center"/>
    </xf>
    <xf numFmtId="14" fontId="1" fillId="0" borderId="0" xfId="0" applyNumberFormat="1" applyFont="1"/>
    <xf numFmtId="0" fontId="19" fillId="14" borderId="14" xfId="0" applyFont="1" applyFill="1" applyBorder="1"/>
    <xf numFmtId="0" fontId="19" fillId="15" borderId="14" xfId="0" applyFont="1" applyFill="1" applyBorder="1" applyAlignment="1">
      <alignment horizontal="center" vertical="center"/>
    </xf>
    <xf numFmtId="49" fontId="19" fillId="15" borderId="14" xfId="0" applyNumberFormat="1" applyFont="1" applyFill="1" applyBorder="1" applyAlignment="1">
      <alignment horizontal="center" vertical="center"/>
    </xf>
    <xf numFmtId="0" fontId="19" fillId="15" borderId="14" xfId="0" applyFont="1" applyFill="1" applyBorder="1"/>
    <xf numFmtId="0" fontId="19" fillId="6" borderId="14" xfId="0" applyFont="1" applyFill="1" applyBorder="1"/>
    <xf numFmtId="0" fontId="19" fillId="13" borderId="14" xfId="0" applyFont="1" applyFill="1" applyBorder="1"/>
    <xf numFmtId="0" fontId="19" fillId="16" borderId="14" xfId="0" applyFont="1" applyFill="1" applyBorder="1"/>
    <xf numFmtId="49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9" fontId="3" fillId="17" borderId="0" xfId="0" applyNumberFormat="1" applyFont="1" applyFill="1" applyAlignment="1">
      <alignment horizontal="center" vertical="center"/>
    </xf>
    <xf numFmtId="0" fontId="3" fillId="8" borderId="0" xfId="0" applyFont="1" applyFill="1"/>
    <xf numFmtId="14" fontId="3" fillId="0" borderId="0" xfId="0" applyNumberFormat="1" applyFont="1"/>
    <xf numFmtId="0" fontId="3" fillId="2" borderId="0" xfId="0" applyFont="1" applyFill="1"/>
    <xf numFmtId="49" fontId="1" fillId="8" borderId="0" xfId="0" applyNumberFormat="1" applyFont="1" applyFill="1"/>
    <xf numFmtId="0" fontId="3" fillId="18" borderId="0" xfId="0" applyFont="1" applyFill="1"/>
    <xf numFmtId="0" fontId="19" fillId="19" borderId="14" xfId="0" applyFont="1" applyFill="1" applyBorder="1"/>
    <xf numFmtId="49" fontId="1" fillId="8" borderId="0" xfId="0" applyNumberFormat="1" applyFont="1" applyFill="1" applyAlignment="1">
      <alignment vertical="top"/>
    </xf>
    <xf numFmtId="0" fontId="19" fillId="18" borderId="14" xfId="0" applyFont="1" applyFill="1" applyBorder="1"/>
    <xf numFmtId="0" fontId="3" fillId="17" borderId="0" xfId="0" applyFont="1" applyFill="1" applyAlignment="1">
      <alignment horizontal="center" vertical="center"/>
    </xf>
    <xf numFmtId="0" fontId="3" fillId="20" borderId="0" xfId="0" applyFont="1" applyFill="1"/>
    <xf numFmtId="0" fontId="3" fillId="21" borderId="0" xfId="0" applyFont="1" applyFill="1"/>
    <xf numFmtId="0" fontId="3" fillId="0" borderId="0" xfId="0" applyFont="1" applyAlignment="1">
      <alignment horizontal="center" vertical="center"/>
    </xf>
    <xf numFmtId="0" fontId="4" fillId="20" borderId="0" xfId="0" applyFont="1" applyFill="1"/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5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22" fillId="22" borderId="15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49" fontId="3" fillId="0" borderId="0" xfId="0" applyNumberFormat="1" applyFont="1"/>
    <xf numFmtId="0" fontId="29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13" fillId="0" borderId="16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wrapText="1"/>
    </xf>
    <xf numFmtId="0" fontId="29" fillId="0" borderId="16" xfId="0" applyFont="1" applyBorder="1" applyAlignment="1">
      <alignment wrapText="1"/>
    </xf>
    <xf numFmtId="0" fontId="11" fillId="10" borderId="0" xfId="0" applyFont="1" applyFill="1"/>
    <xf numFmtId="0" fontId="0" fillId="0" borderId="0" xfId="0"/>
    <xf numFmtId="0" fontId="2" fillId="3" borderId="0" xfId="0" applyFont="1" applyFill="1" applyAlignment="1">
      <alignment horizontal="center"/>
    </xf>
    <xf numFmtId="0" fontId="10" fillId="0" borderId="0" xfId="0" applyFont="1"/>
  </cellXfs>
  <cellStyles count="1">
    <cellStyle name="표준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part B 변수목록 수정 - 송모세 검토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F137">
  <tableColumns count="6">
    <tableColumn id="1" xr3:uid="{00000000-0010-0000-0000-000001000000}" name="변수명"/>
    <tableColumn id="2" xr3:uid="{00000000-0010-0000-0000-000002000000}" name="한글 항목명"/>
    <tableColumn id="3" xr3:uid="{00000000-0010-0000-0000-000003000000}" name="수집시점 해당여부(T1)"/>
    <tableColumn id="4" xr3:uid="{00000000-0010-0000-0000-000004000000}" name="수집시점 해당여부(T2)"/>
    <tableColumn id="5" xr3:uid="{00000000-0010-0000-0000-000005000000}" name="수집시점 해당여부(T3)"/>
    <tableColumn id="6" xr3:uid="{00000000-0010-0000-0000-000006000000}" name="수집시점에 따라 변수를 그만큼 여러개 만들어야하는가"/>
  </tableColumns>
  <tableStyleInfo name="part B 변수목록 수정 - 송모세 검토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3"/>
  <sheetViews>
    <sheetView showGridLines="0" workbookViewId="0">
      <pane ySplit="9" topLeftCell="A10" activePane="bottomLeft" state="frozen"/>
      <selection pane="bottomLeft" activeCell="B11" sqref="B11"/>
    </sheetView>
  </sheetViews>
  <sheetFormatPr defaultColWidth="12.5703125" defaultRowHeight="15.75" customHeight="1" outlineLevelRow="1" x14ac:dyDescent="0.2"/>
  <cols>
    <col min="1" max="1" width="33.85546875" customWidth="1"/>
    <col min="2" max="2" width="45.140625" customWidth="1"/>
    <col min="3" max="5" width="19.42578125" customWidth="1"/>
    <col min="6" max="6" width="3.140625" customWidth="1"/>
    <col min="7" max="7" width="15.140625" customWidth="1"/>
    <col min="8" max="8" width="12.5703125" customWidth="1"/>
    <col min="10" max="25" width="12.5703125" hidden="1"/>
  </cols>
  <sheetData>
    <row r="1" spans="1:25" ht="31.5" customHeight="1" x14ac:dyDescent="0.3">
      <c r="A1" s="116" t="s">
        <v>0</v>
      </c>
      <c r="B1" s="115"/>
      <c r="C1" s="115"/>
      <c r="D1" s="115"/>
      <c r="E1" s="115"/>
      <c r="F1" s="115"/>
      <c r="G1" s="115"/>
      <c r="H1" s="115"/>
      <c r="W1" s="4" t="b">
        <v>0</v>
      </c>
      <c r="X1" s="4" t="b">
        <v>0</v>
      </c>
      <c r="Y1" s="4" t="b">
        <v>0</v>
      </c>
    </row>
    <row r="2" spans="1:25" ht="12.75" x14ac:dyDescent="0.2">
      <c r="W2" s="4" t="b">
        <v>0</v>
      </c>
      <c r="X2" s="4" t="b">
        <v>0</v>
      </c>
      <c r="Y2" s="4" t="b">
        <v>0</v>
      </c>
    </row>
    <row r="3" spans="1:25" ht="12.75" x14ac:dyDescent="0.2">
      <c r="A3" s="5" t="s">
        <v>1</v>
      </c>
      <c r="B3" s="4" t="s">
        <v>2</v>
      </c>
      <c r="G3" s="5" t="s">
        <v>3</v>
      </c>
      <c r="H3" s="8">
        <f>IFERROR(H4/H5,0)</f>
        <v>0</v>
      </c>
      <c r="W3" s="4" t="b">
        <v>0</v>
      </c>
      <c r="X3" s="4" t="b">
        <v>0</v>
      </c>
      <c r="Y3" s="4" t="b">
        <v>0</v>
      </c>
    </row>
    <row r="4" spans="1:25" ht="12.75" x14ac:dyDescent="0.2">
      <c r="A4" s="5" t="s">
        <v>6</v>
      </c>
      <c r="B4" s="4">
        <v>2</v>
      </c>
      <c r="D4" s="9" t="s">
        <v>7</v>
      </c>
      <c r="E4" s="10"/>
      <c r="G4" s="5" t="s">
        <v>9</v>
      </c>
      <c r="H4" s="4">
        <f>SUMPRODUCT(N(C1:E103&lt;&gt;""),N(S1:U103=TRUE))</f>
        <v>0</v>
      </c>
      <c r="W4" s="4" t="b">
        <v>0</v>
      </c>
      <c r="X4" s="4" t="b">
        <v>0</v>
      </c>
      <c r="Y4" s="4" t="b">
        <v>0</v>
      </c>
    </row>
    <row r="5" spans="1:25" ht="12.75" x14ac:dyDescent="0.2">
      <c r="A5" s="5" t="s">
        <v>11</v>
      </c>
      <c r="B5" s="12">
        <v>46023</v>
      </c>
      <c r="G5" s="5" t="s">
        <v>14</v>
      </c>
      <c r="H5" s="4">
        <f>COUNTIF(S1:U103,TRUE)+3</f>
        <v>3</v>
      </c>
      <c r="W5" s="4" t="b">
        <v>0</v>
      </c>
      <c r="X5" s="4" t="b">
        <v>0</v>
      </c>
      <c r="Y5" s="4" t="b">
        <v>0</v>
      </c>
    </row>
    <row r="6" spans="1:25" ht="12.75" x14ac:dyDescent="0.2">
      <c r="A6" s="5" t="s">
        <v>16</v>
      </c>
      <c r="B6" s="12"/>
      <c r="G6" s="5" t="s">
        <v>17</v>
      </c>
      <c r="H6" s="4">
        <f>SUMPRODUCT(N(J1:L103=TRUE),N(W1:Y103&lt;&gt;TRUE))</f>
        <v>0</v>
      </c>
      <c r="W6" s="4" t="b">
        <v>0</v>
      </c>
      <c r="X6" s="4" t="b">
        <v>0</v>
      </c>
      <c r="Y6" s="4" t="b">
        <v>0</v>
      </c>
    </row>
    <row r="7" spans="1:25" ht="12.75" x14ac:dyDescent="0.2">
      <c r="A7" s="5" t="s">
        <v>35</v>
      </c>
      <c r="B7" s="12"/>
      <c r="G7" s="5" t="s">
        <v>38</v>
      </c>
      <c r="H7" s="4" t="str">
        <f>IF(H6&gt;0,"Query 확인",IF(H3&gt;=1,"완료","수집중"))</f>
        <v>수집중</v>
      </c>
      <c r="W7" s="4" t="b">
        <v>0</v>
      </c>
      <c r="X7" s="4" t="b">
        <v>0</v>
      </c>
      <c r="Y7" s="4" t="b">
        <v>0</v>
      </c>
    </row>
    <row r="8" spans="1:25" ht="12.75" x14ac:dyDescent="0.2">
      <c r="W8" s="4" t="b">
        <v>0</v>
      </c>
      <c r="X8" s="4" t="b">
        <v>0</v>
      </c>
      <c r="Y8" s="4" t="b">
        <v>0</v>
      </c>
    </row>
    <row r="9" spans="1:25" ht="12.75" x14ac:dyDescent="0.2">
      <c r="A9" s="117" t="s">
        <v>51</v>
      </c>
      <c r="B9" s="115"/>
      <c r="C9" s="115"/>
      <c r="D9" s="115"/>
      <c r="E9" s="115"/>
      <c r="F9" s="115"/>
      <c r="G9" s="115"/>
      <c r="H9" s="115"/>
      <c r="W9" s="4" t="b">
        <v>0</v>
      </c>
      <c r="X9" s="4" t="b">
        <v>0</v>
      </c>
      <c r="Y9" s="4" t="b">
        <v>0</v>
      </c>
    </row>
    <row r="10" spans="1:25" ht="12.75" x14ac:dyDescent="0.2">
      <c r="W10" s="4" t="b">
        <v>0</v>
      </c>
      <c r="X10" s="4" t="b">
        <v>0</v>
      </c>
      <c r="Y10" s="4" t="b">
        <v>0</v>
      </c>
    </row>
    <row r="11" spans="1:25" ht="22.5" customHeight="1" x14ac:dyDescent="0.25">
      <c r="A11" s="114" t="s">
        <v>59</v>
      </c>
      <c r="B11" s="115"/>
      <c r="C11" s="115"/>
      <c r="D11" s="115"/>
      <c r="E11" s="115"/>
      <c r="W11" s="4" t="b">
        <v>0</v>
      </c>
      <c r="X11" s="4" t="b">
        <v>0</v>
      </c>
      <c r="Y11" s="4" t="b">
        <v>0</v>
      </c>
    </row>
    <row r="12" spans="1:25" ht="33" customHeight="1" outlineLevel="1" x14ac:dyDescent="0.2">
      <c r="A12" s="25" t="s">
        <v>74</v>
      </c>
      <c r="B12" s="25" t="s">
        <v>82</v>
      </c>
      <c r="C12" s="25" t="str">
        <f>"T1"&amp;CHAR(10)&amp;IF($B$5="","(날짜 미입력)",TEXT($B$5,"yyyy-mm-dd"))</f>
        <v>T1
2026-01-01</v>
      </c>
      <c r="D12" s="25" t="str">
        <f>"T2"&amp;CHAR(10)&amp;IF($B$6="","(날짜 미입력)",TEXT($B$6,"yyyy-mm-dd"))</f>
        <v>T2
(날짜 미입력)</v>
      </c>
      <c r="E12" s="25" t="str">
        <f>"T3"&amp;CHAR(10)&amp;IF($B$7="","(날짜 미입력)",TEXT($B$7,"yyyy-mm-dd"))</f>
        <v>T3
(날짜 미입력)</v>
      </c>
      <c r="W12" s="4" t="b">
        <v>0</v>
      </c>
      <c r="X12" s="4" t="b">
        <v>0</v>
      </c>
      <c r="Y12" s="4" t="b">
        <v>0</v>
      </c>
    </row>
    <row r="13" spans="1:25" ht="24" outlineLevel="1" x14ac:dyDescent="0.2">
      <c r="A13" s="31" t="s">
        <v>117</v>
      </c>
      <c r="B13" s="34" t="s">
        <v>126</v>
      </c>
      <c r="C13" s="37">
        <v>1</v>
      </c>
      <c r="D13" s="37"/>
      <c r="E13" s="37"/>
      <c r="V13" s="4" t="s">
        <v>57</v>
      </c>
      <c r="W13" s="4" t="b">
        <v>0</v>
      </c>
      <c r="X13" s="4" t="b">
        <v>0</v>
      </c>
      <c r="Y13" s="4" t="b">
        <v>0</v>
      </c>
    </row>
    <row r="14" spans="1:25" ht="180" outlineLevel="1" x14ac:dyDescent="0.2">
      <c r="A14" s="31" t="s">
        <v>101</v>
      </c>
      <c r="B14" s="34" t="s">
        <v>168</v>
      </c>
      <c r="C14" s="37">
        <v>2</v>
      </c>
      <c r="D14" s="37"/>
      <c r="E14" s="37"/>
      <c r="V14" s="4" t="s">
        <v>18</v>
      </c>
      <c r="W14" s="4" t="b">
        <v>0</v>
      </c>
      <c r="X14" s="4" t="b">
        <v>0</v>
      </c>
      <c r="Y14" s="4" t="b">
        <v>0</v>
      </c>
    </row>
    <row r="15" spans="1:25" ht="24" outlineLevel="1" x14ac:dyDescent="0.2">
      <c r="A15" s="31" t="s">
        <v>145</v>
      </c>
      <c r="B15" s="34" t="s">
        <v>178</v>
      </c>
      <c r="C15" s="37">
        <v>3</v>
      </c>
      <c r="D15" s="37"/>
      <c r="E15" s="37"/>
      <c r="V15" s="4" t="s">
        <v>61</v>
      </c>
      <c r="W15" s="4" t="b">
        <v>0</v>
      </c>
      <c r="X15" s="4" t="b">
        <v>0</v>
      </c>
      <c r="Y15" s="4" t="b">
        <v>0</v>
      </c>
    </row>
    <row r="16" spans="1:25" ht="24" outlineLevel="1" x14ac:dyDescent="0.2">
      <c r="A16" s="31" t="s">
        <v>104</v>
      </c>
      <c r="B16" s="34" t="s">
        <v>183</v>
      </c>
      <c r="C16" s="37"/>
      <c r="D16" s="37"/>
      <c r="E16" s="37"/>
      <c r="V16" s="4" t="s">
        <v>21</v>
      </c>
      <c r="W16" s="4" t="b">
        <v>0</v>
      </c>
      <c r="X16" s="4" t="b">
        <v>0</v>
      </c>
      <c r="Y16" s="4" t="b">
        <v>0</v>
      </c>
    </row>
    <row r="17" spans="1:25" ht="12.75" outlineLevel="1" x14ac:dyDescent="0.2">
      <c r="A17" s="31" t="s">
        <v>105</v>
      </c>
      <c r="B17" s="34" t="s">
        <v>185</v>
      </c>
      <c r="C17" s="37"/>
      <c r="D17" s="37"/>
      <c r="E17" s="37"/>
      <c r="V17" s="4" t="s">
        <v>22</v>
      </c>
      <c r="W17" s="4" t="b">
        <v>0</v>
      </c>
      <c r="X17" s="4" t="b">
        <v>0</v>
      </c>
      <c r="Y17" s="4" t="b">
        <v>0</v>
      </c>
    </row>
    <row r="18" spans="1:25" ht="24" outlineLevel="1" x14ac:dyDescent="0.2">
      <c r="A18" s="31" t="s">
        <v>148</v>
      </c>
      <c r="B18" s="34" t="s">
        <v>188</v>
      </c>
      <c r="C18" s="37"/>
      <c r="D18" s="37"/>
      <c r="E18" s="37"/>
      <c r="V18" s="4" t="s">
        <v>67</v>
      </c>
      <c r="W18" s="4" t="b">
        <v>0</v>
      </c>
      <c r="X18" s="4" t="b">
        <v>0</v>
      </c>
      <c r="Y18" s="4" t="b">
        <v>0</v>
      </c>
    </row>
    <row r="19" spans="1:25" ht="24" outlineLevel="1" x14ac:dyDescent="0.2">
      <c r="A19" s="31" t="s">
        <v>149</v>
      </c>
      <c r="B19" s="34" t="s">
        <v>193</v>
      </c>
      <c r="C19" s="37"/>
      <c r="D19" s="37"/>
      <c r="E19" s="37"/>
      <c r="V19" s="4" t="s">
        <v>69</v>
      </c>
      <c r="W19" s="4" t="b">
        <v>0</v>
      </c>
      <c r="X19" s="4" t="b">
        <v>0</v>
      </c>
      <c r="Y19" s="4" t="b">
        <v>0</v>
      </c>
    </row>
    <row r="20" spans="1:25" ht="24" outlineLevel="1" x14ac:dyDescent="0.2">
      <c r="A20" s="31" t="s">
        <v>153</v>
      </c>
      <c r="B20" s="34" t="s">
        <v>195</v>
      </c>
      <c r="C20" s="37"/>
      <c r="D20" s="37"/>
      <c r="E20" s="37"/>
      <c r="V20" s="4" t="s">
        <v>73</v>
      </c>
      <c r="W20" s="4" t="b">
        <v>0</v>
      </c>
      <c r="X20" s="4" t="b">
        <v>0</v>
      </c>
      <c r="Y20" s="4" t="b">
        <v>0</v>
      </c>
    </row>
    <row r="21" spans="1:25" ht="24" outlineLevel="1" x14ac:dyDescent="0.2">
      <c r="A21" s="31" t="s">
        <v>155</v>
      </c>
      <c r="B21" s="34" t="s">
        <v>193</v>
      </c>
      <c r="C21" s="37"/>
      <c r="D21" s="37"/>
      <c r="E21" s="37"/>
      <c r="V21" s="4" t="s">
        <v>76</v>
      </c>
      <c r="W21" s="4" t="b">
        <v>0</v>
      </c>
      <c r="X21" s="4" t="b">
        <v>0</v>
      </c>
      <c r="Y21" s="4" t="b">
        <v>0</v>
      </c>
    </row>
    <row r="22" spans="1:25" ht="12.75" x14ac:dyDescent="0.2">
      <c r="W22" s="4" t="b">
        <v>0</v>
      </c>
      <c r="X22" s="4" t="b">
        <v>0</v>
      </c>
      <c r="Y22" s="4" t="b">
        <v>0</v>
      </c>
    </row>
    <row r="23" spans="1:25" ht="22.5" customHeight="1" x14ac:dyDescent="0.25">
      <c r="A23" s="114" t="s">
        <v>203</v>
      </c>
      <c r="B23" s="115"/>
      <c r="C23" s="115"/>
      <c r="D23" s="115"/>
      <c r="E23" s="115"/>
      <c r="W23" s="4" t="b">
        <v>0</v>
      </c>
      <c r="X23" s="4" t="b">
        <v>0</v>
      </c>
      <c r="Y23" s="4" t="b">
        <v>0</v>
      </c>
    </row>
    <row r="24" spans="1:25" ht="33" customHeight="1" outlineLevel="1" x14ac:dyDescent="0.2">
      <c r="A24" s="25" t="s">
        <v>74</v>
      </c>
      <c r="B24" s="25" t="s">
        <v>82</v>
      </c>
      <c r="C24" s="25" t="str">
        <f>"T1"&amp;CHAR(10)&amp;IF($B$5="","(날짜 미입력)",TEXT($B$5,"yyyy-mm-dd"))</f>
        <v>T1
2026-01-01</v>
      </c>
      <c r="D24" s="25" t="str">
        <f>"T2"&amp;CHAR(10)&amp;IF($B$6="","(날짜 미입력)",TEXT($B$6,"yyyy-mm-dd"))</f>
        <v>T2
(날짜 미입력)</v>
      </c>
      <c r="E24" s="25" t="str">
        <f>"T3"&amp;CHAR(10)&amp;IF($B$7="","(날짜 미입력)",TEXT($B$7,"yyyy-mm-dd"))</f>
        <v>T3
(날짜 미입력)</v>
      </c>
      <c r="W24" s="4" t="b">
        <v>0</v>
      </c>
      <c r="X24" s="4" t="b">
        <v>0</v>
      </c>
      <c r="Y24" s="4" t="b">
        <v>0</v>
      </c>
    </row>
    <row r="25" spans="1:25" ht="24" outlineLevel="1" x14ac:dyDescent="0.2">
      <c r="A25" s="31" t="s">
        <v>158</v>
      </c>
      <c r="B25" s="34" t="s">
        <v>183</v>
      </c>
      <c r="C25" s="37"/>
      <c r="D25" s="37"/>
      <c r="E25" s="37"/>
      <c r="V25" s="4" t="s">
        <v>78</v>
      </c>
      <c r="W25" s="4" t="b">
        <v>0</v>
      </c>
      <c r="X25" s="4" t="b">
        <v>0</v>
      </c>
      <c r="Y25" s="4" t="b">
        <v>0</v>
      </c>
    </row>
    <row r="26" spans="1:25" ht="12.75" x14ac:dyDescent="0.2">
      <c r="W26" s="4" t="b">
        <v>0</v>
      </c>
      <c r="X26" s="4" t="b">
        <v>0</v>
      </c>
      <c r="Y26" s="4" t="b">
        <v>0</v>
      </c>
    </row>
    <row r="27" spans="1:25" ht="22.5" customHeight="1" x14ac:dyDescent="0.25">
      <c r="A27" s="114" t="s">
        <v>213</v>
      </c>
      <c r="B27" s="115"/>
      <c r="C27" s="115"/>
      <c r="D27" s="115"/>
      <c r="E27" s="115"/>
      <c r="W27" s="4" t="b">
        <v>0</v>
      </c>
      <c r="X27" s="4" t="b">
        <v>0</v>
      </c>
      <c r="Y27" s="4" t="b">
        <v>0</v>
      </c>
    </row>
    <row r="28" spans="1:25" ht="33" customHeight="1" outlineLevel="1" x14ac:dyDescent="0.2">
      <c r="A28" s="25" t="s">
        <v>74</v>
      </c>
      <c r="B28" s="25" t="s">
        <v>82</v>
      </c>
      <c r="C28" s="25" t="str">
        <f>"T1"&amp;CHAR(10)&amp;IF($B$5="","(날짜 미입력)",TEXT($B$5,"yyyy-mm-dd"))</f>
        <v>T1
2026-01-01</v>
      </c>
      <c r="D28" s="25" t="str">
        <f>"T2"&amp;CHAR(10)&amp;IF($B$6="","(날짜 미입력)",TEXT($B$6,"yyyy-mm-dd"))</f>
        <v>T2
(날짜 미입력)</v>
      </c>
      <c r="E28" s="25" t="str">
        <f>"T3"&amp;CHAR(10)&amp;IF($B$7="","(날짜 미입력)",TEXT($B$7,"yyyy-mm-dd"))</f>
        <v>T3
(날짜 미입력)</v>
      </c>
      <c r="W28" s="4" t="b">
        <v>0</v>
      </c>
      <c r="X28" s="4" t="b">
        <v>0</v>
      </c>
      <c r="Y28" s="4" t="b">
        <v>0</v>
      </c>
    </row>
    <row r="29" spans="1:25" ht="12.75" outlineLevel="1" x14ac:dyDescent="0.2">
      <c r="A29" s="31" t="s">
        <v>182</v>
      </c>
      <c r="B29" s="34" t="s">
        <v>216</v>
      </c>
      <c r="C29" s="37"/>
      <c r="D29" s="37"/>
      <c r="E29" s="37"/>
      <c r="V29" s="4" t="s">
        <v>99</v>
      </c>
      <c r="W29" s="4" t="b">
        <v>0</v>
      </c>
      <c r="X29" s="4" t="b">
        <v>0</v>
      </c>
      <c r="Y29" s="4" t="b">
        <v>0</v>
      </c>
    </row>
    <row r="30" spans="1:25" ht="24" outlineLevel="1" x14ac:dyDescent="0.2">
      <c r="A30" s="31" t="s">
        <v>142</v>
      </c>
      <c r="B30" s="34" t="s">
        <v>217</v>
      </c>
      <c r="C30" s="37"/>
      <c r="D30" s="37"/>
      <c r="E30" s="37"/>
      <c r="V30" s="4" t="s">
        <v>58</v>
      </c>
      <c r="W30" s="4" t="b">
        <v>0</v>
      </c>
      <c r="X30" s="4" t="b">
        <v>0</v>
      </c>
      <c r="Y30" s="4" t="b">
        <v>0</v>
      </c>
    </row>
    <row r="31" spans="1:25" ht="24" outlineLevel="1" x14ac:dyDescent="0.2">
      <c r="A31" s="31" t="s">
        <v>143</v>
      </c>
      <c r="B31" s="34" t="s">
        <v>218</v>
      </c>
      <c r="C31" s="37"/>
      <c r="D31" s="37"/>
      <c r="E31" s="37"/>
      <c r="V31" s="4" t="s">
        <v>60</v>
      </c>
      <c r="W31" s="4" t="b">
        <v>0</v>
      </c>
      <c r="X31" s="4" t="b">
        <v>0</v>
      </c>
      <c r="Y31" s="4" t="b">
        <v>0</v>
      </c>
    </row>
    <row r="32" spans="1:25" ht="12.75" outlineLevel="1" x14ac:dyDescent="0.2">
      <c r="A32" s="31" t="s">
        <v>144</v>
      </c>
      <c r="B32" s="34" t="s">
        <v>219</v>
      </c>
      <c r="C32" s="37"/>
      <c r="D32" s="37"/>
      <c r="E32" s="37"/>
      <c r="V32" s="4" t="s">
        <v>62</v>
      </c>
      <c r="W32" s="4" t="b">
        <v>0</v>
      </c>
      <c r="X32" s="4" t="b">
        <v>0</v>
      </c>
      <c r="Y32" s="4" t="b">
        <v>0</v>
      </c>
    </row>
    <row r="33" spans="1:25" ht="12.75" outlineLevel="1" x14ac:dyDescent="0.2">
      <c r="A33" s="31" t="s">
        <v>146</v>
      </c>
      <c r="B33" s="34" t="s">
        <v>220</v>
      </c>
      <c r="C33" s="37"/>
      <c r="D33" s="37"/>
      <c r="E33" s="37"/>
      <c r="V33" s="4" t="s">
        <v>63</v>
      </c>
      <c r="W33" s="4" t="b">
        <v>0</v>
      </c>
      <c r="X33" s="4" t="b">
        <v>0</v>
      </c>
      <c r="Y33" s="4" t="b">
        <v>0</v>
      </c>
    </row>
    <row r="34" spans="1:25" ht="12.75" x14ac:dyDescent="0.2">
      <c r="W34" s="4" t="b">
        <v>0</v>
      </c>
      <c r="X34" s="4" t="b">
        <v>0</v>
      </c>
      <c r="Y34" s="4" t="b">
        <v>0</v>
      </c>
    </row>
    <row r="35" spans="1:25" ht="22.5" customHeight="1" x14ac:dyDescent="0.25">
      <c r="A35" s="114" t="s">
        <v>8</v>
      </c>
      <c r="B35" s="115"/>
      <c r="C35" s="115"/>
      <c r="D35" s="115"/>
      <c r="E35" s="115"/>
      <c r="W35" s="4" t="b">
        <v>0</v>
      </c>
      <c r="X35" s="4" t="b">
        <v>0</v>
      </c>
      <c r="Y35" s="4" t="b">
        <v>0</v>
      </c>
    </row>
    <row r="36" spans="1:25" ht="33" customHeight="1" outlineLevel="1" x14ac:dyDescent="0.2">
      <c r="A36" s="25" t="s">
        <v>74</v>
      </c>
      <c r="B36" s="25" t="s">
        <v>82</v>
      </c>
      <c r="C36" s="25" t="str">
        <f>"T1"&amp;CHAR(10)&amp;IF($B$5="","(날짜 미입력)",TEXT($B$5,"yyyy-mm-dd"))</f>
        <v>T1
2026-01-01</v>
      </c>
      <c r="D36" s="25" t="str">
        <f>"T2"&amp;CHAR(10)&amp;IF($B$6="","(날짜 미입력)",TEXT($B$6,"yyyy-mm-dd"))</f>
        <v>T2
(날짜 미입력)</v>
      </c>
      <c r="E36" s="25" t="str">
        <f>"T3"&amp;CHAR(10)&amp;IF($B$7="","(날짜 미입력)",TEXT($B$7,"yyyy-mm-dd"))</f>
        <v>T3
(날짜 미입력)</v>
      </c>
      <c r="W36" s="4" t="b">
        <v>0</v>
      </c>
      <c r="X36" s="4" t="b">
        <v>0</v>
      </c>
      <c r="Y36" s="4" t="b">
        <v>0</v>
      </c>
    </row>
    <row r="37" spans="1:25" ht="24" outlineLevel="1" x14ac:dyDescent="0.2">
      <c r="A37" s="31" t="s">
        <v>147</v>
      </c>
      <c r="B37" s="34" t="s">
        <v>222</v>
      </c>
      <c r="C37" s="37"/>
      <c r="D37" s="37"/>
      <c r="E37" s="37"/>
      <c r="V37" s="4" t="s">
        <v>64</v>
      </c>
      <c r="W37" s="4" t="b">
        <v>0</v>
      </c>
      <c r="X37" s="4" t="b">
        <v>0</v>
      </c>
      <c r="Y37" s="4" t="b">
        <v>0</v>
      </c>
    </row>
    <row r="38" spans="1:25" ht="12.75" outlineLevel="1" x14ac:dyDescent="0.2">
      <c r="A38" s="31" t="s">
        <v>150</v>
      </c>
      <c r="B38" s="34" t="s">
        <v>223</v>
      </c>
      <c r="C38" s="37"/>
      <c r="D38" s="37"/>
      <c r="E38" s="37"/>
      <c r="V38" s="4" t="s">
        <v>65</v>
      </c>
      <c r="W38" s="4" t="b">
        <v>0</v>
      </c>
      <c r="X38" s="4" t="b">
        <v>0</v>
      </c>
      <c r="Y38" s="4" t="b">
        <v>0</v>
      </c>
    </row>
    <row r="39" spans="1:25" ht="12.75" outlineLevel="1" x14ac:dyDescent="0.2">
      <c r="A39" s="31" t="s">
        <v>151</v>
      </c>
      <c r="B39" s="34" t="s">
        <v>224</v>
      </c>
      <c r="C39" s="37"/>
      <c r="D39" s="37"/>
      <c r="E39" s="37"/>
      <c r="V39" s="4" t="s">
        <v>66</v>
      </c>
      <c r="W39" s="4" t="b">
        <v>0</v>
      </c>
      <c r="X39" s="4" t="b">
        <v>0</v>
      </c>
      <c r="Y39" s="4" t="b">
        <v>0</v>
      </c>
    </row>
    <row r="40" spans="1:25" ht="12.75" outlineLevel="1" x14ac:dyDescent="0.2">
      <c r="A40" s="31" t="s">
        <v>68</v>
      </c>
      <c r="B40" s="34" t="s">
        <v>225</v>
      </c>
      <c r="C40" s="37"/>
      <c r="D40" s="37"/>
      <c r="E40" s="37"/>
      <c r="V40" s="4" t="s">
        <v>68</v>
      </c>
      <c r="W40" s="4" t="b">
        <v>0</v>
      </c>
      <c r="X40" s="4" t="b">
        <v>0</v>
      </c>
      <c r="Y40" s="4" t="b">
        <v>0</v>
      </c>
    </row>
    <row r="41" spans="1:25" ht="12.75" outlineLevel="1" x14ac:dyDescent="0.2">
      <c r="A41" s="31" t="s">
        <v>152</v>
      </c>
      <c r="B41" s="34" t="s">
        <v>226</v>
      </c>
      <c r="C41" s="37"/>
      <c r="D41" s="37"/>
      <c r="E41" s="37"/>
      <c r="V41" s="4" t="s">
        <v>70</v>
      </c>
      <c r="W41" s="4" t="b">
        <v>0</v>
      </c>
      <c r="X41" s="4" t="b">
        <v>0</v>
      </c>
      <c r="Y41" s="4" t="b">
        <v>0</v>
      </c>
    </row>
    <row r="42" spans="1:25" ht="12.75" outlineLevel="1" x14ac:dyDescent="0.2">
      <c r="A42" s="31" t="s">
        <v>154</v>
      </c>
      <c r="B42" s="34" t="s">
        <v>227</v>
      </c>
      <c r="C42" s="37"/>
      <c r="D42" s="37"/>
      <c r="E42" s="37"/>
      <c r="V42" s="4" t="s">
        <v>71</v>
      </c>
      <c r="W42" s="4" t="b">
        <v>0</v>
      </c>
      <c r="X42" s="4" t="b">
        <v>0</v>
      </c>
      <c r="Y42" s="4" t="b">
        <v>0</v>
      </c>
    </row>
    <row r="43" spans="1:25" ht="24" outlineLevel="1" x14ac:dyDescent="0.2">
      <c r="A43" s="31" t="s">
        <v>156</v>
      </c>
      <c r="B43" s="34" t="s">
        <v>229</v>
      </c>
      <c r="C43" s="37"/>
      <c r="D43" s="37"/>
      <c r="E43" s="37"/>
      <c r="V43" s="4" t="s">
        <v>72</v>
      </c>
      <c r="W43" s="4" t="b">
        <v>0</v>
      </c>
      <c r="X43" s="4" t="b">
        <v>0</v>
      </c>
      <c r="Y43" s="4" t="b">
        <v>0</v>
      </c>
    </row>
    <row r="44" spans="1:25" ht="24" outlineLevel="1" x14ac:dyDescent="0.2">
      <c r="A44" s="31" t="s">
        <v>157</v>
      </c>
      <c r="B44" s="34" t="s">
        <v>229</v>
      </c>
      <c r="C44" s="37"/>
      <c r="D44" s="37"/>
      <c r="E44" s="37"/>
      <c r="V44" s="4" t="s">
        <v>75</v>
      </c>
      <c r="W44" s="4" t="b">
        <v>0</v>
      </c>
      <c r="X44" s="4" t="b">
        <v>0</v>
      </c>
      <c r="Y44" s="4" t="b">
        <v>0</v>
      </c>
    </row>
    <row r="45" spans="1:25" ht="12.75" outlineLevel="1" x14ac:dyDescent="0.2">
      <c r="A45" s="31" t="s">
        <v>159</v>
      </c>
      <c r="B45" s="34" t="s">
        <v>230</v>
      </c>
      <c r="C45" s="37"/>
      <c r="D45" s="37"/>
      <c r="E45" s="37"/>
      <c r="V45" s="4" t="s">
        <v>77</v>
      </c>
      <c r="W45" s="4" t="b">
        <v>0</v>
      </c>
      <c r="X45" s="4" t="b">
        <v>0</v>
      </c>
      <c r="Y45" s="4" t="b">
        <v>0</v>
      </c>
    </row>
    <row r="46" spans="1:25" ht="24" outlineLevel="1" x14ac:dyDescent="0.2">
      <c r="A46" s="31" t="s">
        <v>160</v>
      </c>
      <c r="B46" s="34" t="s">
        <v>231</v>
      </c>
      <c r="C46" s="37"/>
      <c r="D46" s="37"/>
      <c r="E46" s="37"/>
      <c r="V46" s="4" t="s">
        <v>79</v>
      </c>
      <c r="W46" s="4" t="b">
        <v>0</v>
      </c>
      <c r="X46" s="4" t="b">
        <v>0</v>
      </c>
      <c r="Y46" s="4" t="b">
        <v>0</v>
      </c>
    </row>
    <row r="47" spans="1:25" ht="24" outlineLevel="1" x14ac:dyDescent="0.2">
      <c r="A47" s="31" t="s">
        <v>161</v>
      </c>
      <c r="B47" s="34" t="s">
        <v>232</v>
      </c>
      <c r="C47" s="37"/>
      <c r="D47" s="37"/>
      <c r="E47" s="37"/>
      <c r="V47" s="4" t="s">
        <v>80</v>
      </c>
      <c r="W47" s="4" t="b">
        <v>0</v>
      </c>
      <c r="X47" s="4" t="b">
        <v>0</v>
      </c>
      <c r="Y47" s="4" t="b">
        <v>0</v>
      </c>
    </row>
    <row r="48" spans="1:25" ht="24" outlineLevel="1" x14ac:dyDescent="0.2">
      <c r="A48" s="31" t="s">
        <v>162</v>
      </c>
      <c r="B48" s="34" t="s">
        <v>233</v>
      </c>
      <c r="C48" s="37"/>
      <c r="D48" s="37"/>
      <c r="E48" s="37"/>
      <c r="V48" s="4" t="s">
        <v>81</v>
      </c>
      <c r="W48" s="4" t="b">
        <v>0</v>
      </c>
      <c r="X48" s="4" t="b">
        <v>0</v>
      </c>
      <c r="Y48" s="4" t="b">
        <v>0</v>
      </c>
    </row>
    <row r="49" spans="1:25" ht="12.75" outlineLevel="1" x14ac:dyDescent="0.2">
      <c r="A49" s="31" t="s">
        <v>163</v>
      </c>
      <c r="B49" s="34" t="s">
        <v>234</v>
      </c>
      <c r="C49" s="37"/>
      <c r="D49" s="37"/>
      <c r="E49" s="37"/>
      <c r="V49" s="4" t="s">
        <v>83</v>
      </c>
      <c r="W49" s="4" t="b">
        <v>0</v>
      </c>
      <c r="X49" s="4" t="b">
        <v>0</v>
      </c>
      <c r="Y49" s="4" t="b">
        <v>0</v>
      </c>
    </row>
    <row r="50" spans="1:25" ht="12.75" outlineLevel="1" x14ac:dyDescent="0.2">
      <c r="A50" s="31" t="s">
        <v>164</v>
      </c>
      <c r="B50" s="34" t="s">
        <v>235</v>
      </c>
      <c r="C50" s="37"/>
      <c r="D50" s="37"/>
      <c r="E50" s="37"/>
      <c r="V50" s="4" t="s">
        <v>84</v>
      </c>
      <c r="W50" s="4" t="b">
        <v>0</v>
      </c>
      <c r="X50" s="4" t="b">
        <v>0</v>
      </c>
      <c r="Y50" s="4" t="b">
        <v>0</v>
      </c>
    </row>
    <row r="51" spans="1:25" ht="12.75" outlineLevel="1" x14ac:dyDescent="0.2">
      <c r="A51" s="31" t="s">
        <v>165</v>
      </c>
      <c r="B51" s="34" t="s">
        <v>236</v>
      </c>
      <c r="C51" s="37"/>
      <c r="D51" s="37"/>
      <c r="E51" s="37"/>
      <c r="V51" s="4" t="s">
        <v>85</v>
      </c>
      <c r="W51" s="4" t="b">
        <v>0</v>
      </c>
      <c r="X51" s="4" t="b">
        <v>0</v>
      </c>
      <c r="Y51" s="4" t="b">
        <v>0</v>
      </c>
    </row>
    <row r="52" spans="1:25" ht="12.75" outlineLevel="1" x14ac:dyDescent="0.2">
      <c r="A52" s="31" t="s">
        <v>191</v>
      </c>
      <c r="B52" s="34" t="s">
        <v>237</v>
      </c>
      <c r="C52" s="37"/>
      <c r="D52" s="37"/>
      <c r="E52" s="37"/>
      <c r="V52" s="4" t="s">
        <v>102</v>
      </c>
      <c r="W52" s="4" t="b">
        <v>0</v>
      </c>
      <c r="X52" s="4" t="b">
        <v>0</v>
      </c>
      <c r="Y52" s="4" t="b">
        <v>0</v>
      </c>
    </row>
    <row r="53" spans="1:25" ht="12.75" x14ac:dyDescent="0.2">
      <c r="W53" s="4" t="b">
        <v>0</v>
      </c>
      <c r="X53" s="4" t="b">
        <v>0</v>
      </c>
      <c r="Y53" s="4" t="b">
        <v>0</v>
      </c>
    </row>
    <row r="54" spans="1:25" ht="22.5" customHeight="1" x14ac:dyDescent="0.25">
      <c r="A54" s="114" t="s">
        <v>238</v>
      </c>
      <c r="B54" s="115"/>
      <c r="C54" s="115"/>
      <c r="D54" s="115"/>
      <c r="E54" s="115"/>
      <c r="W54" s="4" t="b">
        <v>0</v>
      </c>
      <c r="X54" s="4" t="b">
        <v>0</v>
      </c>
      <c r="Y54" s="4" t="b">
        <v>0</v>
      </c>
    </row>
    <row r="55" spans="1:25" ht="33" customHeight="1" outlineLevel="1" x14ac:dyDescent="0.2">
      <c r="A55" s="25" t="s">
        <v>74</v>
      </c>
      <c r="B55" s="25" t="s">
        <v>82</v>
      </c>
      <c r="C55" s="25" t="str">
        <f>"T1"&amp;CHAR(10)&amp;IF($B$5="","(날짜 미입력)",TEXT($B$5,"yyyy-mm-dd"))</f>
        <v>T1
2026-01-01</v>
      </c>
      <c r="D55" s="25" t="str">
        <f>"T2"&amp;CHAR(10)&amp;IF($B$6="","(날짜 미입력)",TEXT($B$6,"yyyy-mm-dd"))</f>
        <v>T2
(날짜 미입력)</v>
      </c>
      <c r="E55" s="25" t="str">
        <f>"T3"&amp;CHAR(10)&amp;IF($B$7="","(날짜 미입력)",TEXT($B$7,"yyyy-mm-dd"))</f>
        <v>T3
(날짜 미입력)</v>
      </c>
      <c r="W55" s="4" t="b">
        <v>0</v>
      </c>
      <c r="X55" s="4" t="b">
        <v>0</v>
      </c>
      <c r="Y55" s="4" t="b">
        <v>0</v>
      </c>
    </row>
    <row r="56" spans="1:25" ht="24" outlineLevel="1" x14ac:dyDescent="0.2">
      <c r="A56" s="31" t="s">
        <v>107</v>
      </c>
      <c r="B56" s="34" t="s">
        <v>239</v>
      </c>
      <c r="C56" s="37"/>
      <c r="D56" s="37"/>
      <c r="E56" s="37"/>
      <c r="V56" s="4" t="s">
        <v>24</v>
      </c>
      <c r="W56" s="4" t="b">
        <v>0</v>
      </c>
      <c r="X56" s="4" t="b">
        <v>0</v>
      </c>
      <c r="Y56" s="4" t="b">
        <v>0</v>
      </c>
    </row>
    <row r="57" spans="1:25" ht="12.75" outlineLevel="1" x14ac:dyDescent="0.2">
      <c r="A57" s="31" t="s">
        <v>197</v>
      </c>
      <c r="B57" s="34" t="s">
        <v>240</v>
      </c>
      <c r="C57" s="37"/>
      <c r="D57" s="37"/>
      <c r="E57" s="37"/>
      <c r="V57" s="4" t="s">
        <v>110</v>
      </c>
      <c r="W57" s="4" t="b">
        <v>0</v>
      </c>
      <c r="X57" s="4" t="b">
        <v>0</v>
      </c>
      <c r="Y57" s="4" t="b">
        <v>0</v>
      </c>
    </row>
    <row r="58" spans="1:25" ht="36" outlineLevel="1" x14ac:dyDescent="0.2">
      <c r="A58" s="31" t="s">
        <v>201</v>
      </c>
      <c r="B58" s="34" t="s">
        <v>241</v>
      </c>
      <c r="C58" s="37"/>
      <c r="D58" s="37"/>
      <c r="E58" s="37"/>
      <c r="V58" s="4" t="s">
        <v>111</v>
      </c>
      <c r="W58" s="4" t="b">
        <v>0</v>
      </c>
      <c r="X58" s="4" t="b">
        <v>0</v>
      </c>
      <c r="Y58" s="4" t="b">
        <v>0</v>
      </c>
    </row>
    <row r="59" spans="1:25" ht="24" outlineLevel="1" x14ac:dyDescent="0.2">
      <c r="A59" s="31" t="s">
        <v>130</v>
      </c>
      <c r="B59" s="34" t="s">
        <v>242</v>
      </c>
      <c r="C59" s="37"/>
      <c r="D59" s="37"/>
      <c r="E59" s="37"/>
      <c r="V59" s="4" t="s">
        <v>44</v>
      </c>
      <c r="W59" s="4" t="b">
        <v>0</v>
      </c>
      <c r="X59" s="4" t="b">
        <v>0</v>
      </c>
      <c r="Y59" s="4" t="b">
        <v>0</v>
      </c>
    </row>
    <row r="60" spans="1:25" ht="24" outlineLevel="1" x14ac:dyDescent="0.2">
      <c r="A60" s="31" t="s">
        <v>131</v>
      </c>
      <c r="B60" s="34" t="s">
        <v>242</v>
      </c>
      <c r="C60" s="37"/>
      <c r="D60" s="37"/>
      <c r="E60" s="37"/>
      <c r="V60" s="4" t="s">
        <v>45</v>
      </c>
      <c r="W60" s="4" t="b">
        <v>0</v>
      </c>
      <c r="X60" s="4" t="b">
        <v>0</v>
      </c>
      <c r="Y60" s="4" t="b">
        <v>0</v>
      </c>
    </row>
    <row r="61" spans="1:25" ht="24" outlineLevel="1" x14ac:dyDescent="0.2">
      <c r="A61" s="31" t="s">
        <v>132</v>
      </c>
      <c r="B61" s="34" t="s">
        <v>242</v>
      </c>
      <c r="C61" s="37"/>
      <c r="D61" s="37"/>
      <c r="E61" s="37"/>
      <c r="V61" s="4" t="s">
        <v>46</v>
      </c>
      <c r="W61" s="4" t="b">
        <v>0</v>
      </c>
      <c r="X61" s="4" t="b">
        <v>0</v>
      </c>
      <c r="Y61" s="4" t="b">
        <v>0</v>
      </c>
    </row>
    <row r="62" spans="1:25" ht="24" outlineLevel="1" x14ac:dyDescent="0.2">
      <c r="A62" s="31" t="s">
        <v>133</v>
      </c>
      <c r="B62" s="34" t="s">
        <v>242</v>
      </c>
      <c r="C62" s="37"/>
      <c r="D62" s="37"/>
      <c r="E62" s="37"/>
      <c r="V62" s="4" t="s">
        <v>47</v>
      </c>
      <c r="W62" s="4" t="b">
        <v>0</v>
      </c>
      <c r="X62" s="4" t="b">
        <v>0</v>
      </c>
      <c r="Y62" s="4" t="b">
        <v>0</v>
      </c>
    </row>
    <row r="63" spans="1:25" ht="24" outlineLevel="1" x14ac:dyDescent="0.2">
      <c r="A63" s="31" t="s">
        <v>134</v>
      </c>
      <c r="B63" s="34" t="s">
        <v>242</v>
      </c>
      <c r="C63" s="37"/>
      <c r="D63" s="37"/>
      <c r="E63" s="37"/>
      <c r="V63" s="4" t="s">
        <v>48</v>
      </c>
      <c r="W63" s="4" t="b">
        <v>0</v>
      </c>
      <c r="X63" s="4" t="b">
        <v>0</v>
      </c>
      <c r="Y63" s="4" t="b">
        <v>0</v>
      </c>
    </row>
    <row r="64" spans="1:25" ht="24" outlineLevel="1" x14ac:dyDescent="0.2">
      <c r="A64" s="31" t="s">
        <v>135</v>
      </c>
      <c r="B64" s="34" t="s">
        <v>242</v>
      </c>
      <c r="C64" s="37"/>
      <c r="D64" s="37"/>
      <c r="E64" s="37"/>
      <c r="V64" s="4" t="s">
        <v>49</v>
      </c>
      <c r="W64" s="4" t="b">
        <v>0</v>
      </c>
      <c r="X64" s="4" t="b">
        <v>0</v>
      </c>
      <c r="Y64" s="4" t="b">
        <v>0</v>
      </c>
    </row>
    <row r="65" spans="1:25" ht="24" outlineLevel="1" x14ac:dyDescent="0.2">
      <c r="A65" s="31" t="s">
        <v>136</v>
      </c>
      <c r="B65" s="34" t="s">
        <v>242</v>
      </c>
      <c r="C65" s="37"/>
      <c r="D65" s="37"/>
      <c r="E65" s="37"/>
      <c r="V65" s="4" t="s">
        <v>50</v>
      </c>
      <c r="W65" s="4" t="b">
        <v>0</v>
      </c>
      <c r="X65" s="4" t="b">
        <v>0</v>
      </c>
      <c r="Y65" s="4" t="b">
        <v>0</v>
      </c>
    </row>
    <row r="66" spans="1:25" ht="12.75" x14ac:dyDescent="0.2">
      <c r="W66" s="4" t="b">
        <v>0</v>
      </c>
      <c r="X66" s="4" t="b">
        <v>0</v>
      </c>
      <c r="Y66" s="4" t="b">
        <v>0</v>
      </c>
    </row>
    <row r="67" spans="1:25" ht="22.5" customHeight="1" x14ac:dyDescent="0.25">
      <c r="A67" s="114" t="s">
        <v>243</v>
      </c>
      <c r="B67" s="115"/>
      <c r="C67" s="115"/>
      <c r="D67" s="115"/>
      <c r="E67" s="115"/>
      <c r="W67" s="4" t="b">
        <v>0</v>
      </c>
      <c r="X67" s="4" t="b">
        <v>0</v>
      </c>
      <c r="Y67" s="4" t="b">
        <v>0</v>
      </c>
    </row>
    <row r="68" spans="1:25" ht="33" customHeight="1" outlineLevel="1" x14ac:dyDescent="0.2">
      <c r="A68" s="25" t="s">
        <v>74</v>
      </c>
      <c r="B68" s="25" t="s">
        <v>82</v>
      </c>
      <c r="C68" s="25" t="str">
        <f>"T1"&amp;CHAR(10)&amp;IF($B$5="","(날짜 미입력)",TEXT($B$5,"yyyy-mm-dd"))</f>
        <v>T1
2026-01-01</v>
      </c>
      <c r="D68" s="25" t="str">
        <f>"T2"&amp;CHAR(10)&amp;IF($B$6="","(날짜 미입력)",TEXT($B$6,"yyyy-mm-dd"))</f>
        <v>T2
(날짜 미입력)</v>
      </c>
      <c r="E68" s="25" t="str">
        <f>"T3"&amp;CHAR(10)&amp;IF($B$7="","(날짜 미입력)",TEXT($B$7,"yyyy-mm-dd"))</f>
        <v>T3
(날짜 미입력)</v>
      </c>
      <c r="W68" s="4" t="b">
        <v>0</v>
      </c>
      <c r="X68" s="4" t="b">
        <v>0</v>
      </c>
      <c r="Y68" s="4" t="b">
        <v>0</v>
      </c>
    </row>
    <row r="69" spans="1:25" ht="24" outlineLevel="1" x14ac:dyDescent="0.2">
      <c r="A69" s="31" t="s">
        <v>166</v>
      </c>
      <c r="B69" s="34" t="s">
        <v>183</v>
      </c>
      <c r="C69" s="37"/>
      <c r="D69" s="37"/>
      <c r="E69" s="37"/>
      <c r="V69" s="4" t="s">
        <v>86</v>
      </c>
      <c r="W69" s="4" t="b">
        <v>0</v>
      </c>
      <c r="X69" s="4" t="b">
        <v>0</v>
      </c>
      <c r="Y69" s="4" t="b">
        <v>0</v>
      </c>
    </row>
    <row r="70" spans="1:25" ht="24" outlineLevel="1" x14ac:dyDescent="0.2">
      <c r="A70" s="31" t="s">
        <v>124</v>
      </c>
      <c r="B70" s="34" t="s">
        <v>183</v>
      </c>
      <c r="C70" s="37"/>
      <c r="D70" s="37"/>
      <c r="E70" s="37"/>
      <c r="V70" s="4" t="s">
        <v>39</v>
      </c>
      <c r="W70" s="4" t="b">
        <v>0</v>
      </c>
      <c r="X70" s="4" t="b">
        <v>0</v>
      </c>
      <c r="Y70" s="4" t="b">
        <v>0</v>
      </c>
    </row>
    <row r="71" spans="1:25" ht="24" outlineLevel="1" x14ac:dyDescent="0.2">
      <c r="A71" s="31" t="s">
        <v>125</v>
      </c>
      <c r="B71" s="34" t="s">
        <v>183</v>
      </c>
      <c r="C71" s="37"/>
      <c r="D71" s="37"/>
      <c r="E71" s="37"/>
      <c r="V71" s="4" t="s">
        <v>40</v>
      </c>
      <c r="W71" s="4" t="b">
        <v>0</v>
      </c>
      <c r="X71" s="4" t="b">
        <v>0</v>
      </c>
      <c r="Y71" s="4" t="b">
        <v>0</v>
      </c>
    </row>
    <row r="72" spans="1:25" ht="24" outlineLevel="1" x14ac:dyDescent="0.2">
      <c r="A72" s="31" t="s">
        <v>127</v>
      </c>
      <c r="B72" s="34" t="s">
        <v>183</v>
      </c>
      <c r="C72" s="37"/>
      <c r="D72" s="37"/>
      <c r="E72" s="37"/>
      <c r="V72" s="4" t="s">
        <v>41</v>
      </c>
      <c r="W72" s="4" t="b">
        <v>0</v>
      </c>
      <c r="X72" s="4" t="b">
        <v>0</v>
      </c>
      <c r="Y72" s="4" t="b">
        <v>0</v>
      </c>
    </row>
    <row r="73" spans="1:25" ht="24" outlineLevel="1" x14ac:dyDescent="0.2">
      <c r="A73" s="31" t="s">
        <v>128</v>
      </c>
      <c r="B73" s="34" t="s">
        <v>244</v>
      </c>
      <c r="C73" s="37"/>
      <c r="D73" s="37"/>
      <c r="E73" s="37"/>
      <c r="V73" s="4" t="s">
        <v>42</v>
      </c>
      <c r="W73" s="4" t="b">
        <v>0</v>
      </c>
      <c r="X73" s="4" t="b">
        <v>0</v>
      </c>
      <c r="Y73" s="4" t="b">
        <v>0</v>
      </c>
    </row>
    <row r="74" spans="1:25" ht="24" outlineLevel="1" x14ac:dyDescent="0.2">
      <c r="A74" s="31" t="s">
        <v>129</v>
      </c>
      <c r="B74" s="34" t="s">
        <v>245</v>
      </c>
      <c r="C74" s="37"/>
      <c r="D74" s="37"/>
      <c r="E74" s="37"/>
      <c r="V74" s="4" t="s">
        <v>43</v>
      </c>
      <c r="W74" s="4" t="b">
        <v>0</v>
      </c>
      <c r="X74" s="4" t="b">
        <v>0</v>
      </c>
      <c r="Y74" s="4" t="b">
        <v>0</v>
      </c>
    </row>
    <row r="75" spans="1:25" ht="24" outlineLevel="1" x14ac:dyDescent="0.2">
      <c r="A75" s="31" t="s">
        <v>170</v>
      </c>
      <c r="B75" s="34" t="s">
        <v>246</v>
      </c>
      <c r="C75" s="37"/>
      <c r="D75" s="37"/>
      <c r="E75" s="37"/>
      <c r="V75" s="4" t="s">
        <v>89</v>
      </c>
      <c r="W75" s="4" t="b">
        <v>0</v>
      </c>
      <c r="X75" s="4" t="b">
        <v>0</v>
      </c>
      <c r="Y75" s="4" t="b">
        <v>0</v>
      </c>
    </row>
    <row r="76" spans="1:25" ht="12.75" x14ac:dyDescent="0.2">
      <c r="W76" s="4" t="b">
        <v>0</v>
      </c>
      <c r="X76" s="4" t="b">
        <v>0</v>
      </c>
      <c r="Y76" s="4" t="b">
        <v>0</v>
      </c>
    </row>
    <row r="77" spans="1:25" ht="22.5" customHeight="1" x14ac:dyDescent="0.25">
      <c r="A77" s="114" t="s">
        <v>247</v>
      </c>
      <c r="B77" s="115"/>
      <c r="C77" s="115"/>
      <c r="D77" s="115"/>
      <c r="E77" s="115"/>
      <c r="W77" s="4" t="b">
        <v>0</v>
      </c>
      <c r="X77" s="4" t="b">
        <v>0</v>
      </c>
      <c r="Y77" s="4" t="b">
        <v>0</v>
      </c>
    </row>
    <row r="78" spans="1:25" ht="33" customHeight="1" outlineLevel="1" x14ac:dyDescent="0.2">
      <c r="A78" s="25" t="s">
        <v>74</v>
      </c>
      <c r="B78" s="25" t="s">
        <v>82</v>
      </c>
      <c r="C78" s="25" t="str">
        <f>"T1"&amp;CHAR(10)&amp;IF($B$5="","(날짜 미입력)",TEXT($B$5,"yyyy-mm-dd"))</f>
        <v>T1
2026-01-01</v>
      </c>
      <c r="D78" s="25" t="str">
        <f>"T2"&amp;CHAR(10)&amp;IF($B$6="","(날짜 미입력)",TEXT($B$6,"yyyy-mm-dd"))</f>
        <v>T2
(날짜 미입력)</v>
      </c>
      <c r="E78" s="25" t="str">
        <f>"T3"&amp;CHAR(10)&amp;IF($B$7="","(날짜 미입력)",TEXT($B$7,"yyyy-mm-dd"))</f>
        <v>T3
(날짜 미입력)</v>
      </c>
      <c r="W78" s="4" t="b">
        <v>0</v>
      </c>
      <c r="X78" s="4" t="b">
        <v>0</v>
      </c>
      <c r="Y78" s="4" t="b">
        <v>0</v>
      </c>
    </row>
    <row r="79" spans="1:25" ht="24" outlineLevel="1" x14ac:dyDescent="0.2">
      <c r="A79" s="31" t="s">
        <v>106</v>
      </c>
      <c r="B79" s="34" t="s">
        <v>183</v>
      </c>
      <c r="C79" s="37"/>
      <c r="D79" s="37"/>
      <c r="E79" s="37"/>
      <c r="V79" s="4" t="s">
        <v>23</v>
      </c>
      <c r="W79" s="4" t="b">
        <v>0</v>
      </c>
      <c r="X79" s="4" t="b">
        <v>0</v>
      </c>
      <c r="Y79" s="4" t="b">
        <v>0</v>
      </c>
    </row>
    <row r="80" spans="1:25" ht="24" outlineLevel="1" x14ac:dyDescent="0.2">
      <c r="A80" s="31" t="s">
        <v>108</v>
      </c>
      <c r="B80" s="34" t="s">
        <v>248</v>
      </c>
      <c r="C80" s="37"/>
      <c r="D80" s="37"/>
      <c r="E80" s="37"/>
      <c r="V80" s="4" t="s">
        <v>26</v>
      </c>
      <c r="W80" s="4" t="b">
        <v>0</v>
      </c>
      <c r="X80" s="4" t="b">
        <v>0</v>
      </c>
      <c r="Y80" s="4" t="b">
        <v>0</v>
      </c>
    </row>
    <row r="81" spans="1:25" ht="24" outlineLevel="1" x14ac:dyDescent="0.2">
      <c r="A81" s="31" t="s">
        <v>109</v>
      </c>
      <c r="B81" s="34" t="s">
        <v>183</v>
      </c>
      <c r="C81" s="37"/>
      <c r="D81" s="37"/>
      <c r="E81" s="37"/>
      <c r="V81" s="4" t="s">
        <v>27</v>
      </c>
      <c r="W81" s="4" t="b">
        <v>0</v>
      </c>
      <c r="X81" s="4" t="b">
        <v>0</v>
      </c>
      <c r="Y81" s="4" t="b">
        <v>0</v>
      </c>
    </row>
    <row r="82" spans="1:25" ht="24" outlineLevel="1" x14ac:dyDescent="0.2">
      <c r="A82" s="31" t="s">
        <v>112</v>
      </c>
      <c r="B82" s="34" t="s">
        <v>183</v>
      </c>
      <c r="C82" s="37"/>
      <c r="D82" s="37"/>
      <c r="E82" s="37"/>
      <c r="V82" s="4" t="s">
        <v>28</v>
      </c>
      <c r="W82" s="4" t="b">
        <v>0</v>
      </c>
      <c r="X82" s="4" t="b">
        <v>0</v>
      </c>
      <c r="Y82" s="4" t="b">
        <v>0</v>
      </c>
    </row>
    <row r="83" spans="1:25" ht="24" outlineLevel="1" x14ac:dyDescent="0.2">
      <c r="A83" s="31" t="s">
        <v>113</v>
      </c>
      <c r="B83" s="34" t="s">
        <v>183</v>
      </c>
      <c r="C83" s="37"/>
      <c r="D83" s="37"/>
      <c r="E83" s="37"/>
      <c r="V83" s="4" t="s">
        <v>29</v>
      </c>
      <c r="W83" s="4" t="b">
        <v>0</v>
      </c>
      <c r="X83" s="4" t="b">
        <v>0</v>
      </c>
      <c r="Y83" s="4" t="b">
        <v>0</v>
      </c>
    </row>
    <row r="84" spans="1:25" ht="24" outlineLevel="1" x14ac:dyDescent="0.2">
      <c r="A84" s="31" t="s">
        <v>114</v>
      </c>
      <c r="B84" s="34" t="s">
        <v>183</v>
      </c>
      <c r="C84" s="37"/>
      <c r="D84" s="37"/>
      <c r="E84" s="37"/>
      <c r="V84" s="4" t="s">
        <v>30</v>
      </c>
      <c r="W84" s="4" t="b">
        <v>0</v>
      </c>
      <c r="X84" s="4" t="b">
        <v>0</v>
      </c>
      <c r="Y84" s="4" t="b">
        <v>0</v>
      </c>
    </row>
    <row r="85" spans="1:25" ht="24" outlineLevel="1" x14ac:dyDescent="0.2">
      <c r="A85" s="31" t="s">
        <v>115</v>
      </c>
      <c r="B85" s="34" t="s">
        <v>183</v>
      </c>
      <c r="C85" s="37"/>
      <c r="D85" s="37"/>
      <c r="E85" s="37"/>
      <c r="V85" s="4" t="s">
        <v>31</v>
      </c>
      <c r="W85" s="4" t="b">
        <v>0</v>
      </c>
      <c r="X85" s="4" t="b">
        <v>0</v>
      </c>
      <c r="Y85" s="4" t="b">
        <v>0</v>
      </c>
    </row>
    <row r="86" spans="1:25" ht="24" outlineLevel="1" x14ac:dyDescent="0.2">
      <c r="A86" s="31" t="s">
        <v>116</v>
      </c>
      <c r="B86" s="34" t="s">
        <v>183</v>
      </c>
      <c r="C86" s="37"/>
      <c r="D86" s="37"/>
      <c r="E86" s="37"/>
      <c r="V86" s="4" t="s">
        <v>32</v>
      </c>
      <c r="W86" s="4" t="b">
        <v>0</v>
      </c>
      <c r="X86" s="4" t="b">
        <v>0</v>
      </c>
      <c r="Y86" s="4" t="b">
        <v>0</v>
      </c>
    </row>
    <row r="87" spans="1:25" ht="12.75" outlineLevel="1" x14ac:dyDescent="0.2">
      <c r="A87" s="31" t="s">
        <v>118</v>
      </c>
      <c r="B87" s="34" t="s">
        <v>249</v>
      </c>
      <c r="C87" s="37"/>
      <c r="D87" s="37"/>
      <c r="E87" s="37"/>
      <c r="V87" s="4" t="s">
        <v>33</v>
      </c>
      <c r="W87" s="4" t="b">
        <v>0</v>
      </c>
      <c r="X87" s="4" t="b">
        <v>0</v>
      </c>
      <c r="Y87" s="4" t="b">
        <v>0</v>
      </c>
    </row>
    <row r="88" spans="1:25" ht="24" outlineLevel="1" x14ac:dyDescent="0.2">
      <c r="A88" s="31" t="s">
        <v>120</v>
      </c>
      <c r="B88" s="34" t="s">
        <v>250</v>
      </c>
      <c r="C88" s="37"/>
      <c r="D88" s="37"/>
      <c r="E88" s="37"/>
      <c r="V88" s="4" t="s">
        <v>34</v>
      </c>
      <c r="W88" s="4" t="b">
        <v>0</v>
      </c>
      <c r="X88" s="4" t="b">
        <v>0</v>
      </c>
      <c r="Y88" s="4" t="b">
        <v>0</v>
      </c>
    </row>
    <row r="89" spans="1:25" ht="12.75" outlineLevel="1" x14ac:dyDescent="0.2">
      <c r="A89" s="31" t="s">
        <v>176</v>
      </c>
      <c r="B89" s="34" t="s">
        <v>251</v>
      </c>
      <c r="C89" s="37"/>
      <c r="D89" s="37"/>
      <c r="E89" s="37"/>
      <c r="V89" s="4" t="s">
        <v>93</v>
      </c>
      <c r="W89" s="4" t="b">
        <v>0</v>
      </c>
      <c r="X89" s="4" t="b">
        <v>0</v>
      </c>
      <c r="Y89" s="4" t="b">
        <v>0</v>
      </c>
    </row>
    <row r="90" spans="1:25" ht="36" outlineLevel="1" x14ac:dyDescent="0.2">
      <c r="A90" s="31" t="s">
        <v>122</v>
      </c>
      <c r="B90" s="34" t="s">
        <v>252</v>
      </c>
      <c r="C90" s="37"/>
      <c r="D90" s="37"/>
      <c r="E90" s="37"/>
      <c r="V90" s="4" t="s">
        <v>36</v>
      </c>
      <c r="W90" s="4" t="b">
        <v>0</v>
      </c>
      <c r="X90" s="4" t="b">
        <v>0</v>
      </c>
      <c r="Y90" s="4" t="b">
        <v>0</v>
      </c>
    </row>
    <row r="91" spans="1:25" ht="12.75" outlineLevel="1" x14ac:dyDescent="0.2">
      <c r="A91" s="31" t="s">
        <v>123</v>
      </c>
      <c r="B91" s="34" t="s">
        <v>253</v>
      </c>
      <c r="C91" s="37"/>
      <c r="D91" s="37"/>
      <c r="E91" s="37"/>
      <c r="V91" s="4" t="s">
        <v>37</v>
      </c>
      <c r="W91" s="4" t="b">
        <v>0</v>
      </c>
      <c r="X91" s="4" t="b">
        <v>0</v>
      </c>
      <c r="Y91" s="4" t="b">
        <v>0</v>
      </c>
    </row>
    <row r="92" spans="1:25" ht="36" outlineLevel="1" x14ac:dyDescent="0.2">
      <c r="A92" s="31" t="s">
        <v>179</v>
      </c>
      <c r="B92" s="34" t="s">
        <v>252</v>
      </c>
      <c r="C92" s="37"/>
      <c r="D92" s="37"/>
      <c r="E92" s="37"/>
      <c r="V92" s="4" t="s">
        <v>94</v>
      </c>
      <c r="W92" s="4" t="b">
        <v>0</v>
      </c>
      <c r="X92" s="4" t="b">
        <v>0</v>
      </c>
      <c r="Y92" s="4" t="b">
        <v>0</v>
      </c>
    </row>
    <row r="93" spans="1:25" ht="36" outlineLevel="1" x14ac:dyDescent="0.2">
      <c r="A93" s="31" t="s">
        <v>181</v>
      </c>
      <c r="B93" s="34" t="s">
        <v>252</v>
      </c>
      <c r="C93" s="37"/>
      <c r="D93" s="37"/>
      <c r="E93" s="37"/>
      <c r="V93" s="4" t="s">
        <v>96</v>
      </c>
      <c r="W93" s="4" t="b">
        <v>0</v>
      </c>
      <c r="X93" s="4" t="b">
        <v>0</v>
      </c>
      <c r="Y93" s="4" t="b">
        <v>0</v>
      </c>
    </row>
    <row r="94" spans="1:25" ht="12.75" x14ac:dyDescent="0.2">
      <c r="W94" s="4" t="b">
        <v>0</v>
      </c>
      <c r="X94" s="4" t="b">
        <v>0</v>
      </c>
      <c r="Y94" s="4" t="b">
        <v>0</v>
      </c>
    </row>
    <row r="95" spans="1:25" ht="22.5" customHeight="1" x14ac:dyDescent="0.25">
      <c r="A95" s="114" t="s">
        <v>254</v>
      </c>
      <c r="B95" s="115"/>
      <c r="C95" s="115"/>
      <c r="D95" s="115"/>
      <c r="E95" s="115"/>
      <c r="W95" s="4" t="b">
        <v>0</v>
      </c>
      <c r="X95" s="4" t="b">
        <v>0</v>
      </c>
      <c r="Y95" s="4" t="b">
        <v>0</v>
      </c>
    </row>
    <row r="96" spans="1:25" ht="33" customHeight="1" outlineLevel="1" x14ac:dyDescent="0.2">
      <c r="A96" s="25" t="s">
        <v>74</v>
      </c>
      <c r="B96" s="25" t="s">
        <v>82</v>
      </c>
      <c r="C96" s="25" t="str">
        <f>"T1"&amp;CHAR(10)&amp;IF($B$5="","(날짜 미입력)",TEXT($B$5,"yyyy-mm-dd"))</f>
        <v>T1
2026-01-01</v>
      </c>
      <c r="D96" s="25" t="str">
        <f>"T2"&amp;CHAR(10)&amp;IF($B$6="","(날짜 미입력)",TEXT($B$6,"yyyy-mm-dd"))</f>
        <v>T2
(날짜 미입력)</v>
      </c>
      <c r="E96" s="25" t="str">
        <f>"T3"&amp;CHAR(10)&amp;IF($B$7="","(날짜 미입력)",TEXT($B$7,"yyyy-mm-dd"))</f>
        <v>T3
(날짜 미입력)</v>
      </c>
      <c r="W96" s="4" t="b">
        <v>0</v>
      </c>
      <c r="X96" s="4" t="b">
        <v>0</v>
      </c>
      <c r="Y96" s="4" t="b">
        <v>0</v>
      </c>
    </row>
    <row r="97" spans="1:25" ht="24" outlineLevel="1" x14ac:dyDescent="0.2">
      <c r="A97" s="31" t="s">
        <v>167</v>
      </c>
      <c r="B97" s="34" t="s">
        <v>183</v>
      </c>
      <c r="C97" s="37"/>
      <c r="D97" s="37"/>
      <c r="E97" s="37"/>
      <c r="V97" s="4" t="s">
        <v>87</v>
      </c>
      <c r="W97" s="4" t="b">
        <v>0</v>
      </c>
      <c r="X97" s="4" t="b">
        <v>0</v>
      </c>
      <c r="Y97" s="4" t="b">
        <v>0</v>
      </c>
    </row>
    <row r="98" spans="1:25" ht="12.75" outlineLevel="1" x14ac:dyDescent="0.2">
      <c r="A98" s="31" t="s">
        <v>169</v>
      </c>
      <c r="B98" s="34" t="s">
        <v>255</v>
      </c>
      <c r="C98" s="37"/>
      <c r="D98" s="37"/>
      <c r="E98" s="37"/>
      <c r="V98" s="4" t="s">
        <v>88</v>
      </c>
      <c r="W98" s="4" t="b">
        <v>0</v>
      </c>
      <c r="X98" s="4" t="b">
        <v>0</v>
      </c>
      <c r="Y98" s="4" t="b">
        <v>0</v>
      </c>
    </row>
    <row r="99" spans="1:25" ht="24" outlineLevel="1" x14ac:dyDescent="0.2">
      <c r="A99" s="31" t="s">
        <v>256</v>
      </c>
      <c r="B99" s="34" t="s">
        <v>257</v>
      </c>
      <c r="C99" s="37"/>
      <c r="D99" s="37"/>
      <c r="E99" s="37"/>
      <c r="V99" s="4" t="s">
        <v>258</v>
      </c>
      <c r="W99" s="4" t="b">
        <v>0</v>
      </c>
      <c r="X99" s="4" t="b">
        <v>0</v>
      </c>
      <c r="Y99" s="4" t="b">
        <v>0</v>
      </c>
    </row>
    <row r="100" spans="1:25" ht="24" outlineLevel="1" x14ac:dyDescent="0.2">
      <c r="A100" s="31" t="s">
        <v>259</v>
      </c>
      <c r="B100" s="34" t="s">
        <v>260</v>
      </c>
      <c r="C100" s="37"/>
      <c r="D100" s="37"/>
      <c r="E100" s="37"/>
      <c r="V100" s="4" t="s">
        <v>261</v>
      </c>
      <c r="W100" s="4" t="b">
        <v>0</v>
      </c>
      <c r="X100" s="4" t="b">
        <v>0</v>
      </c>
      <c r="Y100" s="4" t="b">
        <v>0</v>
      </c>
    </row>
    <row r="101" spans="1:25" ht="24" outlineLevel="1" x14ac:dyDescent="0.2">
      <c r="A101" s="31" t="s">
        <v>171</v>
      </c>
      <c r="B101" s="34" t="s">
        <v>246</v>
      </c>
      <c r="C101" s="37"/>
      <c r="D101" s="37"/>
      <c r="E101" s="37"/>
      <c r="V101" s="4" t="s">
        <v>90</v>
      </c>
      <c r="W101" s="4" t="b">
        <v>0</v>
      </c>
      <c r="X101" s="4" t="b">
        <v>0</v>
      </c>
      <c r="Y101" s="4" t="b">
        <v>0</v>
      </c>
    </row>
    <row r="102" spans="1:25" ht="24" outlineLevel="1" x14ac:dyDescent="0.2">
      <c r="A102" s="31" t="s">
        <v>172</v>
      </c>
      <c r="B102" s="34" t="s">
        <v>246</v>
      </c>
      <c r="C102" s="37"/>
      <c r="D102" s="37"/>
      <c r="E102" s="37"/>
      <c r="V102" s="4" t="s">
        <v>91</v>
      </c>
      <c r="W102" s="4" t="b">
        <v>0</v>
      </c>
      <c r="X102" s="4" t="b">
        <v>0</v>
      </c>
      <c r="Y102" s="4" t="b">
        <v>0</v>
      </c>
    </row>
    <row r="103" spans="1:25" ht="24" outlineLevel="1" x14ac:dyDescent="0.2">
      <c r="A103" s="31" t="s">
        <v>173</v>
      </c>
      <c r="B103" s="34" t="s">
        <v>246</v>
      </c>
      <c r="C103" s="37"/>
      <c r="D103" s="37"/>
      <c r="E103" s="37"/>
      <c r="V103" s="4" t="s">
        <v>92</v>
      </c>
      <c r="W103" s="4" t="b">
        <v>0</v>
      </c>
      <c r="X103" s="4" t="b">
        <v>0</v>
      </c>
      <c r="Y103" s="4" t="b">
        <v>0</v>
      </c>
    </row>
  </sheetData>
  <mergeCells count="10">
    <mergeCell ref="A67:E67"/>
    <mergeCell ref="A77:E77"/>
    <mergeCell ref="A95:E95"/>
    <mergeCell ref="A1:H1"/>
    <mergeCell ref="A9:H9"/>
    <mergeCell ref="A11:E11"/>
    <mergeCell ref="A23:E23"/>
    <mergeCell ref="A27:E27"/>
    <mergeCell ref="A35:E35"/>
    <mergeCell ref="A54:E54"/>
  </mergeCells>
  <phoneticPr fontId="30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Y993"/>
  <sheetViews>
    <sheetView workbookViewId="0"/>
  </sheetViews>
  <sheetFormatPr defaultColWidth="12.5703125" defaultRowHeight="15.75" customHeight="1" x14ac:dyDescent="0.2"/>
  <cols>
    <col min="77" max="77" width="12.5703125" hidden="1"/>
  </cols>
  <sheetData>
    <row r="1" spans="1:77" ht="12.75" x14ac:dyDescent="0.2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7" ht="12.75" x14ac:dyDescent="0.2">
      <c r="A2" s="1"/>
      <c r="B2" s="6" t="s">
        <v>4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7" ht="12.75" x14ac:dyDescent="0.2">
      <c r="A3" s="1"/>
      <c r="B3" s="7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 t="s">
        <v>8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 t="s">
        <v>8</v>
      </c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7" ht="12.75" x14ac:dyDescent="0.2">
      <c r="A4" s="1"/>
      <c r="B4" s="2" t="s">
        <v>10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17" t="s">
        <v>19</v>
      </c>
      <c r="AG4" s="3"/>
      <c r="AH4" s="3" t="s">
        <v>25</v>
      </c>
      <c r="AI4" s="3"/>
      <c r="AJ4" s="11" t="s">
        <v>12</v>
      </c>
      <c r="AK4" s="3"/>
      <c r="AL4" s="3"/>
      <c r="AM4" s="11" t="s">
        <v>13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13" t="s">
        <v>15</v>
      </c>
      <c r="BS4" s="13"/>
      <c r="BT4" s="13"/>
      <c r="BU4" s="3"/>
      <c r="BV4" s="3"/>
      <c r="BW4" s="3"/>
      <c r="BX4" s="3"/>
      <c r="BY4" s="3"/>
    </row>
    <row r="5" spans="1:77" ht="16.5" x14ac:dyDescent="0.25">
      <c r="A5" s="20"/>
      <c r="B5" s="15"/>
      <c r="C5" s="21" t="s">
        <v>54</v>
      </c>
      <c r="D5" s="21" t="s">
        <v>57</v>
      </c>
      <c r="E5" s="23" t="s">
        <v>18</v>
      </c>
      <c r="F5" s="21" t="s">
        <v>61</v>
      </c>
      <c r="G5" s="23" t="s">
        <v>20</v>
      </c>
      <c r="H5" s="23" t="s">
        <v>21</v>
      </c>
      <c r="I5" s="23" t="s">
        <v>22</v>
      </c>
      <c r="J5" s="21" t="s">
        <v>67</v>
      </c>
      <c r="K5" s="24" t="s">
        <v>69</v>
      </c>
      <c r="L5" s="24" t="s">
        <v>73</v>
      </c>
      <c r="M5" s="24" t="s">
        <v>76</v>
      </c>
      <c r="N5" s="18" t="s">
        <v>78</v>
      </c>
      <c r="O5" s="23" t="s">
        <v>23</v>
      </c>
      <c r="P5" s="23" t="s">
        <v>24</v>
      </c>
      <c r="Q5" s="23" t="s">
        <v>26</v>
      </c>
      <c r="R5" s="23" t="s">
        <v>27</v>
      </c>
      <c r="S5" s="23" t="s">
        <v>28</v>
      </c>
      <c r="T5" s="23" t="s">
        <v>29</v>
      </c>
      <c r="U5" s="23" t="s">
        <v>30</v>
      </c>
      <c r="V5" s="23" t="s">
        <v>31</v>
      </c>
      <c r="W5" s="23" t="s">
        <v>32</v>
      </c>
      <c r="X5" s="23" t="s">
        <v>33</v>
      </c>
      <c r="Y5" s="23" t="s">
        <v>93</v>
      </c>
      <c r="Z5" s="23" t="s">
        <v>36</v>
      </c>
      <c r="AA5" s="23" t="s">
        <v>37</v>
      </c>
      <c r="AB5" s="23" t="s">
        <v>94</v>
      </c>
      <c r="AC5" s="23" t="s">
        <v>96</v>
      </c>
      <c r="AD5" s="27" t="s">
        <v>99</v>
      </c>
      <c r="AE5" s="27" t="s">
        <v>58</v>
      </c>
      <c r="AF5" s="23" t="s">
        <v>60</v>
      </c>
      <c r="AG5" s="23" t="s">
        <v>62</v>
      </c>
      <c r="AH5" s="23" t="s">
        <v>63</v>
      </c>
      <c r="AI5" s="23" t="s">
        <v>64</v>
      </c>
      <c r="AJ5" s="23" t="s">
        <v>65</v>
      </c>
      <c r="AK5" s="23" t="s">
        <v>66</v>
      </c>
      <c r="AL5" s="23" t="s">
        <v>68</v>
      </c>
      <c r="AM5" s="23" t="s">
        <v>70</v>
      </c>
      <c r="AN5" s="23" t="s">
        <v>71</v>
      </c>
      <c r="AO5" s="23" t="s">
        <v>72</v>
      </c>
      <c r="AP5" s="23" t="s">
        <v>75</v>
      </c>
      <c r="AQ5" s="23" t="s">
        <v>77</v>
      </c>
      <c r="AR5" s="23" t="s">
        <v>79</v>
      </c>
      <c r="AS5" s="23" t="s">
        <v>80</v>
      </c>
      <c r="AT5" s="23" t="s">
        <v>81</v>
      </c>
      <c r="AU5" s="23" t="s">
        <v>83</v>
      </c>
      <c r="AV5" s="23" t="s">
        <v>84</v>
      </c>
      <c r="AW5" s="23" t="s">
        <v>85</v>
      </c>
      <c r="AX5" s="21" t="s">
        <v>102</v>
      </c>
      <c r="AY5" s="23" t="s">
        <v>86</v>
      </c>
      <c r="AZ5" s="21" t="s">
        <v>87</v>
      </c>
      <c r="BA5" s="23" t="s">
        <v>88</v>
      </c>
      <c r="BB5" s="23" t="s">
        <v>39</v>
      </c>
      <c r="BC5" s="21" t="s">
        <v>40</v>
      </c>
      <c r="BD5" s="21" t="s">
        <v>41</v>
      </c>
      <c r="BE5" s="23" t="s">
        <v>42</v>
      </c>
      <c r="BF5" s="21" t="s">
        <v>43</v>
      </c>
      <c r="BG5" s="21" t="s">
        <v>110</v>
      </c>
      <c r="BH5" s="21" t="s">
        <v>111</v>
      </c>
      <c r="BI5" s="21" t="s">
        <v>44</v>
      </c>
      <c r="BJ5" s="21" t="s">
        <v>45</v>
      </c>
      <c r="BK5" s="24" t="s">
        <v>46</v>
      </c>
      <c r="BL5" s="21" t="s">
        <v>47</v>
      </c>
      <c r="BM5" s="21" t="s">
        <v>48</v>
      </c>
      <c r="BN5" s="21" t="s">
        <v>49</v>
      </c>
      <c r="BO5" s="18" t="s">
        <v>50</v>
      </c>
      <c r="BP5" s="18" t="s">
        <v>119</v>
      </c>
      <c r="BQ5" s="18" t="s">
        <v>121</v>
      </c>
      <c r="BR5" s="18" t="s">
        <v>89</v>
      </c>
      <c r="BS5" s="18" t="s">
        <v>90</v>
      </c>
      <c r="BT5" s="18" t="s">
        <v>91</v>
      </c>
      <c r="BU5" s="18" t="s">
        <v>92</v>
      </c>
      <c r="BV5" s="33" t="s">
        <v>95</v>
      </c>
      <c r="BW5" s="4" t="s">
        <v>97</v>
      </c>
      <c r="BX5" s="4" t="s">
        <v>98</v>
      </c>
      <c r="BY5" s="4" t="s">
        <v>100</v>
      </c>
    </row>
    <row r="6" spans="1:77" ht="14.25" x14ac:dyDescent="0.25">
      <c r="A6" s="36"/>
      <c r="B6" s="15"/>
      <c r="C6" s="38" t="s">
        <v>137</v>
      </c>
      <c r="D6" s="38" t="s">
        <v>117</v>
      </c>
      <c r="E6" s="40" t="s">
        <v>101</v>
      </c>
      <c r="F6" s="38" t="s">
        <v>145</v>
      </c>
      <c r="G6" s="40" t="s">
        <v>103</v>
      </c>
      <c r="H6" s="40" t="s">
        <v>104</v>
      </c>
      <c r="I6" s="40" t="s">
        <v>105</v>
      </c>
      <c r="J6" s="38" t="s">
        <v>148</v>
      </c>
      <c r="K6" s="42" t="s">
        <v>149</v>
      </c>
      <c r="L6" s="42" t="s">
        <v>153</v>
      </c>
      <c r="M6" s="42" t="s">
        <v>155</v>
      </c>
      <c r="N6" s="32" t="s">
        <v>158</v>
      </c>
      <c r="O6" s="40" t="s">
        <v>106</v>
      </c>
      <c r="P6" s="40" t="s">
        <v>107</v>
      </c>
      <c r="Q6" s="40" t="s">
        <v>108</v>
      </c>
      <c r="R6" s="41" t="s">
        <v>109</v>
      </c>
      <c r="S6" s="43" t="s">
        <v>112</v>
      </c>
      <c r="T6" s="41" t="s">
        <v>113</v>
      </c>
      <c r="U6" s="43" t="s">
        <v>114</v>
      </c>
      <c r="V6" s="43" t="s">
        <v>115</v>
      </c>
      <c r="W6" s="41" t="s">
        <v>116</v>
      </c>
      <c r="X6" s="38" t="s">
        <v>118</v>
      </c>
      <c r="Y6" s="38" t="s">
        <v>176</v>
      </c>
      <c r="Z6" s="32" t="s">
        <v>122</v>
      </c>
      <c r="AA6" s="38" t="s">
        <v>123</v>
      </c>
      <c r="AB6" s="38" t="s">
        <v>179</v>
      </c>
      <c r="AC6" s="38" t="s">
        <v>181</v>
      </c>
      <c r="AD6" s="45" t="s">
        <v>182</v>
      </c>
      <c r="AE6" s="45" t="s">
        <v>142</v>
      </c>
      <c r="AF6" s="41" t="s">
        <v>143</v>
      </c>
      <c r="AG6" s="41" t="s">
        <v>144</v>
      </c>
      <c r="AH6" s="41" t="s">
        <v>146</v>
      </c>
      <c r="AI6" s="41" t="s">
        <v>147</v>
      </c>
      <c r="AJ6" s="41" t="s">
        <v>150</v>
      </c>
      <c r="AK6" s="41" t="s">
        <v>151</v>
      </c>
      <c r="AL6" s="41" t="s">
        <v>68</v>
      </c>
      <c r="AM6" s="41" t="s">
        <v>152</v>
      </c>
      <c r="AN6" s="41" t="s">
        <v>154</v>
      </c>
      <c r="AO6" s="41" t="s">
        <v>156</v>
      </c>
      <c r="AP6" s="41" t="s">
        <v>157</v>
      </c>
      <c r="AQ6" s="43" t="s">
        <v>159</v>
      </c>
      <c r="AR6" s="41" t="s">
        <v>160</v>
      </c>
      <c r="AS6" s="41" t="s">
        <v>161</v>
      </c>
      <c r="AT6" s="41" t="s">
        <v>162</v>
      </c>
      <c r="AU6" s="41" t="s">
        <v>163</v>
      </c>
      <c r="AV6" s="41" t="s">
        <v>164</v>
      </c>
      <c r="AW6" s="41" t="s">
        <v>165</v>
      </c>
      <c r="AX6" s="41" t="s">
        <v>191</v>
      </c>
      <c r="AY6" s="41" t="s">
        <v>166</v>
      </c>
      <c r="AZ6" s="38" t="s">
        <v>167</v>
      </c>
      <c r="BA6" s="38" t="s">
        <v>169</v>
      </c>
      <c r="BB6" s="41" t="s">
        <v>124</v>
      </c>
      <c r="BC6" s="38" t="s">
        <v>125</v>
      </c>
      <c r="BD6" s="38" t="s">
        <v>127</v>
      </c>
      <c r="BE6" s="38" t="s">
        <v>128</v>
      </c>
      <c r="BF6" s="38" t="s">
        <v>129</v>
      </c>
      <c r="BG6" s="38" t="s">
        <v>197</v>
      </c>
      <c r="BH6" s="32" t="s">
        <v>201</v>
      </c>
      <c r="BI6" s="38" t="s">
        <v>130</v>
      </c>
      <c r="BJ6" s="38" t="s">
        <v>131</v>
      </c>
      <c r="BK6" s="42" t="s">
        <v>132</v>
      </c>
      <c r="BL6" s="38" t="s">
        <v>133</v>
      </c>
      <c r="BM6" s="38" t="s">
        <v>134</v>
      </c>
      <c r="BN6" s="38" t="s">
        <v>135</v>
      </c>
      <c r="BO6" s="32" t="s">
        <v>136</v>
      </c>
      <c r="BP6" s="32" t="s">
        <v>205</v>
      </c>
      <c r="BQ6" s="55" t="s">
        <v>206</v>
      </c>
      <c r="BR6" s="32" t="s">
        <v>170</v>
      </c>
      <c r="BS6" s="32" t="s">
        <v>171</v>
      </c>
      <c r="BT6" s="32" t="s">
        <v>172</v>
      </c>
      <c r="BU6" s="32" t="s">
        <v>173</v>
      </c>
      <c r="BV6" s="56" t="s">
        <v>174</v>
      </c>
      <c r="BW6" s="4" t="s">
        <v>175</v>
      </c>
      <c r="BX6" s="4" t="s">
        <v>177</v>
      </c>
      <c r="BY6" s="4" t="s">
        <v>180</v>
      </c>
    </row>
    <row r="7" spans="1:77" ht="153.75" customHeight="1" x14ac:dyDescent="0.2">
      <c r="A7" s="57"/>
      <c r="B7" s="47"/>
      <c r="C7" s="60" t="s">
        <v>208</v>
      </c>
      <c r="D7" s="62" t="s">
        <v>210</v>
      </c>
      <c r="E7" s="62" t="s">
        <v>184</v>
      </c>
      <c r="F7" s="62" t="s">
        <v>211</v>
      </c>
      <c r="G7" s="62" t="s">
        <v>186</v>
      </c>
      <c r="H7" s="62" t="s">
        <v>190</v>
      </c>
      <c r="I7" s="62" t="s">
        <v>186</v>
      </c>
      <c r="J7" s="62" t="s">
        <v>212</v>
      </c>
      <c r="K7" s="62" t="s">
        <v>202</v>
      </c>
      <c r="L7" s="62" t="s">
        <v>192</v>
      </c>
      <c r="M7" s="62" t="s">
        <v>202</v>
      </c>
      <c r="N7" s="51" t="s">
        <v>190</v>
      </c>
      <c r="O7" s="62" t="s">
        <v>190</v>
      </c>
      <c r="P7" s="62" t="s">
        <v>186</v>
      </c>
      <c r="Q7" s="62" t="s">
        <v>189</v>
      </c>
      <c r="R7" s="62" t="s">
        <v>190</v>
      </c>
      <c r="S7" s="62" t="s">
        <v>190</v>
      </c>
      <c r="T7" s="62" t="s">
        <v>190</v>
      </c>
      <c r="U7" s="62" t="s">
        <v>190</v>
      </c>
      <c r="V7" s="62" t="s">
        <v>190</v>
      </c>
      <c r="W7" s="62" t="s">
        <v>190</v>
      </c>
      <c r="X7" s="62" t="s">
        <v>192</v>
      </c>
      <c r="Y7" s="62" t="s">
        <v>192</v>
      </c>
      <c r="Z7" s="62" t="s">
        <v>194</v>
      </c>
      <c r="AA7" s="62" t="s">
        <v>192</v>
      </c>
      <c r="AB7" s="62" t="s">
        <v>194</v>
      </c>
      <c r="AC7" s="62" t="s">
        <v>194</v>
      </c>
      <c r="AD7" s="62" t="s">
        <v>192</v>
      </c>
      <c r="AE7" s="62" t="s">
        <v>202</v>
      </c>
      <c r="AF7" s="62" t="s">
        <v>202</v>
      </c>
      <c r="AG7" s="62" t="s">
        <v>192</v>
      </c>
      <c r="AH7" s="62" t="s">
        <v>192</v>
      </c>
      <c r="AI7" s="62" t="s">
        <v>204</v>
      </c>
      <c r="AJ7" s="62" t="s">
        <v>12</v>
      </c>
      <c r="AK7" s="62" t="s">
        <v>192</v>
      </c>
      <c r="AL7" s="62" t="s">
        <v>192</v>
      </c>
      <c r="AM7" s="62" t="s">
        <v>13</v>
      </c>
      <c r="AN7" s="62" t="s">
        <v>192</v>
      </c>
      <c r="AO7" s="62" t="s">
        <v>202</v>
      </c>
      <c r="AP7" s="62" t="s">
        <v>202</v>
      </c>
      <c r="AQ7" s="62" t="s">
        <v>192</v>
      </c>
      <c r="AR7" s="62" t="s">
        <v>202</v>
      </c>
      <c r="AS7" s="62" t="s">
        <v>202</v>
      </c>
      <c r="AT7" s="62" t="s">
        <v>202</v>
      </c>
      <c r="AU7" s="62" t="s">
        <v>192</v>
      </c>
      <c r="AV7" s="62" t="s">
        <v>192</v>
      </c>
      <c r="AW7" s="62" t="s">
        <v>192</v>
      </c>
      <c r="AX7" s="62" t="s">
        <v>202</v>
      </c>
      <c r="AY7" s="62" t="s">
        <v>190</v>
      </c>
      <c r="AZ7" s="62" t="s">
        <v>190</v>
      </c>
      <c r="BA7" s="62" t="s">
        <v>192</v>
      </c>
      <c r="BB7" s="62" t="s">
        <v>190</v>
      </c>
      <c r="BC7" s="62" t="s">
        <v>190</v>
      </c>
      <c r="BD7" s="62" t="s">
        <v>190</v>
      </c>
      <c r="BE7" s="62" t="s">
        <v>196</v>
      </c>
      <c r="BF7" s="62" t="s">
        <v>198</v>
      </c>
      <c r="BG7" s="62" t="s">
        <v>186</v>
      </c>
      <c r="BH7" s="51" t="s">
        <v>214</v>
      </c>
      <c r="BI7" s="62" t="s">
        <v>199</v>
      </c>
      <c r="BJ7" s="62" t="s">
        <v>199</v>
      </c>
      <c r="BK7" s="62" t="s">
        <v>199</v>
      </c>
      <c r="BL7" s="62" t="s">
        <v>199</v>
      </c>
      <c r="BM7" s="62" t="s">
        <v>199</v>
      </c>
      <c r="BN7" s="62" t="s">
        <v>199</v>
      </c>
      <c r="BO7" s="51" t="s">
        <v>199</v>
      </c>
      <c r="BP7" s="51" t="s">
        <v>200</v>
      </c>
      <c r="BQ7" s="51" t="s">
        <v>186</v>
      </c>
      <c r="BR7" s="51" t="s">
        <v>207</v>
      </c>
      <c r="BS7" s="51" t="s">
        <v>207</v>
      </c>
      <c r="BT7" s="51" t="s">
        <v>207</v>
      </c>
      <c r="BU7" s="51" t="s">
        <v>207</v>
      </c>
      <c r="BV7" s="66"/>
      <c r="BW7" s="59"/>
      <c r="BX7" s="59"/>
      <c r="BY7" s="59"/>
    </row>
    <row r="8" spans="1:77" ht="25.5" x14ac:dyDescent="0.2">
      <c r="A8" s="1"/>
      <c r="B8" s="61" t="s">
        <v>209</v>
      </c>
      <c r="D8" s="3"/>
      <c r="E8" s="3"/>
      <c r="F8" s="63"/>
      <c r="G8" s="63"/>
      <c r="H8" s="63"/>
      <c r="I8" s="3"/>
      <c r="J8" s="63"/>
      <c r="K8" s="3"/>
      <c r="L8" s="3"/>
      <c r="M8" s="3"/>
      <c r="N8" s="1"/>
      <c r="O8" s="63"/>
      <c r="P8" s="3"/>
      <c r="Q8" s="63"/>
      <c r="R8" s="63"/>
      <c r="S8" s="63"/>
      <c r="T8" s="63"/>
      <c r="U8" s="63"/>
      <c r="V8" s="63"/>
      <c r="W8" s="63"/>
      <c r="X8" s="63"/>
      <c r="Y8" s="3"/>
      <c r="Z8" s="3"/>
      <c r="AA8" s="63"/>
      <c r="AB8" s="3"/>
      <c r="AC8" s="3"/>
      <c r="AD8" s="3"/>
      <c r="AE8" s="3"/>
      <c r="AF8" s="3" t="str">
        <f>IF(OR(AD8="",AE8=""),"",ROUND(AD8/((AE8/100)^2),2))</f>
        <v/>
      </c>
      <c r="AG8" s="3"/>
      <c r="AH8" s="3"/>
      <c r="AI8" s="67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63"/>
      <c r="AZ8" s="63"/>
      <c r="BA8" s="3"/>
      <c r="BB8" s="63"/>
      <c r="BC8" s="63"/>
      <c r="BD8" s="63"/>
      <c r="BE8" s="63"/>
      <c r="BF8" s="63"/>
      <c r="BG8" s="63"/>
      <c r="BH8" s="3"/>
      <c r="BI8" s="63"/>
      <c r="BJ8" s="63"/>
      <c r="BK8" s="63"/>
      <c r="BL8" s="63"/>
      <c r="BM8" s="63"/>
      <c r="BN8" s="63"/>
      <c r="BO8" s="3"/>
      <c r="BP8" s="63"/>
      <c r="BQ8" s="3"/>
      <c r="BR8" s="63"/>
      <c r="BS8" s="63"/>
      <c r="BT8" s="63"/>
      <c r="BU8" s="3"/>
      <c r="BV8" s="3"/>
      <c r="BW8" s="3"/>
      <c r="BX8" s="3"/>
      <c r="BY8" s="3"/>
    </row>
    <row r="9" spans="1:77" ht="12.75" x14ac:dyDescent="0.2">
      <c r="A9" s="68" t="s">
        <v>2</v>
      </c>
      <c r="B9" s="65"/>
      <c r="C9" s="65" t="s">
        <v>221</v>
      </c>
      <c r="D9" s="63">
        <v>55</v>
      </c>
      <c r="E9" s="63"/>
      <c r="F9" s="63"/>
      <c r="G9" s="69">
        <v>46093</v>
      </c>
      <c r="H9" s="63"/>
      <c r="I9" s="69"/>
      <c r="J9" s="63"/>
      <c r="K9" s="63"/>
      <c r="L9" s="63"/>
      <c r="M9" s="63"/>
      <c r="N9" s="1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3"/>
      <c r="BV9" s="3"/>
      <c r="BW9" s="3"/>
      <c r="BX9" s="3"/>
      <c r="BY9" s="3"/>
    </row>
    <row r="10" spans="1:77" ht="12.75" x14ac:dyDescent="0.2">
      <c r="A10" s="68" t="s">
        <v>2</v>
      </c>
      <c r="B10" s="65"/>
      <c r="C10" s="70" t="s">
        <v>228</v>
      </c>
      <c r="D10" s="3">
        <v>1</v>
      </c>
      <c r="E10" s="3">
        <v>2</v>
      </c>
      <c r="F10" s="3">
        <v>3</v>
      </c>
      <c r="G10" s="71">
        <v>46023</v>
      </c>
      <c r="H10" s="3"/>
      <c r="I10" s="71"/>
      <c r="J10" s="3"/>
      <c r="K10" s="3"/>
      <c r="L10" s="3"/>
      <c r="M10" s="3"/>
      <c r="N10" s="1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63"/>
      <c r="BS10" s="63"/>
      <c r="BT10" s="63"/>
      <c r="BU10" s="3"/>
      <c r="BV10" s="3"/>
      <c r="BW10" s="3"/>
      <c r="BX10" s="3"/>
      <c r="BY10" s="3"/>
    </row>
    <row r="11" spans="1:77" ht="12.75" x14ac:dyDescent="0.2">
      <c r="A11" s="68" t="s">
        <v>2</v>
      </c>
      <c r="B11" s="65"/>
      <c r="C11" s="70"/>
      <c r="D11" s="3"/>
      <c r="E11" s="3"/>
      <c r="F11" s="3"/>
      <c r="G11" s="3"/>
      <c r="H11" s="3"/>
      <c r="I11" s="3"/>
      <c r="J11" s="3"/>
      <c r="K11" s="3"/>
      <c r="L11" s="3"/>
      <c r="M11" s="3"/>
      <c r="N11" s="1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 t="str">
        <f t="shared" ref="AF11:AF265" si="0">IF(OR(AD11="",AE11=""),"",ROUND(AD11/((AE11/100)^2),2))</f>
        <v/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63"/>
      <c r="BS11" s="63"/>
      <c r="BT11" s="63"/>
      <c r="BU11" s="3"/>
      <c r="BV11" s="3"/>
      <c r="BW11" s="3"/>
      <c r="BX11" s="3"/>
      <c r="BY11" s="3"/>
    </row>
    <row r="12" spans="1:77" ht="12.75" x14ac:dyDescent="0.2">
      <c r="A12" s="68" t="s">
        <v>2</v>
      </c>
      <c r="B12" s="65"/>
      <c r="C12" s="70"/>
      <c r="D12" s="3"/>
      <c r="E12" s="3"/>
      <c r="F12" s="3"/>
      <c r="G12" s="3"/>
      <c r="H12" s="3"/>
      <c r="I12" s="3"/>
      <c r="J12" s="3"/>
      <c r="K12" s="3"/>
      <c r="L12" s="3"/>
      <c r="M12" s="3"/>
      <c r="N12" s="1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 t="str">
        <f t="shared" si="0"/>
        <v/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63"/>
      <c r="BS12" s="63"/>
      <c r="BT12" s="63"/>
      <c r="BU12" s="3"/>
      <c r="BV12" s="3"/>
      <c r="BW12" s="3"/>
      <c r="BX12" s="3"/>
      <c r="BY12" s="3"/>
    </row>
    <row r="13" spans="1:77" ht="12.75" x14ac:dyDescent="0.2">
      <c r="A13" s="68" t="s">
        <v>2</v>
      </c>
      <c r="B13" s="65"/>
      <c r="C13" s="70"/>
      <c r="D13" s="3"/>
      <c r="E13" s="3"/>
      <c r="F13" s="3"/>
      <c r="G13" s="3"/>
      <c r="H13" s="3"/>
      <c r="I13" s="3"/>
      <c r="J13" s="3"/>
      <c r="K13" s="3"/>
      <c r="L13" s="3"/>
      <c r="M13" s="3"/>
      <c r="N13" s="1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 t="str">
        <f t="shared" si="0"/>
        <v/>
      </c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63"/>
      <c r="BS13" s="63"/>
      <c r="BT13" s="63"/>
      <c r="BU13" s="3"/>
      <c r="BV13" s="3"/>
      <c r="BW13" s="3"/>
      <c r="BX13" s="3"/>
      <c r="BY13" s="3"/>
    </row>
    <row r="14" spans="1:77" ht="12.75" x14ac:dyDescent="0.2">
      <c r="A14" s="68" t="s">
        <v>2</v>
      </c>
      <c r="B14" s="65"/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  <c r="N14" s="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 t="str">
        <f t="shared" si="0"/>
        <v/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63"/>
      <c r="BS14" s="63"/>
      <c r="BT14" s="63"/>
      <c r="BU14" s="3"/>
      <c r="BV14" s="3"/>
      <c r="BW14" s="3"/>
      <c r="BX14" s="3"/>
      <c r="BY14" s="3"/>
    </row>
    <row r="15" spans="1:77" ht="12.75" x14ac:dyDescent="0.2">
      <c r="A15" s="68" t="s">
        <v>2</v>
      </c>
      <c r="B15" s="65"/>
      <c r="C15" s="70"/>
      <c r="D15" s="3"/>
      <c r="E15" s="3"/>
      <c r="F15" s="3"/>
      <c r="G15" s="3"/>
      <c r="H15" s="3"/>
      <c r="I15" s="3"/>
      <c r="J15" s="3"/>
      <c r="K15" s="3"/>
      <c r="L15" s="3"/>
      <c r="M15" s="3"/>
      <c r="N15" s="1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 t="str">
        <f t="shared" si="0"/>
        <v/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63"/>
      <c r="BS15" s="63"/>
      <c r="BT15" s="63"/>
      <c r="BU15" s="3"/>
      <c r="BV15" s="3"/>
      <c r="BW15" s="3"/>
      <c r="BX15" s="3"/>
      <c r="BY15" s="3"/>
    </row>
    <row r="16" spans="1:77" ht="12.75" x14ac:dyDescent="0.2">
      <c r="A16" s="68" t="s">
        <v>2</v>
      </c>
      <c r="B16" s="65"/>
      <c r="C16" s="70"/>
      <c r="D16" s="3"/>
      <c r="E16" s="3"/>
      <c r="F16" s="3"/>
      <c r="G16" s="3"/>
      <c r="H16" s="3"/>
      <c r="I16" s="3"/>
      <c r="J16" s="3"/>
      <c r="K16" s="3"/>
      <c r="L16" s="3"/>
      <c r="M16" s="3"/>
      <c r="N16" s="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 t="str">
        <f t="shared" si="0"/>
        <v/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63"/>
      <c r="BS16" s="63"/>
      <c r="BT16" s="63"/>
      <c r="BU16" s="3"/>
      <c r="BV16" s="3"/>
      <c r="BW16" s="3"/>
      <c r="BX16" s="3"/>
      <c r="BY16" s="3"/>
    </row>
    <row r="17" spans="1:77" ht="12.75" x14ac:dyDescent="0.2">
      <c r="A17" s="68" t="s">
        <v>2</v>
      </c>
      <c r="B17" s="65"/>
      <c r="C17" s="70"/>
      <c r="D17" s="3"/>
      <c r="E17" s="3"/>
      <c r="F17" s="3"/>
      <c r="G17" s="3"/>
      <c r="H17" s="3"/>
      <c r="I17" s="3"/>
      <c r="J17" s="3"/>
      <c r="K17" s="3"/>
      <c r="L17" s="3"/>
      <c r="M17" s="3"/>
      <c r="N17" s="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 t="str">
        <f t="shared" si="0"/>
        <v/>
      </c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63"/>
      <c r="BS17" s="63"/>
      <c r="BT17" s="63"/>
      <c r="BU17" s="3"/>
      <c r="BV17" s="3"/>
      <c r="BW17" s="3"/>
      <c r="BX17" s="3"/>
      <c r="BY17" s="3"/>
    </row>
    <row r="18" spans="1:77" ht="12.75" x14ac:dyDescent="0.2">
      <c r="A18" s="68" t="s">
        <v>2</v>
      </c>
      <c r="B18" s="65"/>
      <c r="C18" s="70"/>
      <c r="D18" s="3"/>
      <c r="E18" s="3"/>
      <c r="F18" s="3"/>
      <c r="G18" s="3"/>
      <c r="H18" s="3"/>
      <c r="I18" s="3"/>
      <c r="J18" s="3"/>
      <c r="K18" s="3"/>
      <c r="L18" s="3"/>
      <c r="M18" s="3"/>
      <c r="N18" s="1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 t="str">
        <f t="shared" si="0"/>
        <v/>
      </c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63"/>
      <c r="BS18" s="63"/>
      <c r="BT18" s="63"/>
      <c r="BU18" s="3"/>
      <c r="BV18" s="3"/>
      <c r="BW18" s="3"/>
      <c r="BX18" s="3"/>
      <c r="BY18" s="3"/>
    </row>
    <row r="19" spans="1:77" ht="12.75" x14ac:dyDescent="0.2">
      <c r="A19" s="68" t="s">
        <v>2</v>
      </c>
      <c r="B19" s="65"/>
      <c r="C19" s="70"/>
      <c r="D19" s="3"/>
      <c r="E19" s="3"/>
      <c r="F19" s="3"/>
      <c r="G19" s="3"/>
      <c r="H19" s="3"/>
      <c r="I19" s="3"/>
      <c r="J19" s="3"/>
      <c r="K19" s="3"/>
      <c r="L19" s="3"/>
      <c r="M19" s="3"/>
      <c r="N19" s="1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 t="str">
        <f t="shared" si="0"/>
        <v/>
      </c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63"/>
      <c r="BS19" s="63"/>
      <c r="BT19" s="63"/>
      <c r="BU19" s="3"/>
      <c r="BV19" s="3"/>
      <c r="BW19" s="3"/>
      <c r="BX19" s="3"/>
      <c r="BY19" s="3"/>
    </row>
    <row r="20" spans="1:77" ht="12.75" x14ac:dyDescent="0.2">
      <c r="A20" s="68" t="s">
        <v>2</v>
      </c>
      <c r="B20" s="65"/>
      <c r="C20" s="70"/>
      <c r="D20" s="3"/>
      <c r="E20" s="3"/>
      <c r="F20" s="3"/>
      <c r="G20" s="3"/>
      <c r="H20" s="3"/>
      <c r="I20" s="3"/>
      <c r="J20" s="3"/>
      <c r="K20" s="3"/>
      <c r="L20" s="3"/>
      <c r="M20" s="3"/>
      <c r="N20" s="1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 t="str">
        <f t="shared" si="0"/>
        <v/>
      </c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63"/>
      <c r="BS20" s="63"/>
      <c r="BT20" s="63"/>
      <c r="BU20" s="3"/>
      <c r="BV20" s="3"/>
      <c r="BW20" s="3"/>
      <c r="BX20" s="3"/>
      <c r="BY20" s="3"/>
    </row>
    <row r="21" spans="1:77" ht="12.75" x14ac:dyDescent="0.2">
      <c r="A21" s="68" t="s">
        <v>2</v>
      </c>
      <c r="B21" s="65"/>
      <c r="C21" s="70"/>
      <c r="D21" s="3"/>
      <c r="E21" s="3"/>
      <c r="F21" s="3"/>
      <c r="G21" s="3"/>
      <c r="H21" s="3"/>
      <c r="I21" s="3"/>
      <c r="J21" s="3"/>
      <c r="K21" s="3"/>
      <c r="L21" s="3"/>
      <c r="M21" s="3"/>
      <c r="N21" s="1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 t="str">
        <f t="shared" si="0"/>
        <v/>
      </c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63"/>
      <c r="BS21" s="63"/>
      <c r="BT21" s="63"/>
      <c r="BU21" s="3"/>
      <c r="BV21" s="3"/>
      <c r="BW21" s="3"/>
      <c r="BX21" s="3"/>
      <c r="BY21" s="3"/>
    </row>
    <row r="22" spans="1:77" ht="12.75" x14ac:dyDescent="0.2">
      <c r="A22" s="68" t="s">
        <v>2</v>
      </c>
      <c r="B22" s="65"/>
      <c r="C22" s="70"/>
      <c r="D22" s="3"/>
      <c r="E22" s="3"/>
      <c r="F22" s="3"/>
      <c r="G22" s="3"/>
      <c r="H22" s="3"/>
      <c r="I22" s="3"/>
      <c r="J22" s="3"/>
      <c r="K22" s="3"/>
      <c r="L22" s="3"/>
      <c r="M22" s="3"/>
      <c r="N22" s="1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 t="str">
        <f t="shared" si="0"/>
        <v/>
      </c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63"/>
      <c r="BS22" s="63"/>
      <c r="BT22" s="63"/>
      <c r="BU22" s="3"/>
      <c r="BV22" s="3"/>
      <c r="BW22" s="3"/>
      <c r="BX22" s="3"/>
      <c r="BY22" s="3"/>
    </row>
    <row r="23" spans="1:77" ht="12.75" x14ac:dyDescent="0.2">
      <c r="A23" s="68" t="s">
        <v>2</v>
      </c>
      <c r="B23" s="65"/>
      <c r="C23" s="70"/>
      <c r="D23" s="3"/>
      <c r="E23" s="3"/>
      <c r="F23" s="3"/>
      <c r="G23" s="3"/>
      <c r="H23" s="3"/>
      <c r="I23" s="3"/>
      <c r="J23" s="3"/>
      <c r="K23" s="3"/>
      <c r="L23" s="3"/>
      <c r="M23" s="3"/>
      <c r="N23" s="1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 t="str">
        <f t="shared" si="0"/>
        <v/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63"/>
      <c r="BS23" s="63"/>
      <c r="BT23" s="63"/>
      <c r="BU23" s="3"/>
      <c r="BV23" s="3"/>
      <c r="BW23" s="3"/>
      <c r="BX23" s="3"/>
      <c r="BY23" s="3"/>
    </row>
    <row r="24" spans="1:77" ht="12.75" x14ac:dyDescent="0.2">
      <c r="A24" s="68" t="s">
        <v>2</v>
      </c>
      <c r="B24" s="65"/>
      <c r="C24" s="70"/>
      <c r="D24" s="3"/>
      <c r="E24" s="3"/>
      <c r="F24" s="3"/>
      <c r="G24" s="3"/>
      <c r="H24" s="3"/>
      <c r="I24" s="3"/>
      <c r="J24" s="3"/>
      <c r="K24" s="3"/>
      <c r="L24" s="3"/>
      <c r="M24" s="3"/>
      <c r="N24" s="1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 t="str">
        <f t="shared" si="0"/>
        <v/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63"/>
      <c r="BS24" s="63"/>
      <c r="BT24" s="63"/>
      <c r="BU24" s="3"/>
      <c r="BV24" s="3"/>
      <c r="BW24" s="3"/>
      <c r="BX24" s="3"/>
      <c r="BY24" s="3"/>
    </row>
    <row r="25" spans="1:77" ht="12.75" x14ac:dyDescent="0.2">
      <c r="A25" s="68" t="s">
        <v>2</v>
      </c>
      <c r="B25" s="65"/>
      <c r="C25" s="70"/>
      <c r="D25" s="3"/>
      <c r="E25" s="3"/>
      <c r="F25" s="3"/>
      <c r="G25" s="3"/>
      <c r="H25" s="3"/>
      <c r="I25" s="3"/>
      <c r="J25" s="3"/>
      <c r="K25" s="3"/>
      <c r="L25" s="3"/>
      <c r="M25" s="3"/>
      <c r="N25" s="1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 t="str">
        <f t="shared" si="0"/>
        <v/>
      </c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63"/>
      <c r="BS25" s="63"/>
      <c r="BT25" s="63"/>
      <c r="BU25" s="3"/>
      <c r="BV25" s="3"/>
      <c r="BW25" s="3"/>
      <c r="BX25" s="3"/>
      <c r="BY25" s="3"/>
    </row>
    <row r="26" spans="1:77" ht="12.75" x14ac:dyDescent="0.2">
      <c r="A26" s="68" t="s">
        <v>2</v>
      </c>
      <c r="B26" s="65"/>
      <c r="C26" s="65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1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 t="str">
        <f t="shared" si="0"/>
        <v/>
      </c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3"/>
      <c r="BV26" s="3"/>
      <c r="BW26" s="3"/>
      <c r="BX26" s="3"/>
      <c r="BY26" s="3"/>
    </row>
    <row r="27" spans="1:77" ht="12.75" x14ac:dyDescent="0.2">
      <c r="A27" s="68" t="s">
        <v>2</v>
      </c>
      <c r="B27" s="65"/>
      <c r="C27" s="65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1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 t="str">
        <f t="shared" si="0"/>
        <v/>
      </c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3"/>
      <c r="BV27" s="3"/>
      <c r="BW27" s="3"/>
      <c r="BX27" s="3"/>
      <c r="BY27" s="3"/>
    </row>
    <row r="28" spans="1:77" ht="12.75" x14ac:dyDescent="0.2">
      <c r="A28" s="68" t="s">
        <v>2</v>
      </c>
      <c r="B28" s="65"/>
      <c r="C28" s="65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1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 t="str">
        <f t="shared" si="0"/>
        <v/>
      </c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3"/>
      <c r="BV28" s="3"/>
      <c r="BW28" s="3"/>
      <c r="BX28" s="3"/>
      <c r="BY28" s="3"/>
    </row>
    <row r="29" spans="1:77" ht="12.75" x14ac:dyDescent="0.2">
      <c r="A29" s="68" t="s">
        <v>2</v>
      </c>
      <c r="B29" s="65"/>
      <c r="C29" s="65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1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 t="str">
        <f t="shared" si="0"/>
        <v/>
      </c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3"/>
      <c r="BV29" s="3"/>
      <c r="BW29" s="3"/>
      <c r="BX29" s="3"/>
      <c r="BY29" s="3"/>
    </row>
    <row r="30" spans="1:77" ht="12.75" x14ac:dyDescent="0.2">
      <c r="A30" s="68" t="s">
        <v>2</v>
      </c>
      <c r="B30" s="65"/>
      <c r="C30" s="65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1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 t="str">
        <f t="shared" si="0"/>
        <v/>
      </c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3"/>
      <c r="BV30" s="3"/>
      <c r="BW30" s="3"/>
      <c r="BX30" s="3"/>
      <c r="BY30" s="3"/>
    </row>
    <row r="31" spans="1:77" ht="12.75" x14ac:dyDescent="0.2">
      <c r="A31" s="68" t="s">
        <v>2</v>
      </c>
      <c r="B31" s="65"/>
      <c r="C31" s="65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1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 t="str">
        <f t="shared" si="0"/>
        <v/>
      </c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3"/>
      <c r="BV31" s="3"/>
      <c r="BW31" s="3"/>
      <c r="BX31" s="3"/>
      <c r="BY31" s="3"/>
    </row>
    <row r="32" spans="1:77" ht="12.75" x14ac:dyDescent="0.2">
      <c r="A32" s="68" t="s">
        <v>2</v>
      </c>
      <c r="B32" s="65"/>
      <c r="C32" s="65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1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 t="str">
        <f t="shared" si="0"/>
        <v/>
      </c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3"/>
      <c r="BV32" s="3"/>
      <c r="BW32" s="3"/>
      <c r="BX32" s="3"/>
      <c r="BY32" s="3"/>
    </row>
    <row r="33" spans="1:77" ht="12.75" x14ac:dyDescent="0.2">
      <c r="A33" s="68" t="s">
        <v>2</v>
      </c>
      <c r="B33" s="65"/>
      <c r="C33" s="65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1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 t="str">
        <f t="shared" si="0"/>
        <v/>
      </c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3"/>
      <c r="BV33" s="3"/>
      <c r="BW33" s="3"/>
      <c r="BX33" s="3"/>
      <c r="BY33" s="3"/>
    </row>
    <row r="34" spans="1:77" ht="12.75" x14ac:dyDescent="0.2">
      <c r="A34" s="68" t="s">
        <v>2</v>
      </c>
      <c r="B34" s="65"/>
      <c r="C34" s="65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1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 t="str">
        <f t="shared" si="0"/>
        <v/>
      </c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3"/>
      <c r="BV34" s="3"/>
      <c r="BW34" s="3"/>
      <c r="BX34" s="3"/>
      <c r="BY34" s="3"/>
    </row>
    <row r="35" spans="1:77" ht="12.75" x14ac:dyDescent="0.2">
      <c r="A35" s="68" t="s">
        <v>2</v>
      </c>
      <c r="B35" s="65"/>
      <c r="C35" s="65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1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 t="str">
        <f t="shared" si="0"/>
        <v/>
      </c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3"/>
      <c r="BV35" s="3"/>
      <c r="BW35" s="3"/>
      <c r="BX35" s="3"/>
      <c r="BY35" s="3"/>
    </row>
    <row r="36" spans="1:77" ht="12.75" x14ac:dyDescent="0.2">
      <c r="A36" s="68" t="s">
        <v>2</v>
      </c>
      <c r="B36" s="65"/>
      <c r="C36" s="65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1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 t="str">
        <f t="shared" si="0"/>
        <v/>
      </c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3"/>
      <c r="BV36" s="3"/>
      <c r="BW36" s="3"/>
      <c r="BX36" s="3"/>
      <c r="BY36" s="3"/>
    </row>
    <row r="37" spans="1:77" ht="12.75" x14ac:dyDescent="0.2">
      <c r="A37" s="68" t="s">
        <v>2</v>
      </c>
      <c r="B37" s="65"/>
      <c r="C37" s="65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1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 t="str">
        <f t="shared" si="0"/>
        <v/>
      </c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3"/>
      <c r="BV37" s="3"/>
      <c r="BW37" s="3"/>
      <c r="BX37" s="3"/>
      <c r="BY37" s="3"/>
    </row>
    <row r="38" spans="1:77" ht="12.75" x14ac:dyDescent="0.2">
      <c r="A38" s="68" t="s">
        <v>2</v>
      </c>
      <c r="B38" s="65"/>
      <c r="C38" s="65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1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 t="str">
        <f t="shared" si="0"/>
        <v/>
      </c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3"/>
      <c r="BV38" s="3"/>
      <c r="BW38" s="3"/>
      <c r="BX38" s="3"/>
      <c r="BY38" s="3"/>
    </row>
    <row r="39" spans="1:77" ht="12.75" x14ac:dyDescent="0.2">
      <c r="A39" s="68" t="s">
        <v>2</v>
      </c>
      <c r="B39" s="65"/>
      <c r="C39" s="65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1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 t="str">
        <f t="shared" si="0"/>
        <v/>
      </c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3"/>
      <c r="BV39" s="3"/>
      <c r="BW39" s="3"/>
      <c r="BX39" s="3"/>
      <c r="BY39" s="3"/>
    </row>
    <row r="40" spans="1:77" ht="12.75" x14ac:dyDescent="0.2">
      <c r="A40" s="68" t="s">
        <v>2</v>
      </c>
      <c r="B40" s="65"/>
      <c r="C40" s="65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1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 t="str">
        <f t="shared" si="0"/>
        <v/>
      </c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3"/>
      <c r="BV40" s="3"/>
      <c r="BW40" s="3"/>
      <c r="BX40" s="3"/>
      <c r="BY40" s="3"/>
    </row>
    <row r="41" spans="1:77" ht="12.75" x14ac:dyDescent="0.2">
      <c r="A41" s="68" t="s">
        <v>2</v>
      </c>
      <c r="B41" s="65"/>
      <c r="C41" s="65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1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 t="str">
        <f t="shared" si="0"/>
        <v/>
      </c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3"/>
      <c r="BV41" s="3"/>
      <c r="BW41" s="3"/>
      <c r="BX41" s="3"/>
      <c r="BY41" s="3"/>
    </row>
    <row r="42" spans="1:77" ht="12.75" x14ac:dyDescent="0.2">
      <c r="A42" s="68" t="s">
        <v>2</v>
      </c>
      <c r="B42" s="65"/>
      <c r="C42" s="65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1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 t="str">
        <f t="shared" si="0"/>
        <v/>
      </c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3"/>
      <c r="BV42" s="3"/>
      <c r="BW42" s="3"/>
      <c r="BX42" s="3"/>
      <c r="BY42" s="3"/>
    </row>
    <row r="43" spans="1:77" ht="12.75" x14ac:dyDescent="0.2">
      <c r="A43" s="68" t="s">
        <v>2</v>
      </c>
      <c r="B43" s="65"/>
      <c r="C43" s="65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1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 t="str">
        <f t="shared" si="0"/>
        <v/>
      </c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3"/>
      <c r="BV43" s="3"/>
      <c r="BW43" s="3"/>
      <c r="BX43" s="3"/>
      <c r="BY43" s="3"/>
    </row>
    <row r="44" spans="1:77" ht="12.75" x14ac:dyDescent="0.2">
      <c r="A44" s="68" t="s">
        <v>2</v>
      </c>
      <c r="B44" s="65"/>
      <c r="C44" s="65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1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 t="str">
        <f t="shared" si="0"/>
        <v/>
      </c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3"/>
      <c r="BV44" s="3"/>
      <c r="BW44" s="3"/>
      <c r="BX44" s="3"/>
      <c r="BY44" s="3"/>
    </row>
    <row r="45" spans="1:77" ht="12.75" x14ac:dyDescent="0.2">
      <c r="A45" s="68" t="s">
        <v>2</v>
      </c>
      <c r="B45" s="65"/>
      <c r="C45" s="65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1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 t="str">
        <f t="shared" si="0"/>
        <v/>
      </c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3"/>
      <c r="BV45" s="3"/>
      <c r="BW45" s="3"/>
      <c r="BX45" s="3"/>
      <c r="BY45" s="3"/>
    </row>
    <row r="46" spans="1:77" ht="12.75" x14ac:dyDescent="0.2">
      <c r="A46" s="68" t="s">
        <v>2</v>
      </c>
      <c r="B46" s="65"/>
      <c r="C46" s="65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1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 t="str">
        <f t="shared" si="0"/>
        <v/>
      </c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3"/>
      <c r="BV46" s="3"/>
      <c r="BW46" s="3"/>
      <c r="BX46" s="3"/>
      <c r="BY46" s="3"/>
    </row>
    <row r="47" spans="1:77" ht="12.75" x14ac:dyDescent="0.2">
      <c r="A47" s="68" t="s">
        <v>2</v>
      </c>
      <c r="B47" s="65"/>
      <c r="C47" s="65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1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 t="str">
        <f t="shared" si="0"/>
        <v/>
      </c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3"/>
      <c r="BV47" s="3"/>
      <c r="BW47" s="3"/>
      <c r="BX47" s="3"/>
      <c r="BY47" s="3"/>
    </row>
    <row r="48" spans="1:77" ht="12.75" x14ac:dyDescent="0.2">
      <c r="A48" s="68" t="s">
        <v>2</v>
      </c>
      <c r="B48" s="65"/>
      <c r="C48" s="65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1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 t="str">
        <f t="shared" si="0"/>
        <v/>
      </c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3"/>
      <c r="BV48" s="3"/>
      <c r="BW48" s="3"/>
      <c r="BX48" s="3"/>
      <c r="BY48" s="3"/>
    </row>
    <row r="49" spans="1:77" ht="12.75" x14ac:dyDescent="0.2">
      <c r="A49" s="68" t="s">
        <v>2</v>
      </c>
      <c r="B49" s="65"/>
      <c r="C49" s="65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1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 t="str">
        <f t="shared" si="0"/>
        <v/>
      </c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3"/>
      <c r="BV49" s="3"/>
      <c r="BW49" s="3"/>
      <c r="BX49" s="3"/>
      <c r="BY49" s="3"/>
    </row>
    <row r="50" spans="1:77" ht="12.75" x14ac:dyDescent="0.2">
      <c r="A50" s="68" t="s">
        <v>2</v>
      </c>
      <c r="B50" s="65"/>
      <c r="C50" s="65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1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 t="str">
        <f t="shared" si="0"/>
        <v/>
      </c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  <c r="BT50" s="63"/>
      <c r="BU50" s="3"/>
      <c r="BV50" s="3"/>
      <c r="BW50" s="3"/>
      <c r="BX50" s="3"/>
      <c r="BY50" s="3"/>
    </row>
    <row r="51" spans="1:77" ht="12.75" x14ac:dyDescent="0.2">
      <c r="A51" s="68" t="s">
        <v>2</v>
      </c>
      <c r="B51" s="65"/>
      <c r="C51" s="65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1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 t="str">
        <f t="shared" si="0"/>
        <v/>
      </c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3"/>
      <c r="BV51" s="3"/>
      <c r="BW51" s="3"/>
      <c r="BX51" s="3"/>
      <c r="BY51" s="3"/>
    </row>
    <row r="52" spans="1:77" ht="12.75" x14ac:dyDescent="0.2">
      <c r="A52" s="68" t="s">
        <v>2</v>
      </c>
      <c r="B52" s="65"/>
      <c r="C52" s="65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1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 t="str">
        <f t="shared" si="0"/>
        <v/>
      </c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3"/>
      <c r="BV52" s="3"/>
      <c r="BW52" s="3"/>
      <c r="BX52" s="3"/>
      <c r="BY52" s="3"/>
    </row>
    <row r="53" spans="1:77" ht="12.75" x14ac:dyDescent="0.2">
      <c r="A53" s="68" t="s">
        <v>2</v>
      </c>
      <c r="B53" s="65"/>
      <c r="C53" s="65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1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 t="str">
        <f t="shared" si="0"/>
        <v/>
      </c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3"/>
      <c r="BV53" s="3"/>
      <c r="BW53" s="3"/>
      <c r="BX53" s="3"/>
      <c r="BY53" s="3"/>
    </row>
    <row r="54" spans="1:77" ht="12.75" x14ac:dyDescent="0.2">
      <c r="A54" s="68" t="s">
        <v>2</v>
      </c>
      <c r="B54" s="65"/>
      <c r="C54" s="65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1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 t="str">
        <f t="shared" si="0"/>
        <v/>
      </c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3"/>
      <c r="BV54" s="3"/>
      <c r="BW54" s="3"/>
      <c r="BX54" s="3"/>
      <c r="BY54" s="3"/>
    </row>
    <row r="55" spans="1:77" ht="12.75" x14ac:dyDescent="0.2">
      <c r="A55" s="68" t="s">
        <v>2</v>
      </c>
      <c r="B55" s="65"/>
      <c r="C55" s="65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1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 t="str">
        <f t="shared" si="0"/>
        <v/>
      </c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3"/>
      <c r="BV55" s="3"/>
      <c r="BW55" s="3"/>
      <c r="BX55" s="3"/>
      <c r="BY55" s="3"/>
    </row>
    <row r="56" spans="1:77" ht="12.75" x14ac:dyDescent="0.2">
      <c r="A56" s="68" t="s">
        <v>2</v>
      </c>
      <c r="B56" s="65"/>
      <c r="C56" s="65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1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 t="str">
        <f t="shared" si="0"/>
        <v/>
      </c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3"/>
      <c r="BV56" s="3"/>
      <c r="BW56" s="3"/>
      <c r="BX56" s="3"/>
      <c r="BY56" s="3"/>
    </row>
    <row r="57" spans="1:77" ht="12.75" x14ac:dyDescent="0.2">
      <c r="A57" s="68" t="s">
        <v>2</v>
      </c>
      <c r="B57" s="65"/>
      <c r="C57" s="65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1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 t="str">
        <f t="shared" si="0"/>
        <v/>
      </c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3"/>
      <c r="BV57" s="3"/>
      <c r="BW57" s="3"/>
      <c r="BX57" s="3"/>
      <c r="BY57" s="3"/>
    </row>
    <row r="58" spans="1:77" ht="12.75" x14ac:dyDescent="0.2">
      <c r="A58" s="68" t="s">
        <v>2</v>
      </c>
      <c r="B58" s="65"/>
      <c r="C58" s="65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1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 t="str">
        <f t="shared" si="0"/>
        <v/>
      </c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3"/>
      <c r="BV58" s="3"/>
      <c r="BW58" s="3"/>
      <c r="BX58" s="3"/>
      <c r="BY58" s="3"/>
    </row>
    <row r="59" spans="1:77" ht="12.75" x14ac:dyDescent="0.2">
      <c r="A59" s="68" t="s">
        <v>2</v>
      </c>
      <c r="B59" s="65"/>
      <c r="C59" s="65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1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 t="str">
        <f t="shared" si="0"/>
        <v/>
      </c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3"/>
      <c r="BV59" s="3"/>
      <c r="BW59" s="3"/>
      <c r="BX59" s="3"/>
      <c r="BY59" s="3"/>
    </row>
    <row r="60" spans="1:77" ht="12.75" x14ac:dyDescent="0.2">
      <c r="A60" s="68" t="s">
        <v>2</v>
      </c>
      <c r="B60" s="65"/>
      <c r="C60" s="65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1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 t="str">
        <f t="shared" si="0"/>
        <v/>
      </c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3"/>
      <c r="BV60" s="3"/>
      <c r="BW60" s="3"/>
      <c r="BX60" s="3"/>
      <c r="BY60" s="3"/>
    </row>
    <row r="61" spans="1:77" ht="12.75" x14ac:dyDescent="0.2">
      <c r="A61" s="68" t="s">
        <v>2</v>
      </c>
      <c r="B61" s="65"/>
      <c r="C61" s="65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1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 t="str">
        <f t="shared" si="0"/>
        <v/>
      </c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3"/>
      <c r="BV61" s="3"/>
      <c r="BW61" s="3"/>
      <c r="BX61" s="3"/>
      <c r="BY61" s="3"/>
    </row>
    <row r="62" spans="1:77" ht="12.75" x14ac:dyDescent="0.2">
      <c r="A62" s="68" t="s">
        <v>2</v>
      </c>
      <c r="B62" s="65"/>
      <c r="C62" s="65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1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 t="str">
        <f t="shared" si="0"/>
        <v/>
      </c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3"/>
      <c r="BV62" s="3"/>
      <c r="BW62" s="3"/>
      <c r="BX62" s="3"/>
      <c r="BY62" s="3"/>
    </row>
    <row r="63" spans="1:77" ht="12.75" x14ac:dyDescent="0.2">
      <c r="A63" s="68" t="s">
        <v>2</v>
      </c>
      <c r="B63" s="65"/>
      <c r="C63" s="65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1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 t="str">
        <f t="shared" si="0"/>
        <v/>
      </c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3"/>
      <c r="BV63" s="3"/>
      <c r="BW63" s="3"/>
      <c r="BX63" s="3"/>
      <c r="BY63" s="3"/>
    </row>
    <row r="64" spans="1:77" ht="12.75" x14ac:dyDescent="0.2">
      <c r="A64" s="68" t="s">
        <v>2</v>
      </c>
      <c r="B64" s="65"/>
      <c r="C64" s="65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1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 t="str">
        <f t="shared" si="0"/>
        <v/>
      </c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3"/>
      <c r="BV64" s="3"/>
      <c r="BW64" s="3"/>
      <c r="BX64" s="3"/>
      <c r="BY64" s="3"/>
    </row>
    <row r="65" spans="1:77" ht="12.75" x14ac:dyDescent="0.2">
      <c r="A65" s="68" t="s">
        <v>2</v>
      </c>
      <c r="B65" s="65"/>
      <c r="C65" s="65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1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 t="str">
        <f t="shared" si="0"/>
        <v/>
      </c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3"/>
      <c r="BV65" s="3"/>
      <c r="BW65" s="3"/>
      <c r="BX65" s="3"/>
      <c r="BY65" s="3"/>
    </row>
    <row r="66" spans="1:77" ht="12.75" x14ac:dyDescent="0.2">
      <c r="A66" s="68" t="s">
        <v>2</v>
      </c>
      <c r="B66" s="65"/>
      <c r="C66" s="65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1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 t="str">
        <f t="shared" si="0"/>
        <v/>
      </c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3"/>
      <c r="BV66" s="3"/>
      <c r="BW66" s="3"/>
      <c r="BX66" s="3"/>
      <c r="BY66" s="3"/>
    </row>
    <row r="67" spans="1:77" ht="12.75" x14ac:dyDescent="0.2">
      <c r="A67" s="68" t="s">
        <v>2</v>
      </c>
      <c r="B67" s="65"/>
      <c r="C67" s="65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1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 t="str">
        <f t="shared" si="0"/>
        <v/>
      </c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3"/>
      <c r="BV67" s="3"/>
      <c r="BW67" s="3"/>
      <c r="BX67" s="3"/>
      <c r="BY67" s="3"/>
    </row>
    <row r="68" spans="1:77" ht="12.75" x14ac:dyDescent="0.2">
      <c r="A68" s="68" t="s">
        <v>2</v>
      </c>
      <c r="B68" s="65"/>
      <c r="C68" s="65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1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 t="str">
        <f t="shared" si="0"/>
        <v/>
      </c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3"/>
      <c r="BV68" s="3"/>
      <c r="BW68" s="3"/>
      <c r="BX68" s="3"/>
      <c r="BY68" s="3"/>
    </row>
    <row r="69" spans="1:77" ht="12.75" x14ac:dyDescent="0.2">
      <c r="A69" s="68" t="s">
        <v>2</v>
      </c>
      <c r="B69" s="65"/>
      <c r="C69" s="65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4"/>
      <c r="O69" s="82"/>
      <c r="P69" s="82"/>
      <c r="Q69" s="82"/>
      <c r="R69" s="63"/>
      <c r="S69" s="63"/>
      <c r="T69" s="63"/>
      <c r="U69" s="63"/>
      <c r="V69" s="63"/>
      <c r="W69" s="63"/>
      <c r="X69" s="63"/>
      <c r="Y69" s="82"/>
      <c r="Z69" s="82"/>
      <c r="AA69" s="82"/>
      <c r="AB69" s="82"/>
      <c r="AC69" s="82"/>
      <c r="AD69" s="82"/>
      <c r="AE69" s="82"/>
      <c r="AF69" s="63" t="str">
        <f t="shared" si="0"/>
        <v/>
      </c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63"/>
      <c r="BR69" s="82"/>
      <c r="BS69" s="82"/>
      <c r="BT69" s="82"/>
      <c r="BU69" s="4"/>
    </row>
    <row r="70" spans="1:77" ht="12.75" x14ac:dyDescent="0.2">
      <c r="A70" s="68" t="s">
        <v>2</v>
      </c>
      <c r="B70" s="65"/>
      <c r="C70" s="65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4"/>
      <c r="O70" s="82"/>
      <c r="P70" s="82"/>
      <c r="Q70" s="82"/>
      <c r="R70" s="63"/>
      <c r="S70" s="63"/>
      <c r="T70" s="63"/>
      <c r="U70" s="63"/>
      <c r="V70" s="63"/>
      <c r="W70" s="63"/>
      <c r="X70" s="63"/>
      <c r="Y70" s="82"/>
      <c r="Z70" s="82"/>
      <c r="AA70" s="82"/>
      <c r="AB70" s="82"/>
      <c r="AC70" s="82"/>
      <c r="AD70" s="82"/>
      <c r="AE70" s="82"/>
      <c r="AF70" s="63" t="str">
        <f t="shared" si="0"/>
        <v/>
      </c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63"/>
      <c r="BR70" s="82"/>
      <c r="BS70" s="82"/>
      <c r="BT70" s="82"/>
      <c r="BU70" s="4"/>
    </row>
    <row r="71" spans="1:77" ht="12.75" x14ac:dyDescent="0.2">
      <c r="A71" s="68" t="s">
        <v>2</v>
      </c>
      <c r="B71" s="65"/>
      <c r="C71" s="65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4"/>
      <c r="O71" s="82"/>
      <c r="P71" s="82"/>
      <c r="Q71" s="82"/>
      <c r="R71" s="63"/>
      <c r="S71" s="63"/>
      <c r="T71" s="63"/>
      <c r="U71" s="63"/>
      <c r="V71" s="63"/>
      <c r="W71" s="63"/>
      <c r="X71" s="63"/>
      <c r="Y71" s="82"/>
      <c r="Z71" s="82"/>
      <c r="AA71" s="82"/>
      <c r="AB71" s="82"/>
      <c r="AC71" s="82"/>
      <c r="AD71" s="82"/>
      <c r="AE71" s="82"/>
      <c r="AF71" s="63" t="str">
        <f t="shared" si="0"/>
        <v/>
      </c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63"/>
      <c r="BR71" s="82"/>
      <c r="BS71" s="82"/>
      <c r="BT71" s="82"/>
      <c r="BU71" s="4"/>
    </row>
    <row r="72" spans="1:77" ht="12.75" x14ac:dyDescent="0.2">
      <c r="A72" s="68" t="s">
        <v>2</v>
      </c>
      <c r="B72" s="65"/>
      <c r="C72" s="65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4"/>
      <c r="O72" s="82"/>
      <c r="P72" s="82"/>
      <c r="Q72" s="82"/>
      <c r="R72" s="63"/>
      <c r="S72" s="63"/>
      <c r="T72" s="63"/>
      <c r="U72" s="63"/>
      <c r="V72" s="63"/>
      <c r="W72" s="63"/>
      <c r="X72" s="63"/>
      <c r="Y72" s="82"/>
      <c r="Z72" s="82"/>
      <c r="AA72" s="82"/>
      <c r="AB72" s="82"/>
      <c r="AC72" s="82"/>
      <c r="AD72" s="82"/>
      <c r="AE72" s="82"/>
      <c r="AF72" s="63" t="str">
        <f t="shared" si="0"/>
        <v/>
      </c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63"/>
      <c r="BR72" s="82"/>
      <c r="BS72" s="82"/>
      <c r="BT72" s="82"/>
      <c r="BU72" s="4"/>
    </row>
    <row r="73" spans="1:77" ht="12.75" x14ac:dyDescent="0.2">
      <c r="A73" s="68" t="s">
        <v>2</v>
      </c>
      <c r="B73" s="65"/>
      <c r="C73" s="65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4"/>
      <c r="O73" s="82"/>
      <c r="P73" s="82"/>
      <c r="Q73" s="82"/>
      <c r="R73" s="63"/>
      <c r="S73" s="63"/>
      <c r="T73" s="63"/>
      <c r="U73" s="63"/>
      <c r="V73" s="63"/>
      <c r="W73" s="63"/>
      <c r="X73" s="63"/>
      <c r="Y73" s="82"/>
      <c r="Z73" s="82"/>
      <c r="AA73" s="82"/>
      <c r="AB73" s="82"/>
      <c r="AC73" s="82"/>
      <c r="AD73" s="82"/>
      <c r="AE73" s="82"/>
      <c r="AF73" s="63" t="str">
        <f t="shared" si="0"/>
        <v/>
      </c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63"/>
      <c r="BR73" s="82"/>
      <c r="BS73" s="82"/>
      <c r="BT73" s="82"/>
      <c r="BU73" s="4"/>
    </row>
    <row r="74" spans="1:77" ht="12.75" x14ac:dyDescent="0.2">
      <c r="A74" s="68" t="s">
        <v>2</v>
      </c>
      <c r="B74" s="65"/>
      <c r="C74" s="65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4"/>
      <c r="O74" s="82"/>
      <c r="P74" s="82"/>
      <c r="Q74" s="82"/>
      <c r="R74" s="63"/>
      <c r="S74" s="63"/>
      <c r="T74" s="63"/>
      <c r="U74" s="63"/>
      <c r="V74" s="63"/>
      <c r="W74" s="63"/>
      <c r="X74" s="63"/>
      <c r="Y74" s="82"/>
      <c r="Z74" s="82"/>
      <c r="AA74" s="82"/>
      <c r="AB74" s="82"/>
      <c r="AC74" s="82"/>
      <c r="AD74" s="82"/>
      <c r="AE74" s="82"/>
      <c r="AF74" s="63" t="str">
        <f t="shared" si="0"/>
        <v/>
      </c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63"/>
      <c r="BR74" s="82"/>
      <c r="BS74" s="82"/>
      <c r="BT74" s="82"/>
      <c r="BU74" s="4"/>
    </row>
    <row r="75" spans="1:77" ht="12.75" x14ac:dyDescent="0.2">
      <c r="A75" s="68" t="s">
        <v>2</v>
      </c>
      <c r="B75" s="65"/>
      <c r="C75" s="65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4"/>
      <c r="O75" s="82"/>
      <c r="P75" s="82"/>
      <c r="Q75" s="82"/>
      <c r="R75" s="63"/>
      <c r="S75" s="63"/>
      <c r="T75" s="63"/>
      <c r="U75" s="63"/>
      <c r="V75" s="63"/>
      <c r="W75" s="63"/>
      <c r="X75" s="63"/>
      <c r="Y75" s="82"/>
      <c r="Z75" s="82"/>
      <c r="AA75" s="82"/>
      <c r="AB75" s="82"/>
      <c r="AC75" s="82"/>
      <c r="AD75" s="82"/>
      <c r="AE75" s="82"/>
      <c r="AF75" s="63" t="str">
        <f t="shared" si="0"/>
        <v/>
      </c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63"/>
      <c r="BR75" s="82"/>
      <c r="BS75" s="82"/>
      <c r="BT75" s="82"/>
      <c r="BU75" s="4"/>
    </row>
    <row r="76" spans="1:77" ht="12.75" x14ac:dyDescent="0.2">
      <c r="A76" s="68" t="s">
        <v>2</v>
      </c>
      <c r="B76" s="65"/>
      <c r="C76" s="65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4"/>
      <c r="O76" s="82"/>
      <c r="P76" s="82"/>
      <c r="Q76" s="82"/>
      <c r="R76" s="63"/>
      <c r="S76" s="63"/>
      <c r="T76" s="63"/>
      <c r="U76" s="63"/>
      <c r="V76" s="63"/>
      <c r="W76" s="63"/>
      <c r="X76" s="63"/>
      <c r="Y76" s="82"/>
      <c r="Z76" s="82"/>
      <c r="AA76" s="82"/>
      <c r="AB76" s="82"/>
      <c r="AC76" s="82"/>
      <c r="AD76" s="82"/>
      <c r="AE76" s="82"/>
      <c r="AF76" s="63" t="str">
        <f t="shared" si="0"/>
        <v/>
      </c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63"/>
      <c r="BR76" s="82"/>
      <c r="BS76" s="82"/>
      <c r="BT76" s="82"/>
      <c r="BU76" s="4"/>
    </row>
    <row r="77" spans="1:77" ht="12.75" x14ac:dyDescent="0.2">
      <c r="A77" s="68" t="s">
        <v>2</v>
      </c>
      <c r="B77" s="65"/>
      <c r="C77" s="65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4"/>
      <c r="O77" s="82"/>
      <c r="P77" s="82"/>
      <c r="Q77" s="82"/>
      <c r="R77" s="63"/>
      <c r="S77" s="63"/>
      <c r="T77" s="63"/>
      <c r="U77" s="63"/>
      <c r="V77" s="63"/>
      <c r="W77" s="63"/>
      <c r="X77" s="63"/>
      <c r="Y77" s="82"/>
      <c r="Z77" s="82"/>
      <c r="AA77" s="82"/>
      <c r="AB77" s="82"/>
      <c r="AC77" s="82"/>
      <c r="AD77" s="82"/>
      <c r="AE77" s="82"/>
      <c r="AF77" s="63" t="str">
        <f t="shared" si="0"/>
        <v/>
      </c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63"/>
      <c r="BR77" s="82"/>
      <c r="BS77" s="82"/>
      <c r="BT77" s="82"/>
      <c r="BU77" s="4"/>
    </row>
    <row r="78" spans="1:77" ht="12.75" x14ac:dyDescent="0.2">
      <c r="A78" s="68" t="s">
        <v>2</v>
      </c>
      <c r="B78" s="65"/>
      <c r="C78" s="65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4"/>
      <c r="O78" s="82"/>
      <c r="P78" s="82"/>
      <c r="Q78" s="82"/>
      <c r="R78" s="63"/>
      <c r="S78" s="63"/>
      <c r="T78" s="63"/>
      <c r="U78" s="63"/>
      <c r="V78" s="63"/>
      <c r="W78" s="63"/>
      <c r="X78" s="63"/>
      <c r="Y78" s="82"/>
      <c r="Z78" s="82"/>
      <c r="AA78" s="82"/>
      <c r="AB78" s="82"/>
      <c r="AC78" s="82"/>
      <c r="AD78" s="82"/>
      <c r="AE78" s="82"/>
      <c r="AF78" s="63" t="str">
        <f t="shared" si="0"/>
        <v/>
      </c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63"/>
      <c r="BR78" s="82"/>
      <c r="BS78" s="82"/>
      <c r="BT78" s="82"/>
      <c r="BU78" s="4"/>
    </row>
    <row r="79" spans="1:77" ht="12.75" x14ac:dyDescent="0.2">
      <c r="A79" s="68" t="s">
        <v>2</v>
      </c>
      <c r="B79" s="65"/>
      <c r="C79" s="65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4"/>
      <c r="O79" s="82"/>
      <c r="P79" s="82"/>
      <c r="Q79" s="82"/>
      <c r="R79" s="63"/>
      <c r="S79" s="63"/>
      <c r="T79" s="63"/>
      <c r="U79" s="63"/>
      <c r="V79" s="63"/>
      <c r="W79" s="63"/>
      <c r="X79" s="63"/>
      <c r="Y79" s="82"/>
      <c r="Z79" s="82"/>
      <c r="AA79" s="82"/>
      <c r="AB79" s="82"/>
      <c r="AC79" s="82"/>
      <c r="AD79" s="82"/>
      <c r="AE79" s="82"/>
      <c r="AF79" s="63" t="str">
        <f t="shared" si="0"/>
        <v/>
      </c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Q79" s="63"/>
      <c r="BR79" s="82"/>
      <c r="BS79" s="82"/>
      <c r="BT79" s="82"/>
      <c r="BU79" s="4"/>
    </row>
    <row r="80" spans="1:77" ht="12.75" x14ac:dyDescent="0.2">
      <c r="A80" s="68" t="s">
        <v>2</v>
      </c>
      <c r="B80" s="65"/>
      <c r="C80" s="65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4"/>
      <c r="O80" s="82"/>
      <c r="P80" s="82"/>
      <c r="Q80" s="82"/>
      <c r="R80" s="63"/>
      <c r="S80" s="63"/>
      <c r="T80" s="63"/>
      <c r="U80" s="63"/>
      <c r="V80" s="63"/>
      <c r="W80" s="63"/>
      <c r="X80" s="63"/>
      <c r="Y80" s="82"/>
      <c r="Z80" s="82"/>
      <c r="AA80" s="82"/>
      <c r="AB80" s="82"/>
      <c r="AC80" s="82"/>
      <c r="AD80" s="82"/>
      <c r="AE80" s="82"/>
      <c r="AF80" s="63" t="str">
        <f t="shared" si="0"/>
        <v/>
      </c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63"/>
      <c r="BR80" s="82"/>
      <c r="BS80" s="82"/>
      <c r="BT80" s="82"/>
      <c r="BU80" s="4"/>
    </row>
    <row r="81" spans="1:73" ht="12.75" x14ac:dyDescent="0.2">
      <c r="A81" s="68" t="s">
        <v>2</v>
      </c>
      <c r="B81" s="65"/>
      <c r="C81" s="65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4"/>
      <c r="O81" s="82"/>
      <c r="P81" s="82"/>
      <c r="Q81" s="82"/>
      <c r="R81" s="63"/>
      <c r="S81" s="63"/>
      <c r="T81" s="63"/>
      <c r="U81" s="63"/>
      <c r="V81" s="63"/>
      <c r="W81" s="63"/>
      <c r="X81" s="63"/>
      <c r="Y81" s="82"/>
      <c r="Z81" s="82"/>
      <c r="AA81" s="82"/>
      <c r="AB81" s="82"/>
      <c r="AC81" s="82"/>
      <c r="AD81" s="82"/>
      <c r="AE81" s="82"/>
      <c r="AF81" s="63" t="str">
        <f t="shared" si="0"/>
        <v/>
      </c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63"/>
      <c r="BR81" s="82"/>
      <c r="BS81" s="82"/>
      <c r="BT81" s="82"/>
      <c r="BU81" s="4"/>
    </row>
    <row r="82" spans="1:73" ht="12.75" x14ac:dyDescent="0.2">
      <c r="A82" s="68" t="s">
        <v>2</v>
      </c>
      <c r="B82" s="65"/>
      <c r="C82" s="65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4"/>
      <c r="O82" s="82"/>
      <c r="P82" s="82"/>
      <c r="Q82" s="82"/>
      <c r="R82" s="63"/>
      <c r="S82" s="63"/>
      <c r="T82" s="63"/>
      <c r="U82" s="63"/>
      <c r="V82" s="63"/>
      <c r="W82" s="63"/>
      <c r="X82" s="63"/>
      <c r="Y82" s="82"/>
      <c r="Z82" s="82"/>
      <c r="AA82" s="82"/>
      <c r="AB82" s="82"/>
      <c r="AC82" s="82"/>
      <c r="AD82" s="82"/>
      <c r="AE82" s="82"/>
      <c r="AF82" s="63" t="str">
        <f t="shared" si="0"/>
        <v/>
      </c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Q82" s="63"/>
      <c r="BR82" s="82"/>
      <c r="BS82" s="82"/>
      <c r="BT82" s="82"/>
      <c r="BU82" s="4"/>
    </row>
    <row r="83" spans="1:73" ht="12.75" x14ac:dyDescent="0.2">
      <c r="A83" s="68" t="s">
        <v>2</v>
      </c>
      <c r="B83" s="65"/>
      <c r="C83" s="65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4"/>
      <c r="O83" s="82"/>
      <c r="P83" s="82"/>
      <c r="Q83" s="82"/>
      <c r="R83" s="63"/>
      <c r="S83" s="63"/>
      <c r="T83" s="63"/>
      <c r="U83" s="63"/>
      <c r="V83" s="63"/>
      <c r="W83" s="63"/>
      <c r="X83" s="63"/>
      <c r="Y83" s="82"/>
      <c r="Z83" s="82"/>
      <c r="AA83" s="82"/>
      <c r="AB83" s="82"/>
      <c r="AC83" s="82"/>
      <c r="AD83" s="82"/>
      <c r="AE83" s="82"/>
      <c r="AF83" s="63" t="str">
        <f t="shared" si="0"/>
        <v/>
      </c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63"/>
      <c r="BR83" s="82"/>
      <c r="BS83" s="82"/>
      <c r="BT83" s="82"/>
      <c r="BU83" s="4"/>
    </row>
    <row r="84" spans="1:73" ht="12.75" x14ac:dyDescent="0.2">
      <c r="A84" s="68" t="s">
        <v>2</v>
      </c>
      <c r="B84" s="65"/>
      <c r="C84" s="65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4"/>
      <c r="O84" s="82"/>
      <c r="P84" s="82"/>
      <c r="Q84" s="82"/>
      <c r="R84" s="63"/>
      <c r="S84" s="63"/>
      <c r="T84" s="63"/>
      <c r="U84" s="63"/>
      <c r="V84" s="63"/>
      <c r="W84" s="63"/>
      <c r="X84" s="63"/>
      <c r="Y84" s="82"/>
      <c r="Z84" s="82"/>
      <c r="AA84" s="82"/>
      <c r="AB84" s="82"/>
      <c r="AC84" s="82"/>
      <c r="AD84" s="82"/>
      <c r="AE84" s="82"/>
      <c r="AF84" s="63" t="str">
        <f t="shared" si="0"/>
        <v/>
      </c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63"/>
      <c r="BR84" s="82"/>
      <c r="BS84" s="82"/>
      <c r="BT84" s="82"/>
      <c r="BU84" s="4"/>
    </row>
    <row r="85" spans="1:73" ht="12.75" x14ac:dyDescent="0.2">
      <c r="A85" s="68" t="s">
        <v>2</v>
      </c>
      <c r="B85" s="65"/>
      <c r="C85" s="65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4"/>
      <c r="O85" s="82"/>
      <c r="P85" s="82"/>
      <c r="Q85" s="82"/>
      <c r="R85" s="63"/>
      <c r="S85" s="63"/>
      <c r="T85" s="63"/>
      <c r="U85" s="63"/>
      <c r="V85" s="63"/>
      <c r="W85" s="63"/>
      <c r="X85" s="63"/>
      <c r="Y85" s="82"/>
      <c r="Z85" s="82"/>
      <c r="AA85" s="82"/>
      <c r="AB85" s="82"/>
      <c r="AC85" s="82"/>
      <c r="AD85" s="82"/>
      <c r="AE85" s="82"/>
      <c r="AF85" s="63" t="str">
        <f t="shared" si="0"/>
        <v/>
      </c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63"/>
      <c r="BR85" s="82"/>
      <c r="BS85" s="82"/>
      <c r="BT85" s="82"/>
      <c r="BU85" s="4"/>
    </row>
    <row r="86" spans="1:73" ht="12.75" x14ac:dyDescent="0.2">
      <c r="A86" s="68" t="s">
        <v>2</v>
      </c>
      <c r="B86" s="65"/>
      <c r="C86" s="65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4"/>
      <c r="O86" s="82"/>
      <c r="P86" s="82"/>
      <c r="Q86" s="82"/>
      <c r="R86" s="63"/>
      <c r="S86" s="63"/>
      <c r="T86" s="63"/>
      <c r="U86" s="63"/>
      <c r="V86" s="63"/>
      <c r="W86" s="63"/>
      <c r="X86" s="63"/>
      <c r="Y86" s="82"/>
      <c r="Z86" s="82"/>
      <c r="AA86" s="82"/>
      <c r="AB86" s="82"/>
      <c r="AC86" s="82"/>
      <c r="AD86" s="82"/>
      <c r="AE86" s="82"/>
      <c r="AF86" s="63" t="str">
        <f t="shared" si="0"/>
        <v/>
      </c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2"/>
      <c r="BQ86" s="63"/>
      <c r="BR86" s="82"/>
      <c r="BS86" s="82"/>
      <c r="BT86" s="82"/>
      <c r="BU86" s="4"/>
    </row>
    <row r="87" spans="1:73" ht="12.75" x14ac:dyDescent="0.2">
      <c r="A87" s="68" t="s">
        <v>2</v>
      </c>
      <c r="B87" s="65"/>
      <c r="C87" s="65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4"/>
      <c r="O87" s="82"/>
      <c r="P87" s="82"/>
      <c r="Q87" s="82"/>
      <c r="R87" s="63"/>
      <c r="S87" s="63"/>
      <c r="T87" s="63"/>
      <c r="U87" s="63"/>
      <c r="V87" s="63"/>
      <c r="W87" s="63"/>
      <c r="X87" s="63"/>
      <c r="Y87" s="82"/>
      <c r="Z87" s="82"/>
      <c r="AA87" s="82"/>
      <c r="AB87" s="82"/>
      <c r="AC87" s="82"/>
      <c r="AD87" s="82"/>
      <c r="AE87" s="82"/>
      <c r="AF87" s="63" t="str">
        <f t="shared" si="0"/>
        <v/>
      </c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63"/>
      <c r="BR87" s="82"/>
      <c r="BS87" s="82"/>
      <c r="BT87" s="82"/>
      <c r="BU87" s="4"/>
    </row>
    <row r="88" spans="1:73" ht="12.75" x14ac:dyDescent="0.2">
      <c r="A88" s="68" t="s">
        <v>2</v>
      </c>
      <c r="B88" s="65"/>
      <c r="C88" s="65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4"/>
      <c r="O88" s="82"/>
      <c r="P88" s="82"/>
      <c r="Q88" s="82"/>
      <c r="R88" s="63"/>
      <c r="S88" s="63"/>
      <c r="T88" s="63"/>
      <c r="U88" s="63"/>
      <c r="V88" s="63"/>
      <c r="W88" s="63"/>
      <c r="X88" s="63"/>
      <c r="Y88" s="82"/>
      <c r="Z88" s="82"/>
      <c r="AA88" s="82"/>
      <c r="AB88" s="82"/>
      <c r="AC88" s="82"/>
      <c r="AD88" s="82"/>
      <c r="AE88" s="82"/>
      <c r="AF88" s="63" t="str">
        <f t="shared" si="0"/>
        <v/>
      </c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63"/>
      <c r="BR88" s="82"/>
      <c r="BS88" s="82"/>
      <c r="BT88" s="82"/>
      <c r="BU88" s="4"/>
    </row>
    <row r="89" spans="1:73" ht="12.75" x14ac:dyDescent="0.2">
      <c r="A89" s="68" t="s">
        <v>2</v>
      </c>
      <c r="B89" s="65"/>
      <c r="C89" s="65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4"/>
      <c r="O89" s="82"/>
      <c r="P89" s="82"/>
      <c r="Q89" s="82"/>
      <c r="R89" s="63"/>
      <c r="S89" s="63"/>
      <c r="T89" s="63"/>
      <c r="U89" s="63"/>
      <c r="V89" s="63"/>
      <c r="W89" s="63"/>
      <c r="X89" s="63"/>
      <c r="Y89" s="82"/>
      <c r="Z89" s="82"/>
      <c r="AA89" s="82"/>
      <c r="AB89" s="82"/>
      <c r="AC89" s="82"/>
      <c r="AD89" s="82"/>
      <c r="AE89" s="82"/>
      <c r="AF89" s="63" t="str">
        <f t="shared" si="0"/>
        <v/>
      </c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2"/>
      <c r="BF89" s="82"/>
      <c r="BG89" s="82"/>
      <c r="BH89" s="82"/>
      <c r="BI89" s="82"/>
      <c r="BJ89" s="82"/>
      <c r="BK89" s="82"/>
      <c r="BL89" s="82"/>
      <c r="BM89" s="82"/>
      <c r="BN89" s="82"/>
      <c r="BO89" s="82"/>
      <c r="BP89" s="82"/>
      <c r="BQ89" s="63"/>
      <c r="BR89" s="82"/>
      <c r="BS89" s="82"/>
      <c r="BT89" s="82"/>
      <c r="BU89" s="4"/>
    </row>
    <row r="90" spans="1:73" ht="12.75" x14ac:dyDescent="0.2">
      <c r="A90" s="68" t="s">
        <v>2</v>
      </c>
      <c r="B90" s="65"/>
      <c r="C90" s="65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4"/>
      <c r="O90" s="82"/>
      <c r="P90" s="82"/>
      <c r="Q90" s="82"/>
      <c r="R90" s="63"/>
      <c r="S90" s="63"/>
      <c r="T90" s="63"/>
      <c r="U90" s="63"/>
      <c r="V90" s="63"/>
      <c r="W90" s="63"/>
      <c r="X90" s="63"/>
      <c r="Y90" s="82"/>
      <c r="Z90" s="82"/>
      <c r="AA90" s="82"/>
      <c r="AB90" s="82"/>
      <c r="AC90" s="82"/>
      <c r="AD90" s="82"/>
      <c r="AE90" s="82"/>
      <c r="AF90" s="63" t="str">
        <f t="shared" si="0"/>
        <v/>
      </c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63"/>
      <c r="BR90" s="82"/>
      <c r="BS90" s="82"/>
      <c r="BT90" s="82"/>
      <c r="BU90" s="4"/>
    </row>
    <row r="91" spans="1:73" ht="12.75" x14ac:dyDescent="0.2">
      <c r="A91" s="68" t="s">
        <v>2</v>
      </c>
      <c r="B91" s="65"/>
      <c r="C91" s="65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4"/>
      <c r="O91" s="82"/>
      <c r="P91" s="82"/>
      <c r="Q91" s="82"/>
      <c r="R91" s="63"/>
      <c r="S91" s="63"/>
      <c r="T91" s="63"/>
      <c r="U91" s="63"/>
      <c r="V91" s="63"/>
      <c r="W91" s="63"/>
      <c r="X91" s="63"/>
      <c r="Y91" s="82"/>
      <c r="Z91" s="82"/>
      <c r="AA91" s="82"/>
      <c r="AB91" s="82"/>
      <c r="AC91" s="82"/>
      <c r="AD91" s="82"/>
      <c r="AE91" s="82"/>
      <c r="AF91" s="63" t="str">
        <f t="shared" si="0"/>
        <v/>
      </c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63"/>
      <c r="BR91" s="82"/>
      <c r="BS91" s="82"/>
      <c r="BT91" s="82"/>
      <c r="BU91" s="4"/>
    </row>
    <row r="92" spans="1:73" ht="12.75" x14ac:dyDescent="0.2">
      <c r="A92" s="68" t="s">
        <v>2</v>
      </c>
      <c r="B92" s="65"/>
      <c r="C92" s="65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4"/>
      <c r="O92" s="82"/>
      <c r="P92" s="82"/>
      <c r="Q92" s="82"/>
      <c r="R92" s="63"/>
      <c r="S92" s="63"/>
      <c r="T92" s="63"/>
      <c r="U92" s="63"/>
      <c r="V92" s="63"/>
      <c r="W92" s="63"/>
      <c r="X92" s="63"/>
      <c r="Y92" s="82"/>
      <c r="Z92" s="82"/>
      <c r="AA92" s="82"/>
      <c r="AB92" s="82"/>
      <c r="AC92" s="82"/>
      <c r="AD92" s="82"/>
      <c r="AE92" s="82"/>
      <c r="AF92" s="63" t="str">
        <f t="shared" si="0"/>
        <v/>
      </c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  <c r="BN92" s="82"/>
      <c r="BO92" s="82"/>
      <c r="BP92" s="82"/>
      <c r="BQ92" s="63"/>
      <c r="BR92" s="82"/>
      <c r="BS92" s="82"/>
      <c r="BT92" s="82"/>
      <c r="BU92" s="4"/>
    </row>
    <row r="93" spans="1:73" ht="12.75" x14ac:dyDescent="0.2">
      <c r="A93" s="68" t="s">
        <v>2</v>
      </c>
      <c r="B93" s="65"/>
      <c r="C93" s="65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4"/>
      <c r="O93" s="82"/>
      <c r="P93" s="82"/>
      <c r="Q93" s="82"/>
      <c r="R93" s="63"/>
      <c r="S93" s="63"/>
      <c r="T93" s="63"/>
      <c r="U93" s="63"/>
      <c r="V93" s="63"/>
      <c r="W93" s="63"/>
      <c r="X93" s="63"/>
      <c r="Y93" s="82"/>
      <c r="Z93" s="82"/>
      <c r="AA93" s="82"/>
      <c r="AB93" s="82"/>
      <c r="AC93" s="82"/>
      <c r="AD93" s="82"/>
      <c r="AE93" s="82"/>
      <c r="AF93" s="63" t="str">
        <f t="shared" si="0"/>
        <v/>
      </c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  <c r="BN93" s="82"/>
      <c r="BO93" s="82"/>
      <c r="BP93" s="82"/>
      <c r="BQ93" s="63"/>
      <c r="BR93" s="82"/>
      <c r="BS93" s="82"/>
      <c r="BT93" s="82"/>
      <c r="BU93" s="4"/>
    </row>
    <row r="94" spans="1:73" ht="12.75" x14ac:dyDescent="0.2">
      <c r="A94" s="68" t="s">
        <v>2</v>
      </c>
      <c r="B94" s="65"/>
      <c r="C94" s="65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4"/>
      <c r="O94" s="82"/>
      <c r="P94" s="82"/>
      <c r="Q94" s="82"/>
      <c r="R94" s="63"/>
      <c r="S94" s="63"/>
      <c r="T94" s="63"/>
      <c r="U94" s="63"/>
      <c r="V94" s="63"/>
      <c r="W94" s="63"/>
      <c r="X94" s="63"/>
      <c r="Y94" s="82"/>
      <c r="Z94" s="82"/>
      <c r="AA94" s="82"/>
      <c r="AB94" s="82"/>
      <c r="AC94" s="82"/>
      <c r="AD94" s="82"/>
      <c r="AE94" s="82"/>
      <c r="AF94" s="63" t="str">
        <f t="shared" si="0"/>
        <v/>
      </c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63"/>
      <c r="BR94" s="82"/>
      <c r="BS94" s="82"/>
      <c r="BT94" s="82"/>
      <c r="BU94" s="4"/>
    </row>
    <row r="95" spans="1:73" ht="12.75" x14ac:dyDescent="0.2">
      <c r="A95" s="68" t="s">
        <v>2</v>
      </c>
      <c r="B95" s="65"/>
      <c r="C95" s="65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4"/>
      <c r="O95" s="82"/>
      <c r="P95" s="82"/>
      <c r="Q95" s="82"/>
      <c r="R95" s="63"/>
      <c r="S95" s="63"/>
      <c r="T95" s="63"/>
      <c r="U95" s="63"/>
      <c r="V95" s="63"/>
      <c r="W95" s="63"/>
      <c r="X95" s="63"/>
      <c r="Y95" s="82"/>
      <c r="Z95" s="82"/>
      <c r="AA95" s="82"/>
      <c r="AB95" s="82"/>
      <c r="AC95" s="82"/>
      <c r="AD95" s="82"/>
      <c r="AE95" s="82"/>
      <c r="AF95" s="63" t="str">
        <f t="shared" si="0"/>
        <v/>
      </c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63"/>
      <c r="BR95" s="82"/>
      <c r="BS95" s="82"/>
      <c r="BT95" s="82"/>
      <c r="BU95" s="4"/>
    </row>
    <row r="96" spans="1:73" ht="12.75" x14ac:dyDescent="0.2">
      <c r="A96" s="68" t="s">
        <v>2</v>
      </c>
      <c r="B96" s="65"/>
      <c r="C96" s="65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4"/>
      <c r="O96" s="82"/>
      <c r="P96" s="82"/>
      <c r="Q96" s="82"/>
      <c r="R96" s="63"/>
      <c r="S96" s="63"/>
      <c r="T96" s="63"/>
      <c r="U96" s="63"/>
      <c r="V96" s="63"/>
      <c r="W96" s="63"/>
      <c r="X96" s="63"/>
      <c r="Y96" s="82"/>
      <c r="Z96" s="82"/>
      <c r="AA96" s="82"/>
      <c r="AB96" s="82"/>
      <c r="AC96" s="82"/>
      <c r="AD96" s="82"/>
      <c r="AE96" s="82"/>
      <c r="AF96" s="63" t="str">
        <f t="shared" si="0"/>
        <v/>
      </c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63"/>
      <c r="BR96" s="82"/>
      <c r="BS96" s="82"/>
      <c r="BT96" s="82"/>
      <c r="BU96" s="4"/>
    </row>
    <row r="97" spans="1:73" ht="12.75" x14ac:dyDescent="0.2">
      <c r="A97" s="68" t="s">
        <v>2</v>
      </c>
      <c r="B97" s="65"/>
      <c r="C97" s="65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4"/>
      <c r="O97" s="82"/>
      <c r="P97" s="82"/>
      <c r="Q97" s="82"/>
      <c r="R97" s="63"/>
      <c r="S97" s="63"/>
      <c r="T97" s="63"/>
      <c r="U97" s="63"/>
      <c r="V97" s="63"/>
      <c r="W97" s="63"/>
      <c r="X97" s="63"/>
      <c r="Y97" s="82"/>
      <c r="Z97" s="82"/>
      <c r="AA97" s="82"/>
      <c r="AB97" s="82"/>
      <c r="AC97" s="82"/>
      <c r="AD97" s="82"/>
      <c r="AE97" s="82"/>
      <c r="AF97" s="63" t="str">
        <f t="shared" si="0"/>
        <v/>
      </c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63"/>
      <c r="BR97" s="82"/>
      <c r="BS97" s="82"/>
      <c r="BT97" s="82"/>
      <c r="BU97" s="4"/>
    </row>
    <row r="98" spans="1:73" ht="12.75" x14ac:dyDescent="0.2">
      <c r="A98" s="68" t="s">
        <v>2</v>
      </c>
      <c r="B98" s="65"/>
      <c r="C98" s="65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4"/>
      <c r="O98" s="82"/>
      <c r="P98" s="82"/>
      <c r="Q98" s="82"/>
      <c r="R98" s="63"/>
      <c r="S98" s="63"/>
      <c r="T98" s="63"/>
      <c r="U98" s="63"/>
      <c r="V98" s="63"/>
      <c r="W98" s="63"/>
      <c r="X98" s="63"/>
      <c r="Y98" s="82"/>
      <c r="Z98" s="82"/>
      <c r="AA98" s="82"/>
      <c r="AB98" s="82"/>
      <c r="AC98" s="82"/>
      <c r="AD98" s="82"/>
      <c r="AE98" s="82"/>
      <c r="AF98" s="63" t="str">
        <f t="shared" si="0"/>
        <v/>
      </c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63"/>
      <c r="BR98" s="82"/>
      <c r="BS98" s="82"/>
      <c r="BT98" s="82"/>
      <c r="BU98" s="4"/>
    </row>
    <row r="99" spans="1:73" ht="12.75" x14ac:dyDescent="0.2">
      <c r="A99" s="68" t="s">
        <v>2</v>
      </c>
      <c r="B99" s="65"/>
      <c r="C99" s="65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4"/>
      <c r="O99" s="82"/>
      <c r="P99" s="82"/>
      <c r="Q99" s="82"/>
      <c r="R99" s="63"/>
      <c r="S99" s="63"/>
      <c r="T99" s="63"/>
      <c r="U99" s="63"/>
      <c r="V99" s="63"/>
      <c r="W99" s="63"/>
      <c r="X99" s="63"/>
      <c r="Y99" s="82"/>
      <c r="Z99" s="82"/>
      <c r="AA99" s="82"/>
      <c r="AB99" s="82"/>
      <c r="AC99" s="82"/>
      <c r="AD99" s="82"/>
      <c r="AE99" s="82"/>
      <c r="AF99" s="63" t="str">
        <f t="shared" si="0"/>
        <v/>
      </c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63"/>
      <c r="BR99" s="82"/>
      <c r="BS99" s="82"/>
      <c r="BT99" s="82"/>
      <c r="BU99" s="4"/>
    </row>
    <row r="100" spans="1:73" ht="12.75" x14ac:dyDescent="0.2">
      <c r="A100" s="68" t="s">
        <v>2</v>
      </c>
      <c r="B100" s="65"/>
      <c r="C100" s="65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4"/>
      <c r="O100" s="82"/>
      <c r="P100" s="82"/>
      <c r="Q100" s="82"/>
      <c r="R100" s="63"/>
      <c r="S100" s="63"/>
      <c r="T100" s="63"/>
      <c r="U100" s="63"/>
      <c r="V100" s="63"/>
      <c r="W100" s="63"/>
      <c r="X100" s="63"/>
      <c r="Y100" s="82"/>
      <c r="Z100" s="82"/>
      <c r="AA100" s="82"/>
      <c r="AB100" s="82"/>
      <c r="AC100" s="82"/>
      <c r="AD100" s="82"/>
      <c r="AE100" s="82"/>
      <c r="AF100" s="63" t="str">
        <f t="shared" si="0"/>
        <v/>
      </c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63"/>
      <c r="BR100" s="82"/>
      <c r="BS100" s="82"/>
      <c r="BT100" s="82"/>
      <c r="BU100" s="4"/>
    </row>
    <row r="101" spans="1:73" ht="12.75" x14ac:dyDescent="0.2">
      <c r="A101" s="68" t="s">
        <v>2</v>
      </c>
      <c r="B101" s="65"/>
      <c r="C101" s="65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4"/>
      <c r="O101" s="82"/>
      <c r="P101" s="82"/>
      <c r="Q101" s="82"/>
      <c r="R101" s="63"/>
      <c r="S101" s="63"/>
      <c r="T101" s="63"/>
      <c r="U101" s="63"/>
      <c r="V101" s="63"/>
      <c r="W101" s="63"/>
      <c r="X101" s="63"/>
      <c r="Y101" s="82"/>
      <c r="Z101" s="82"/>
      <c r="AA101" s="82"/>
      <c r="AB101" s="82"/>
      <c r="AC101" s="82"/>
      <c r="AD101" s="82"/>
      <c r="AE101" s="82"/>
      <c r="AF101" s="63" t="str">
        <f t="shared" si="0"/>
        <v/>
      </c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63"/>
      <c r="BR101" s="82"/>
      <c r="BS101" s="82"/>
      <c r="BT101" s="82"/>
      <c r="BU101" s="4"/>
    </row>
    <row r="102" spans="1:73" ht="12.75" x14ac:dyDescent="0.2">
      <c r="A102" s="68" t="s">
        <v>2</v>
      </c>
      <c r="B102" s="65"/>
      <c r="C102" s="65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4"/>
      <c r="O102" s="82"/>
      <c r="P102" s="82"/>
      <c r="Q102" s="82"/>
      <c r="R102" s="63"/>
      <c r="S102" s="63"/>
      <c r="T102" s="63"/>
      <c r="U102" s="63"/>
      <c r="V102" s="63"/>
      <c r="W102" s="63"/>
      <c r="X102" s="63"/>
      <c r="Y102" s="82"/>
      <c r="Z102" s="82"/>
      <c r="AA102" s="82"/>
      <c r="AB102" s="82"/>
      <c r="AC102" s="82"/>
      <c r="AD102" s="82"/>
      <c r="AE102" s="82"/>
      <c r="AF102" s="63" t="str">
        <f t="shared" si="0"/>
        <v/>
      </c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63"/>
      <c r="BR102" s="82"/>
      <c r="BS102" s="82"/>
      <c r="BT102" s="82"/>
      <c r="BU102" s="4"/>
    </row>
    <row r="103" spans="1:73" ht="12.75" x14ac:dyDescent="0.2">
      <c r="A103" s="68" t="s">
        <v>2</v>
      </c>
      <c r="B103" s="85"/>
      <c r="C103" s="85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4"/>
      <c r="O103" s="82"/>
      <c r="P103" s="82"/>
      <c r="Q103" s="82"/>
      <c r="R103" s="63"/>
      <c r="S103" s="63"/>
      <c r="T103" s="63"/>
      <c r="U103" s="63"/>
      <c r="V103" s="63"/>
      <c r="W103" s="63"/>
      <c r="X103" s="63"/>
      <c r="Y103" s="82"/>
      <c r="Z103" s="82"/>
      <c r="AA103" s="82"/>
      <c r="AB103" s="82"/>
      <c r="AC103" s="82"/>
      <c r="AD103" s="82"/>
      <c r="AE103" s="82"/>
      <c r="AF103" s="63" t="str">
        <f t="shared" si="0"/>
        <v/>
      </c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63"/>
      <c r="BR103" s="82"/>
      <c r="BS103" s="82"/>
      <c r="BT103" s="82"/>
      <c r="BU103" s="4"/>
    </row>
    <row r="104" spans="1:73" ht="12.75" x14ac:dyDescent="0.2">
      <c r="A104" s="68" t="s">
        <v>2</v>
      </c>
      <c r="B104" s="85"/>
      <c r="C104" s="85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4"/>
      <c r="O104" s="82"/>
      <c r="P104" s="82"/>
      <c r="Q104" s="82"/>
      <c r="R104" s="63"/>
      <c r="S104" s="63"/>
      <c r="T104" s="63"/>
      <c r="U104" s="63"/>
      <c r="V104" s="63"/>
      <c r="W104" s="63"/>
      <c r="X104" s="63"/>
      <c r="Y104" s="82"/>
      <c r="Z104" s="82"/>
      <c r="AA104" s="82"/>
      <c r="AB104" s="82"/>
      <c r="AC104" s="82"/>
      <c r="AD104" s="82"/>
      <c r="AE104" s="82"/>
      <c r="AF104" s="63" t="str">
        <f t="shared" si="0"/>
        <v/>
      </c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63"/>
      <c r="BR104" s="82"/>
      <c r="BS104" s="82"/>
      <c r="BT104" s="82"/>
      <c r="BU104" s="4"/>
    </row>
    <row r="105" spans="1:73" ht="12.75" x14ac:dyDescent="0.2">
      <c r="A105" s="68" t="s">
        <v>2</v>
      </c>
      <c r="B105" s="85"/>
      <c r="C105" s="85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4"/>
      <c r="O105" s="82"/>
      <c r="P105" s="82"/>
      <c r="Q105" s="82"/>
      <c r="R105" s="63"/>
      <c r="S105" s="63"/>
      <c r="T105" s="63"/>
      <c r="U105" s="63"/>
      <c r="V105" s="63"/>
      <c r="W105" s="63"/>
      <c r="X105" s="63"/>
      <c r="Y105" s="82"/>
      <c r="Z105" s="82"/>
      <c r="AA105" s="82"/>
      <c r="AB105" s="82"/>
      <c r="AC105" s="82"/>
      <c r="AD105" s="82"/>
      <c r="AE105" s="82"/>
      <c r="AF105" s="63" t="str">
        <f t="shared" si="0"/>
        <v/>
      </c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  <c r="AU105" s="82"/>
      <c r="AV105" s="82"/>
      <c r="AW105" s="82"/>
      <c r="AX105" s="82"/>
      <c r="AY105" s="82"/>
      <c r="AZ105" s="82"/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63"/>
      <c r="BR105" s="82"/>
      <c r="BS105" s="82"/>
      <c r="BT105" s="82"/>
      <c r="BU105" s="4"/>
    </row>
    <row r="106" spans="1:73" ht="12.75" x14ac:dyDescent="0.2">
      <c r="A106" s="68" t="s">
        <v>2</v>
      </c>
      <c r="B106" s="85"/>
      <c r="C106" s="85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4"/>
      <c r="O106" s="82"/>
      <c r="P106" s="82"/>
      <c r="Q106" s="82"/>
      <c r="R106" s="63"/>
      <c r="S106" s="63"/>
      <c r="T106" s="63"/>
      <c r="U106" s="63"/>
      <c r="V106" s="63"/>
      <c r="W106" s="63"/>
      <c r="X106" s="63"/>
      <c r="Y106" s="82"/>
      <c r="Z106" s="82"/>
      <c r="AA106" s="82"/>
      <c r="AB106" s="82"/>
      <c r="AC106" s="82"/>
      <c r="AD106" s="82"/>
      <c r="AE106" s="82"/>
      <c r="AF106" s="63" t="str">
        <f t="shared" si="0"/>
        <v/>
      </c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63"/>
      <c r="BR106" s="82"/>
      <c r="BS106" s="82"/>
      <c r="BT106" s="82"/>
      <c r="BU106" s="4"/>
    </row>
    <row r="107" spans="1:73" ht="12.75" x14ac:dyDescent="0.2">
      <c r="A107" s="68" t="s">
        <v>2</v>
      </c>
      <c r="B107" s="85"/>
      <c r="C107" s="85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4"/>
      <c r="O107" s="82"/>
      <c r="P107" s="82"/>
      <c r="Q107" s="82"/>
      <c r="R107" s="63"/>
      <c r="S107" s="63"/>
      <c r="T107" s="63"/>
      <c r="U107" s="63"/>
      <c r="V107" s="63"/>
      <c r="W107" s="63"/>
      <c r="X107" s="63"/>
      <c r="Y107" s="82"/>
      <c r="Z107" s="82"/>
      <c r="AA107" s="82"/>
      <c r="AB107" s="82"/>
      <c r="AC107" s="82"/>
      <c r="AD107" s="82"/>
      <c r="AE107" s="82"/>
      <c r="AF107" s="63" t="str">
        <f t="shared" si="0"/>
        <v/>
      </c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82"/>
      <c r="AT107" s="82"/>
      <c r="AU107" s="82"/>
      <c r="AV107" s="82"/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63"/>
      <c r="BR107" s="82"/>
      <c r="BS107" s="82"/>
      <c r="BT107" s="82"/>
      <c r="BU107" s="4"/>
    </row>
    <row r="108" spans="1:73" ht="12.75" x14ac:dyDescent="0.2">
      <c r="A108" s="68" t="s">
        <v>2</v>
      </c>
      <c r="B108" s="85"/>
      <c r="C108" s="85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4"/>
      <c r="O108" s="82"/>
      <c r="P108" s="82"/>
      <c r="Q108" s="82"/>
      <c r="R108" s="63"/>
      <c r="S108" s="63"/>
      <c r="T108" s="63"/>
      <c r="U108" s="63"/>
      <c r="V108" s="63"/>
      <c r="W108" s="63"/>
      <c r="X108" s="63"/>
      <c r="Y108" s="82"/>
      <c r="Z108" s="82"/>
      <c r="AA108" s="82"/>
      <c r="AB108" s="82"/>
      <c r="AC108" s="82"/>
      <c r="AD108" s="82"/>
      <c r="AE108" s="82"/>
      <c r="AF108" s="63" t="str">
        <f t="shared" si="0"/>
        <v/>
      </c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82"/>
      <c r="AU108" s="82"/>
      <c r="AV108" s="82"/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  <c r="BN108" s="82"/>
      <c r="BO108" s="82"/>
      <c r="BP108" s="82"/>
      <c r="BQ108" s="63"/>
      <c r="BR108" s="82"/>
      <c r="BS108" s="82"/>
      <c r="BT108" s="82"/>
      <c r="BU108" s="4"/>
    </row>
    <row r="109" spans="1:73" ht="12.75" x14ac:dyDescent="0.2">
      <c r="A109" s="68" t="s">
        <v>2</v>
      </c>
      <c r="B109" s="85"/>
      <c r="C109" s="85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4"/>
      <c r="O109" s="82"/>
      <c r="P109" s="82"/>
      <c r="Q109" s="82"/>
      <c r="R109" s="63"/>
      <c r="S109" s="63"/>
      <c r="T109" s="63"/>
      <c r="U109" s="63"/>
      <c r="V109" s="63"/>
      <c r="W109" s="63"/>
      <c r="X109" s="63"/>
      <c r="Y109" s="82"/>
      <c r="Z109" s="82"/>
      <c r="AA109" s="82"/>
      <c r="AB109" s="82"/>
      <c r="AC109" s="82"/>
      <c r="AD109" s="82"/>
      <c r="AE109" s="82"/>
      <c r="AF109" s="63" t="str">
        <f t="shared" si="0"/>
        <v/>
      </c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  <c r="AT109" s="82"/>
      <c r="AU109" s="82"/>
      <c r="AV109" s="82"/>
      <c r="AW109" s="82"/>
      <c r="AX109" s="82"/>
      <c r="AY109" s="82"/>
      <c r="AZ109" s="82"/>
      <c r="BA109" s="82"/>
      <c r="BB109" s="82"/>
      <c r="BC109" s="82"/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  <c r="BN109" s="82"/>
      <c r="BO109" s="82"/>
      <c r="BP109" s="82"/>
      <c r="BQ109" s="63"/>
      <c r="BR109" s="82"/>
      <c r="BS109" s="82"/>
      <c r="BT109" s="82"/>
      <c r="BU109" s="4"/>
    </row>
    <row r="110" spans="1:73" ht="12.75" x14ac:dyDescent="0.2">
      <c r="A110" s="68" t="s">
        <v>2</v>
      </c>
      <c r="B110" s="85"/>
      <c r="C110" s="85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4"/>
      <c r="O110" s="82"/>
      <c r="P110" s="82"/>
      <c r="Q110" s="82"/>
      <c r="R110" s="63"/>
      <c r="S110" s="63"/>
      <c r="T110" s="63"/>
      <c r="U110" s="63"/>
      <c r="V110" s="63"/>
      <c r="W110" s="63"/>
      <c r="X110" s="63"/>
      <c r="Y110" s="82"/>
      <c r="Z110" s="82"/>
      <c r="AA110" s="82"/>
      <c r="AB110" s="82"/>
      <c r="AC110" s="82"/>
      <c r="AD110" s="82"/>
      <c r="AE110" s="82"/>
      <c r="AF110" s="63" t="str">
        <f t="shared" si="0"/>
        <v/>
      </c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  <c r="AS110" s="82"/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  <c r="BN110" s="82"/>
      <c r="BO110" s="82"/>
      <c r="BP110" s="82"/>
      <c r="BQ110" s="63"/>
      <c r="BR110" s="82"/>
      <c r="BS110" s="82"/>
      <c r="BT110" s="82"/>
      <c r="BU110" s="4"/>
    </row>
    <row r="111" spans="1:73" ht="12.75" x14ac:dyDescent="0.2">
      <c r="A111" s="68" t="s">
        <v>2</v>
      </c>
      <c r="B111" s="85"/>
      <c r="C111" s="85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4"/>
      <c r="O111" s="82"/>
      <c r="P111" s="82"/>
      <c r="Q111" s="82"/>
      <c r="R111" s="63"/>
      <c r="S111" s="63"/>
      <c r="T111" s="63"/>
      <c r="U111" s="63"/>
      <c r="V111" s="63"/>
      <c r="W111" s="63"/>
      <c r="X111" s="63"/>
      <c r="Y111" s="82"/>
      <c r="Z111" s="82"/>
      <c r="AA111" s="82"/>
      <c r="AB111" s="82"/>
      <c r="AC111" s="82"/>
      <c r="AD111" s="82"/>
      <c r="AE111" s="82"/>
      <c r="AF111" s="63" t="str">
        <f t="shared" si="0"/>
        <v/>
      </c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  <c r="BN111" s="82"/>
      <c r="BO111" s="82"/>
      <c r="BP111" s="82"/>
      <c r="BQ111" s="63"/>
      <c r="BR111" s="82"/>
      <c r="BS111" s="82"/>
      <c r="BT111" s="82"/>
      <c r="BU111" s="4"/>
    </row>
    <row r="112" spans="1:73" ht="12.75" x14ac:dyDescent="0.2">
      <c r="A112" s="68" t="s">
        <v>2</v>
      </c>
      <c r="B112" s="85"/>
      <c r="C112" s="85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4"/>
      <c r="O112" s="82"/>
      <c r="P112" s="82"/>
      <c r="Q112" s="82"/>
      <c r="R112" s="63"/>
      <c r="S112" s="63"/>
      <c r="T112" s="63"/>
      <c r="U112" s="63"/>
      <c r="V112" s="63"/>
      <c r="W112" s="63"/>
      <c r="X112" s="63"/>
      <c r="Y112" s="82"/>
      <c r="Z112" s="82"/>
      <c r="AA112" s="82"/>
      <c r="AB112" s="82"/>
      <c r="AC112" s="82"/>
      <c r="AD112" s="82"/>
      <c r="AE112" s="82"/>
      <c r="AF112" s="63" t="str">
        <f t="shared" si="0"/>
        <v/>
      </c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  <c r="AR112" s="82"/>
      <c r="AS112" s="82"/>
      <c r="AT112" s="82"/>
      <c r="AU112" s="82"/>
      <c r="AV112" s="82"/>
      <c r="AW112" s="82"/>
      <c r="AX112" s="82"/>
      <c r="AY112" s="82"/>
      <c r="AZ112" s="82"/>
      <c r="BA112" s="82"/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63"/>
      <c r="BR112" s="82"/>
      <c r="BS112" s="82"/>
      <c r="BT112" s="82"/>
      <c r="BU112" s="4"/>
    </row>
    <row r="113" spans="1:73" ht="12.75" x14ac:dyDescent="0.2">
      <c r="A113" s="68" t="s">
        <v>2</v>
      </c>
      <c r="B113" s="85"/>
      <c r="C113" s="85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4"/>
      <c r="O113" s="82"/>
      <c r="P113" s="82"/>
      <c r="Q113" s="82"/>
      <c r="R113" s="63"/>
      <c r="S113" s="63"/>
      <c r="T113" s="63"/>
      <c r="U113" s="63"/>
      <c r="V113" s="63"/>
      <c r="W113" s="63"/>
      <c r="X113" s="63"/>
      <c r="Y113" s="82"/>
      <c r="Z113" s="82"/>
      <c r="AA113" s="82"/>
      <c r="AB113" s="82"/>
      <c r="AC113" s="82"/>
      <c r="AD113" s="82"/>
      <c r="AE113" s="82"/>
      <c r="AF113" s="63" t="str">
        <f t="shared" si="0"/>
        <v/>
      </c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63"/>
      <c r="BR113" s="82"/>
      <c r="BS113" s="82"/>
      <c r="BT113" s="82"/>
      <c r="BU113" s="4"/>
    </row>
    <row r="114" spans="1:73" ht="12.75" x14ac:dyDescent="0.2">
      <c r="A114" s="68" t="s">
        <v>2</v>
      </c>
      <c r="B114" s="85"/>
      <c r="C114" s="85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4"/>
      <c r="O114" s="82"/>
      <c r="P114" s="82"/>
      <c r="Q114" s="82"/>
      <c r="R114" s="63"/>
      <c r="S114" s="63"/>
      <c r="T114" s="63"/>
      <c r="U114" s="63"/>
      <c r="V114" s="63"/>
      <c r="W114" s="63"/>
      <c r="X114" s="63"/>
      <c r="Y114" s="82"/>
      <c r="Z114" s="82"/>
      <c r="AA114" s="82"/>
      <c r="AB114" s="82"/>
      <c r="AC114" s="82"/>
      <c r="AD114" s="82"/>
      <c r="AE114" s="82"/>
      <c r="AF114" s="63" t="str">
        <f t="shared" si="0"/>
        <v/>
      </c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  <c r="AT114" s="82"/>
      <c r="AU114" s="82"/>
      <c r="AV114" s="82"/>
      <c r="AW114" s="82"/>
      <c r="AX114" s="82"/>
      <c r="AY114" s="82"/>
      <c r="AZ114" s="82"/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63"/>
      <c r="BR114" s="82"/>
      <c r="BS114" s="82"/>
      <c r="BT114" s="82"/>
      <c r="BU114" s="4"/>
    </row>
    <row r="115" spans="1:73" ht="12.75" x14ac:dyDescent="0.2">
      <c r="A115" s="68" t="s">
        <v>2</v>
      </c>
      <c r="B115" s="85"/>
      <c r="C115" s="85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4"/>
      <c r="O115" s="82"/>
      <c r="P115" s="82"/>
      <c r="Q115" s="82"/>
      <c r="R115" s="63"/>
      <c r="S115" s="63"/>
      <c r="T115" s="63"/>
      <c r="U115" s="63"/>
      <c r="V115" s="63"/>
      <c r="W115" s="63"/>
      <c r="X115" s="63"/>
      <c r="Y115" s="82"/>
      <c r="Z115" s="82"/>
      <c r="AA115" s="82"/>
      <c r="AB115" s="82"/>
      <c r="AC115" s="82"/>
      <c r="AD115" s="82"/>
      <c r="AE115" s="82"/>
      <c r="AF115" s="63" t="str">
        <f t="shared" si="0"/>
        <v/>
      </c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63"/>
      <c r="BR115" s="82"/>
      <c r="BS115" s="82"/>
      <c r="BT115" s="82"/>
      <c r="BU115" s="4"/>
    </row>
    <row r="116" spans="1:73" ht="12.75" x14ac:dyDescent="0.2">
      <c r="A116" s="68" t="s">
        <v>2</v>
      </c>
      <c r="B116" s="85"/>
      <c r="C116" s="85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4"/>
      <c r="O116" s="82"/>
      <c r="P116" s="82"/>
      <c r="Q116" s="82"/>
      <c r="R116" s="63"/>
      <c r="S116" s="63"/>
      <c r="T116" s="63"/>
      <c r="U116" s="63"/>
      <c r="V116" s="63"/>
      <c r="W116" s="63"/>
      <c r="X116" s="63"/>
      <c r="Y116" s="82"/>
      <c r="Z116" s="82"/>
      <c r="AA116" s="82"/>
      <c r="AB116" s="82"/>
      <c r="AC116" s="82"/>
      <c r="AD116" s="82"/>
      <c r="AE116" s="82"/>
      <c r="AF116" s="63" t="str">
        <f t="shared" si="0"/>
        <v/>
      </c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63"/>
      <c r="BR116" s="82"/>
      <c r="BS116" s="82"/>
      <c r="BT116" s="82"/>
      <c r="BU116" s="4"/>
    </row>
    <row r="117" spans="1:73" ht="12.75" x14ac:dyDescent="0.2">
      <c r="A117" s="68" t="s">
        <v>2</v>
      </c>
      <c r="B117" s="85"/>
      <c r="C117" s="85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4"/>
      <c r="O117" s="82"/>
      <c r="P117" s="82"/>
      <c r="Q117" s="82"/>
      <c r="R117" s="63"/>
      <c r="S117" s="63"/>
      <c r="T117" s="63"/>
      <c r="U117" s="63"/>
      <c r="V117" s="63"/>
      <c r="W117" s="63"/>
      <c r="X117" s="63"/>
      <c r="Y117" s="82"/>
      <c r="Z117" s="82"/>
      <c r="AA117" s="82"/>
      <c r="AB117" s="82"/>
      <c r="AC117" s="82"/>
      <c r="AD117" s="82"/>
      <c r="AE117" s="82"/>
      <c r="AF117" s="63" t="str">
        <f t="shared" si="0"/>
        <v/>
      </c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63"/>
      <c r="BR117" s="82"/>
      <c r="BS117" s="82"/>
      <c r="BT117" s="82"/>
      <c r="BU117" s="4"/>
    </row>
    <row r="118" spans="1:73" ht="12.75" x14ac:dyDescent="0.2">
      <c r="A118" s="68" t="s">
        <v>2</v>
      </c>
      <c r="B118" s="85"/>
      <c r="C118" s="85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4"/>
      <c r="O118" s="82"/>
      <c r="P118" s="82"/>
      <c r="Q118" s="82"/>
      <c r="R118" s="63"/>
      <c r="S118" s="63"/>
      <c r="T118" s="63"/>
      <c r="U118" s="63"/>
      <c r="V118" s="63"/>
      <c r="W118" s="63"/>
      <c r="X118" s="63"/>
      <c r="Y118" s="82"/>
      <c r="Z118" s="82"/>
      <c r="AA118" s="82"/>
      <c r="AB118" s="82"/>
      <c r="AC118" s="82"/>
      <c r="AD118" s="82"/>
      <c r="AE118" s="82"/>
      <c r="AF118" s="63" t="str">
        <f t="shared" si="0"/>
        <v/>
      </c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63"/>
      <c r="BR118" s="82"/>
      <c r="BS118" s="82"/>
      <c r="BT118" s="82"/>
      <c r="BU118" s="4"/>
    </row>
    <row r="119" spans="1:73" ht="12.75" x14ac:dyDescent="0.2">
      <c r="A119" s="68" t="s">
        <v>2</v>
      </c>
      <c r="B119" s="85"/>
      <c r="C119" s="85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4"/>
      <c r="O119" s="82"/>
      <c r="P119" s="82"/>
      <c r="Q119" s="82"/>
      <c r="R119" s="63"/>
      <c r="S119" s="63"/>
      <c r="T119" s="63"/>
      <c r="U119" s="63"/>
      <c r="V119" s="63"/>
      <c r="W119" s="63"/>
      <c r="X119" s="63"/>
      <c r="Y119" s="82"/>
      <c r="Z119" s="82"/>
      <c r="AA119" s="82"/>
      <c r="AB119" s="82"/>
      <c r="AC119" s="82"/>
      <c r="AD119" s="82"/>
      <c r="AE119" s="82"/>
      <c r="AF119" s="63" t="str">
        <f t="shared" si="0"/>
        <v/>
      </c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63"/>
      <c r="BR119" s="82"/>
      <c r="BS119" s="82"/>
      <c r="BT119" s="82"/>
      <c r="BU119" s="4"/>
    </row>
    <row r="120" spans="1:73" ht="12.75" x14ac:dyDescent="0.2">
      <c r="A120" s="68" t="s">
        <v>2</v>
      </c>
      <c r="B120" s="85"/>
      <c r="C120" s="85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4"/>
      <c r="O120" s="82"/>
      <c r="P120" s="82"/>
      <c r="Q120" s="82"/>
      <c r="R120" s="63"/>
      <c r="S120" s="63"/>
      <c r="T120" s="63"/>
      <c r="U120" s="63"/>
      <c r="V120" s="63"/>
      <c r="W120" s="63"/>
      <c r="X120" s="63"/>
      <c r="Y120" s="82"/>
      <c r="Z120" s="82"/>
      <c r="AA120" s="82"/>
      <c r="AB120" s="82"/>
      <c r="AC120" s="82"/>
      <c r="AD120" s="82"/>
      <c r="AE120" s="82"/>
      <c r="AF120" s="63" t="str">
        <f t="shared" si="0"/>
        <v/>
      </c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63"/>
      <c r="BR120" s="82"/>
      <c r="BS120" s="82"/>
      <c r="BT120" s="82"/>
      <c r="BU120" s="4"/>
    </row>
    <row r="121" spans="1:73" ht="12.75" x14ac:dyDescent="0.2">
      <c r="A121" s="68" t="s">
        <v>2</v>
      </c>
      <c r="B121" s="85"/>
      <c r="C121" s="85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4"/>
      <c r="O121" s="82"/>
      <c r="P121" s="82"/>
      <c r="Q121" s="82"/>
      <c r="R121" s="63"/>
      <c r="S121" s="63"/>
      <c r="T121" s="63"/>
      <c r="U121" s="63"/>
      <c r="V121" s="63"/>
      <c r="W121" s="63"/>
      <c r="X121" s="63"/>
      <c r="Y121" s="82"/>
      <c r="Z121" s="82"/>
      <c r="AA121" s="82"/>
      <c r="AB121" s="82"/>
      <c r="AC121" s="82"/>
      <c r="AD121" s="82"/>
      <c r="AE121" s="82"/>
      <c r="AF121" s="63" t="str">
        <f t="shared" si="0"/>
        <v/>
      </c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63"/>
      <c r="BR121" s="82"/>
      <c r="BS121" s="82"/>
      <c r="BT121" s="82"/>
      <c r="BU121" s="4"/>
    </row>
    <row r="122" spans="1:73" ht="12.75" x14ac:dyDescent="0.2">
      <c r="A122" s="68" t="s">
        <v>2</v>
      </c>
      <c r="B122" s="85"/>
      <c r="C122" s="85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4"/>
      <c r="O122" s="82"/>
      <c r="P122" s="82"/>
      <c r="Q122" s="82"/>
      <c r="R122" s="63"/>
      <c r="S122" s="63"/>
      <c r="T122" s="63"/>
      <c r="U122" s="63"/>
      <c r="V122" s="63"/>
      <c r="W122" s="63"/>
      <c r="X122" s="63"/>
      <c r="Y122" s="82"/>
      <c r="Z122" s="82"/>
      <c r="AA122" s="82"/>
      <c r="AB122" s="82"/>
      <c r="AC122" s="82"/>
      <c r="AD122" s="82"/>
      <c r="AE122" s="82"/>
      <c r="AF122" s="63" t="str">
        <f t="shared" si="0"/>
        <v/>
      </c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63"/>
      <c r="BR122" s="82"/>
      <c r="BS122" s="82"/>
      <c r="BT122" s="82"/>
      <c r="BU122" s="4"/>
    </row>
    <row r="123" spans="1:73" ht="12.75" x14ac:dyDescent="0.2">
      <c r="A123" s="68" t="s">
        <v>2</v>
      </c>
      <c r="B123" s="85"/>
      <c r="C123" s="85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4"/>
      <c r="O123" s="82"/>
      <c r="P123" s="82"/>
      <c r="Q123" s="82"/>
      <c r="R123" s="63"/>
      <c r="S123" s="63"/>
      <c r="T123" s="63"/>
      <c r="U123" s="63"/>
      <c r="V123" s="63"/>
      <c r="W123" s="63"/>
      <c r="X123" s="63"/>
      <c r="Y123" s="82"/>
      <c r="Z123" s="82"/>
      <c r="AA123" s="82"/>
      <c r="AB123" s="82"/>
      <c r="AC123" s="82"/>
      <c r="AD123" s="82"/>
      <c r="AE123" s="82"/>
      <c r="AF123" s="63" t="str">
        <f t="shared" si="0"/>
        <v/>
      </c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63"/>
      <c r="BR123" s="82"/>
      <c r="BS123" s="82"/>
      <c r="BT123" s="82"/>
      <c r="BU123" s="4"/>
    </row>
    <row r="124" spans="1:73" ht="12.75" x14ac:dyDescent="0.2">
      <c r="A124" s="68" t="s">
        <v>2</v>
      </c>
      <c r="B124" s="85"/>
      <c r="C124" s="85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4"/>
      <c r="O124" s="82"/>
      <c r="P124" s="82"/>
      <c r="Q124" s="82"/>
      <c r="R124" s="63"/>
      <c r="S124" s="63"/>
      <c r="T124" s="63"/>
      <c r="U124" s="63"/>
      <c r="V124" s="63"/>
      <c r="W124" s="63"/>
      <c r="X124" s="63"/>
      <c r="Y124" s="82"/>
      <c r="Z124" s="82"/>
      <c r="AA124" s="82"/>
      <c r="AB124" s="82"/>
      <c r="AC124" s="82"/>
      <c r="AD124" s="82"/>
      <c r="AE124" s="82"/>
      <c r="AF124" s="63" t="str">
        <f t="shared" si="0"/>
        <v/>
      </c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63"/>
      <c r="BR124" s="82"/>
      <c r="BS124" s="82"/>
      <c r="BT124" s="82"/>
      <c r="BU124" s="4"/>
    </row>
    <row r="125" spans="1:73" ht="12.75" x14ac:dyDescent="0.2">
      <c r="A125" s="68" t="s">
        <v>2</v>
      </c>
      <c r="B125" s="85"/>
      <c r="C125" s="85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4"/>
      <c r="O125" s="82"/>
      <c r="P125" s="82"/>
      <c r="Q125" s="82"/>
      <c r="R125" s="63"/>
      <c r="S125" s="63"/>
      <c r="T125" s="63"/>
      <c r="U125" s="63"/>
      <c r="V125" s="63"/>
      <c r="W125" s="63"/>
      <c r="X125" s="63"/>
      <c r="Y125" s="82"/>
      <c r="Z125" s="82"/>
      <c r="AA125" s="82"/>
      <c r="AB125" s="82"/>
      <c r="AC125" s="82"/>
      <c r="AD125" s="82"/>
      <c r="AE125" s="82"/>
      <c r="AF125" s="63" t="str">
        <f t="shared" si="0"/>
        <v/>
      </c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  <c r="AR125" s="82"/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63"/>
      <c r="BR125" s="82"/>
      <c r="BS125" s="82"/>
      <c r="BT125" s="82"/>
      <c r="BU125" s="4"/>
    </row>
    <row r="126" spans="1:73" ht="12.75" x14ac:dyDescent="0.2">
      <c r="A126" s="68" t="s">
        <v>2</v>
      </c>
      <c r="B126" s="85"/>
      <c r="C126" s="85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4"/>
      <c r="O126" s="82"/>
      <c r="P126" s="82"/>
      <c r="Q126" s="82"/>
      <c r="R126" s="63"/>
      <c r="S126" s="63"/>
      <c r="T126" s="63"/>
      <c r="U126" s="63"/>
      <c r="V126" s="63"/>
      <c r="W126" s="63"/>
      <c r="X126" s="63"/>
      <c r="Y126" s="82"/>
      <c r="Z126" s="82"/>
      <c r="AA126" s="82"/>
      <c r="AB126" s="82"/>
      <c r="AC126" s="82"/>
      <c r="AD126" s="82"/>
      <c r="AE126" s="82"/>
      <c r="AF126" s="63" t="str">
        <f t="shared" si="0"/>
        <v/>
      </c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63"/>
      <c r="BR126" s="82"/>
      <c r="BS126" s="82"/>
      <c r="BT126" s="82"/>
      <c r="BU126" s="4"/>
    </row>
    <row r="127" spans="1:73" ht="12.75" x14ac:dyDescent="0.2">
      <c r="A127" s="68" t="s">
        <v>2</v>
      </c>
      <c r="B127" s="85"/>
      <c r="C127" s="85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4"/>
      <c r="O127" s="82"/>
      <c r="P127" s="82"/>
      <c r="Q127" s="82"/>
      <c r="R127" s="63"/>
      <c r="S127" s="63"/>
      <c r="T127" s="63"/>
      <c r="U127" s="63"/>
      <c r="V127" s="63"/>
      <c r="W127" s="63"/>
      <c r="X127" s="63"/>
      <c r="Y127" s="82"/>
      <c r="Z127" s="82"/>
      <c r="AA127" s="82"/>
      <c r="AB127" s="82"/>
      <c r="AC127" s="82"/>
      <c r="AD127" s="82"/>
      <c r="AE127" s="82"/>
      <c r="AF127" s="63" t="str">
        <f t="shared" si="0"/>
        <v/>
      </c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63"/>
      <c r="BR127" s="82"/>
      <c r="BS127" s="82"/>
      <c r="BT127" s="82"/>
      <c r="BU127" s="4"/>
    </row>
    <row r="128" spans="1:73" ht="12.75" x14ac:dyDescent="0.2">
      <c r="A128" s="68" t="s">
        <v>2</v>
      </c>
      <c r="B128" s="85"/>
      <c r="C128" s="85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4"/>
      <c r="O128" s="82"/>
      <c r="P128" s="82"/>
      <c r="Q128" s="82"/>
      <c r="R128" s="63"/>
      <c r="S128" s="63"/>
      <c r="T128" s="63"/>
      <c r="U128" s="63"/>
      <c r="V128" s="63"/>
      <c r="W128" s="63"/>
      <c r="X128" s="63"/>
      <c r="Y128" s="82"/>
      <c r="Z128" s="82"/>
      <c r="AA128" s="82"/>
      <c r="AB128" s="82"/>
      <c r="AC128" s="82"/>
      <c r="AD128" s="82"/>
      <c r="AE128" s="82"/>
      <c r="AF128" s="63" t="str">
        <f t="shared" si="0"/>
        <v/>
      </c>
      <c r="AG128" s="82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63"/>
      <c r="BR128" s="82"/>
      <c r="BS128" s="82"/>
      <c r="BT128" s="82"/>
      <c r="BU128" s="4"/>
    </row>
    <row r="129" spans="1:73" ht="12.75" x14ac:dyDescent="0.2">
      <c r="A129" s="68" t="s">
        <v>2</v>
      </c>
      <c r="B129" s="85"/>
      <c r="C129" s="85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4"/>
      <c r="O129" s="82"/>
      <c r="P129" s="82"/>
      <c r="Q129" s="82"/>
      <c r="R129" s="63"/>
      <c r="S129" s="63"/>
      <c r="T129" s="63"/>
      <c r="U129" s="63"/>
      <c r="V129" s="63"/>
      <c r="W129" s="63"/>
      <c r="X129" s="63"/>
      <c r="Y129" s="82"/>
      <c r="Z129" s="82"/>
      <c r="AA129" s="82"/>
      <c r="AB129" s="82"/>
      <c r="AC129" s="82"/>
      <c r="AD129" s="82"/>
      <c r="AE129" s="82"/>
      <c r="AF129" s="63" t="str">
        <f t="shared" si="0"/>
        <v/>
      </c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63"/>
      <c r="BR129" s="82"/>
      <c r="BS129" s="82"/>
      <c r="BT129" s="82"/>
      <c r="BU129" s="4"/>
    </row>
    <row r="130" spans="1:73" ht="12.75" x14ac:dyDescent="0.2">
      <c r="A130" s="68" t="s">
        <v>2</v>
      </c>
      <c r="B130" s="85"/>
      <c r="C130" s="85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4"/>
      <c r="O130" s="82"/>
      <c r="P130" s="82"/>
      <c r="Q130" s="82"/>
      <c r="R130" s="63"/>
      <c r="S130" s="63"/>
      <c r="T130" s="63"/>
      <c r="U130" s="63"/>
      <c r="V130" s="63"/>
      <c r="W130" s="63"/>
      <c r="X130" s="63"/>
      <c r="Y130" s="82"/>
      <c r="Z130" s="82"/>
      <c r="AA130" s="82"/>
      <c r="AB130" s="82"/>
      <c r="AC130" s="82"/>
      <c r="AD130" s="82"/>
      <c r="AE130" s="82"/>
      <c r="AF130" s="63" t="str">
        <f t="shared" si="0"/>
        <v/>
      </c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63"/>
      <c r="BR130" s="82"/>
      <c r="BS130" s="82"/>
      <c r="BT130" s="82"/>
      <c r="BU130" s="4"/>
    </row>
    <row r="131" spans="1:73" ht="12.75" x14ac:dyDescent="0.2">
      <c r="A131" s="68" t="s">
        <v>2</v>
      </c>
      <c r="B131" s="85"/>
      <c r="C131" s="85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4"/>
      <c r="O131" s="82"/>
      <c r="P131" s="82"/>
      <c r="Q131" s="82"/>
      <c r="R131" s="63"/>
      <c r="S131" s="63"/>
      <c r="T131" s="63"/>
      <c r="U131" s="63"/>
      <c r="V131" s="63"/>
      <c r="W131" s="63"/>
      <c r="X131" s="63"/>
      <c r="Y131" s="82"/>
      <c r="Z131" s="82"/>
      <c r="AA131" s="82"/>
      <c r="AB131" s="82"/>
      <c r="AC131" s="82"/>
      <c r="AD131" s="82"/>
      <c r="AE131" s="82"/>
      <c r="AF131" s="63" t="str">
        <f t="shared" si="0"/>
        <v/>
      </c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63"/>
      <c r="BR131" s="82"/>
      <c r="BS131" s="82"/>
      <c r="BT131" s="82"/>
      <c r="BU131" s="4"/>
    </row>
    <row r="132" spans="1:73" ht="12.75" x14ac:dyDescent="0.2">
      <c r="A132" s="68" t="s">
        <v>2</v>
      </c>
      <c r="B132" s="85"/>
      <c r="C132" s="85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4"/>
      <c r="O132" s="82"/>
      <c r="P132" s="82"/>
      <c r="Q132" s="82"/>
      <c r="R132" s="63"/>
      <c r="S132" s="63"/>
      <c r="T132" s="63"/>
      <c r="U132" s="63"/>
      <c r="V132" s="63"/>
      <c r="W132" s="63"/>
      <c r="X132" s="63"/>
      <c r="Y132" s="82"/>
      <c r="Z132" s="82"/>
      <c r="AA132" s="82"/>
      <c r="AB132" s="82"/>
      <c r="AC132" s="82"/>
      <c r="AD132" s="82"/>
      <c r="AE132" s="82"/>
      <c r="AF132" s="63" t="str">
        <f t="shared" si="0"/>
        <v/>
      </c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63"/>
      <c r="BR132" s="82"/>
      <c r="BS132" s="82"/>
      <c r="BT132" s="82"/>
      <c r="BU132" s="4"/>
    </row>
    <row r="133" spans="1:73" ht="12.75" x14ac:dyDescent="0.2">
      <c r="A133" s="68" t="s">
        <v>2</v>
      </c>
      <c r="B133" s="85"/>
      <c r="C133" s="85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4"/>
      <c r="O133" s="82"/>
      <c r="P133" s="82"/>
      <c r="Q133" s="82"/>
      <c r="R133" s="63"/>
      <c r="S133" s="63"/>
      <c r="T133" s="63"/>
      <c r="U133" s="63"/>
      <c r="V133" s="63"/>
      <c r="W133" s="63"/>
      <c r="X133" s="63"/>
      <c r="Y133" s="82"/>
      <c r="Z133" s="82"/>
      <c r="AA133" s="82"/>
      <c r="AB133" s="82"/>
      <c r="AC133" s="82"/>
      <c r="AD133" s="82"/>
      <c r="AE133" s="82"/>
      <c r="AF133" s="63" t="str">
        <f t="shared" si="0"/>
        <v/>
      </c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63"/>
      <c r="BR133" s="82"/>
      <c r="BS133" s="82"/>
      <c r="BT133" s="82"/>
      <c r="BU133" s="4"/>
    </row>
    <row r="134" spans="1:73" ht="12.75" x14ac:dyDescent="0.2">
      <c r="A134" s="68" t="s">
        <v>2</v>
      </c>
      <c r="B134" s="85"/>
      <c r="C134" s="85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4"/>
      <c r="O134" s="82"/>
      <c r="P134" s="82"/>
      <c r="Q134" s="82"/>
      <c r="R134" s="63"/>
      <c r="S134" s="63"/>
      <c r="T134" s="63"/>
      <c r="U134" s="63"/>
      <c r="V134" s="63"/>
      <c r="W134" s="63"/>
      <c r="X134" s="63"/>
      <c r="Y134" s="82"/>
      <c r="Z134" s="82"/>
      <c r="AA134" s="82"/>
      <c r="AB134" s="82"/>
      <c r="AC134" s="82"/>
      <c r="AD134" s="82"/>
      <c r="AE134" s="82"/>
      <c r="AF134" s="63" t="str">
        <f t="shared" si="0"/>
        <v/>
      </c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63"/>
      <c r="BR134" s="82"/>
      <c r="BS134" s="82"/>
      <c r="BT134" s="82"/>
      <c r="BU134" s="4"/>
    </row>
    <row r="135" spans="1:73" ht="12.75" x14ac:dyDescent="0.2">
      <c r="A135" s="68" t="s">
        <v>2</v>
      </c>
      <c r="B135" s="85"/>
      <c r="C135" s="85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4"/>
      <c r="O135" s="82"/>
      <c r="P135" s="82"/>
      <c r="Q135" s="82"/>
      <c r="R135" s="63"/>
      <c r="S135" s="63"/>
      <c r="T135" s="63"/>
      <c r="U135" s="63"/>
      <c r="V135" s="63"/>
      <c r="W135" s="63"/>
      <c r="X135" s="63"/>
      <c r="Y135" s="82"/>
      <c r="Z135" s="82"/>
      <c r="AA135" s="82"/>
      <c r="AB135" s="82"/>
      <c r="AC135" s="82"/>
      <c r="AD135" s="82"/>
      <c r="AE135" s="82"/>
      <c r="AF135" s="63" t="str">
        <f t="shared" si="0"/>
        <v/>
      </c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63"/>
      <c r="BR135" s="82"/>
      <c r="BS135" s="82"/>
      <c r="BT135" s="82"/>
      <c r="BU135" s="4"/>
    </row>
    <row r="136" spans="1:73" ht="12.75" x14ac:dyDescent="0.2">
      <c r="A136" s="68" t="s">
        <v>2</v>
      </c>
      <c r="B136" s="85"/>
      <c r="C136" s="85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4"/>
      <c r="O136" s="82"/>
      <c r="P136" s="82"/>
      <c r="Q136" s="82"/>
      <c r="R136" s="63"/>
      <c r="S136" s="63"/>
      <c r="T136" s="63"/>
      <c r="U136" s="63"/>
      <c r="V136" s="63"/>
      <c r="W136" s="63"/>
      <c r="X136" s="63"/>
      <c r="Y136" s="82"/>
      <c r="Z136" s="82"/>
      <c r="AA136" s="82"/>
      <c r="AB136" s="82"/>
      <c r="AC136" s="82"/>
      <c r="AD136" s="82"/>
      <c r="AE136" s="82"/>
      <c r="AF136" s="63" t="str">
        <f t="shared" si="0"/>
        <v/>
      </c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63"/>
      <c r="BR136" s="82"/>
      <c r="BS136" s="82"/>
      <c r="BT136" s="82"/>
      <c r="BU136" s="4"/>
    </row>
    <row r="137" spans="1:73" ht="12.75" x14ac:dyDescent="0.2">
      <c r="A137" s="68" t="s">
        <v>2</v>
      </c>
      <c r="B137" s="85"/>
      <c r="C137" s="85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4"/>
      <c r="O137" s="82"/>
      <c r="P137" s="82"/>
      <c r="Q137" s="82"/>
      <c r="R137" s="63"/>
      <c r="S137" s="63"/>
      <c r="T137" s="63"/>
      <c r="U137" s="63"/>
      <c r="V137" s="63"/>
      <c r="W137" s="63"/>
      <c r="X137" s="63"/>
      <c r="Y137" s="82"/>
      <c r="Z137" s="82"/>
      <c r="AA137" s="82"/>
      <c r="AB137" s="82"/>
      <c r="AC137" s="82"/>
      <c r="AD137" s="82"/>
      <c r="AE137" s="82"/>
      <c r="AF137" s="63" t="str">
        <f t="shared" si="0"/>
        <v/>
      </c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63"/>
      <c r="BR137" s="82"/>
      <c r="BS137" s="82"/>
      <c r="BT137" s="82"/>
      <c r="BU137" s="4"/>
    </row>
    <row r="138" spans="1:73" ht="12.75" x14ac:dyDescent="0.2">
      <c r="A138" s="68" t="s">
        <v>2</v>
      </c>
      <c r="B138" s="85"/>
      <c r="C138" s="85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4"/>
      <c r="O138" s="82"/>
      <c r="P138" s="82"/>
      <c r="Q138" s="82"/>
      <c r="R138" s="63"/>
      <c r="S138" s="63"/>
      <c r="T138" s="63"/>
      <c r="U138" s="63"/>
      <c r="V138" s="63"/>
      <c r="W138" s="63"/>
      <c r="X138" s="63"/>
      <c r="Y138" s="82"/>
      <c r="Z138" s="82"/>
      <c r="AA138" s="82"/>
      <c r="AB138" s="82"/>
      <c r="AC138" s="82"/>
      <c r="AD138" s="82"/>
      <c r="AE138" s="82"/>
      <c r="AF138" s="63" t="str">
        <f t="shared" si="0"/>
        <v/>
      </c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63"/>
      <c r="BR138" s="82"/>
      <c r="BS138" s="82"/>
      <c r="BT138" s="82"/>
      <c r="BU138" s="4"/>
    </row>
    <row r="139" spans="1:73" ht="12.75" x14ac:dyDescent="0.2">
      <c r="A139" s="68" t="s">
        <v>2</v>
      </c>
      <c r="B139" s="85"/>
      <c r="C139" s="85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4"/>
      <c r="O139" s="82"/>
      <c r="P139" s="82"/>
      <c r="Q139" s="82"/>
      <c r="R139" s="63"/>
      <c r="S139" s="63"/>
      <c r="T139" s="63"/>
      <c r="U139" s="63"/>
      <c r="V139" s="63"/>
      <c r="W139" s="63"/>
      <c r="X139" s="63"/>
      <c r="Y139" s="82"/>
      <c r="Z139" s="82"/>
      <c r="AA139" s="82"/>
      <c r="AB139" s="82"/>
      <c r="AC139" s="82"/>
      <c r="AD139" s="82"/>
      <c r="AE139" s="82"/>
      <c r="AF139" s="63" t="str">
        <f t="shared" si="0"/>
        <v/>
      </c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63"/>
      <c r="BR139" s="82"/>
      <c r="BS139" s="82"/>
      <c r="BT139" s="82"/>
      <c r="BU139" s="4"/>
    </row>
    <row r="140" spans="1:73" ht="12.75" x14ac:dyDescent="0.2">
      <c r="A140" s="68" t="s">
        <v>2</v>
      </c>
      <c r="B140" s="85"/>
      <c r="C140" s="85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4"/>
      <c r="O140" s="82"/>
      <c r="P140" s="82"/>
      <c r="Q140" s="82"/>
      <c r="R140" s="63"/>
      <c r="S140" s="63"/>
      <c r="T140" s="63"/>
      <c r="U140" s="63"/>
      <c r="V140" s="63"/>
      <c r="W140" s="63"/>
      <c r="X140" s="63"/>
      <c r="Y140" s="82"/>
      <c r="Z140" s="82"/>
      <c r="AA140" s="82"/>
      <c r="AB140" s="82"/>
      <c r="AC140" s="82"/>
      <c r="AD140" s="82"/>
      <c r="AE140" s="82"/>
      <c r="AF140" s="63" t="str">
        <f t="shared" si="0"/>
        <v/>
      </c>
      <c r="AG140" s="82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63"/>
      <c r="BR140" s="82"/>
      <c r="BS140" s="82"/>
      <c r="BT140" s="82"/>
      <c r="BU140" s="4"/>
    </row>
    <row r="141" spans="1:73" ht="12.75" x14ac:dyDescent="0.2">
      <c r="A141" s="68" t="s">
        <v>2</v>
      </c>
      <c r="B141" s="85"/>
      <c r="C141" s="85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4"/>
      <c r="O141" s="82"/>
      <c r="P141" s="82"/>
      <c r="Q141" s="82"/>
      <c r="R141" s="63"/>
      <c r="S141" s="63"/>
      <c r="T141" s="63"/>
      <c r="U141" s="63"/>
      <c r="V141" s="63"/>
      <c r="W141" s="63"/>
      <c r="X141" s="63"/>
      <c r="Y141" s="82"/>
      <c r="Z141" s="82"/>
      <c r="AA141" s="82"/>
      <c r="AB141" s="82"/>
      <c r="AC141" s="82"/>
      <c r="AD141" s="82"/>
      <c r="AE141" s="82"/>
      <c r="AF141" s="63" t="str">
        <f t="shared" si="0"/>
        <v/>
      </c>
      <c r="AG141" s="82"/>
      <c r="AH141" s="82"/>
      <c r="AI141" s="82"/>
      <c r="AJ141" s="82"/>
      <c r="AK141" s="82"/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63"/>
      <c r="BR141" s="82"/>
      <c r="BS141" s="82"/>
      <c r="BT141" s="82"/>
      <c r="BU141" s="4"/>
    </row>
    <row r="142" spans="1:73" ht="12.75" x14ac:dyDescent="0.2">
      <c r="A142" s="68" t="s">
        <v>2</v>
      </c>
      <c r="B142" s="85"/>
      <c r="C142" s="85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4"/>
      <c r="O142" s="82"/>
      <c r="P142" s="82"/>
      <c r="Q142" s="82"/>
      <c r="R142" s="63"/>
      <c r="S142" s="63"/>
      <c r="T142" s="63"/>
      <c r="U142" s="63"/>
      <c r="V142" s="63"/>
      <c r="W142" s="63"/>
      <c r="X142" s="63"/>
      <c r="Y142" s="82"/>
      <c r="Z142" s="82"/>
      <c r="AA142" s="82"/>
      <c r="AB142" s="82"/>
      <c r="AC142" s="82"/>
      <c r="AD142" s="82"/>
      <c r="AE142" s="82"/>
      <c r="AF142" s="63" t="str">
        <f t="shared" si="0"/>
        <v/>
      </c>
      <c r="AG142" s="82"/>
      <c r="AH142" s="82"/>
      <c r="AI142" s="82"/>
      <c r="AJ142" s="82"/>
      <c r="AK142" s="82"/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2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63"/>
      <c r="BR142" s="82"/>
      <c r="BS142" s="82"/>
      <c r="BT142" s="82"/>
      <c r="BU142" s="4"/>
    </row>
    <row r="143" spans="1:73" ht="12.75" x14ac:dyDescent="0.2">
      <c r="A143" s="68" t="s">
        <v>2</v>
      </c>
      <c r="B143" s="85"/>
      <c r="C143" s="85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4"/>
      <c r="O143" s="82"/>
      <c r="P143" s="82"/>
      <c r="Q143" s="82"/>
      <c r="R143" s="63"/>
      <c r="S143" s="63"/>
      <c r="T143" s="63"/>
      <c r="U143" s="63"/>
      <c r="V143" s="63"/>
      <c r="W143" s="63"/>
      <c r="X143" s="63"/>
      <c r="Y143" s="82"/>
      <c r="Z143" s="82"/>
      <c r="AA143" s="82"/>
      <c r="AB143" s="82"/>
      <c r="AC143" s="82"/>
      <c r="AD143" s="82"/>
      <c r="AE143" s="82"/>
      <c r="AF143" s="63" t="str">
        <f t="shared" si="0"/>
        <v/>
      </c>
      <c r="AG143" s="82"/>
      <c r="AH143" s="82"/>
      <c r="AI143" s="82"/>
      <c r="AJ143" s="82"/>
      <c r="AK143" s="82"/>
      <c r="AL143" s="82"/>
      <c r="AM143" s="82"/>
      <c r="AN143" s="82"/>
      <c r="AO143" s="82"/>
      <c r="AP143" s="82"/>
      <c r="AQ143" s="82"/>
      <c r="AR143" s="82"/>
      <c r="AS143" s="82"/>
      <c r="AT143" s="82"/>
      <c r="AU143" s="82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63"/>
      <c r="BR143" s="82"/>
      <c r="BS143" s="82"/>
      <c r="BT143" s="82"/>
      <c r="BU143" s="4"/>
    </row>
    <row r="144" spans="1:73" ht="12.75" x14ac:dyDescent="0.2">
      <c r="A144" s="68" t="s">
        <v>2</v>
      </c>
      <c r="B144" s="85"/>
      <c r="C144" s="85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4"/>
      <c r="O144" s="82"/>
      <c r="P144" s="82"/>
      <c r="Q144" s="82"/>
      <c r="R144" s="63"/>
      <c r="S144" s="63"/>
      <c r="T144" s="63"/>
      <c r="U144" s="63"/>
      <c r="V144" s="63"/>
      <c r="W144" s="63"/>
      <c r="X144" s="63"/>
      <c r="Y144" s="82"/>
      <c r="Z144" s="82"/>
      <c r="AA144" s="82"/>
      <c r="AB144" s="82"/>
      <c r="AC144" s="82"/>
      <c r="AD144" s="82"/>
      <c r="AE144" s="82"/>
      <c r="AF144" s="63" t="str">
        <f t="shared" si="0"/>
        <v/>
      </c>
      <c r="AG144" s="82"/>
      <c r="AH144" s="82"/>
      <c r="AI144" s="82"/>
      <c r="AJ144" s="82"/>
      <c r="AK144" s="82"/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63"/>
      <c r="BR144" s="82"/>
      <c r="BS144" s="82"/>
      <c r="BT144" s="82"/>
      <c r="BU144" s="4"/>
    </row>
    <row r="145" spans="1:73" ht="12.75" x14ac:dyDescent="0.2">
      <c r="A145" s="68" t="s">
        <v>2</v>
      </c>
      <c r="B145" s="85"/>
      <c r="C145" s="85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4"/>
      <c r="O145" s="82"/>
      <c r="P145" s="82"/>
      <c r="Q145" s="82"/>
      <c r="R145" s="63"/>
      <c r="S145" s="63"/>
      <c r="T145" s="63"/>
      <c r="U145" s="63"/>
      <c r="V145" s="63"/>
      <c r="W145" s="63"/>
      <c r="X145" s="63"/>
      <c r="Y145" s="82"/>
      <c r="Z145" s="82"/>
      <c r="AA145" s="82"/>
      <c r="AB145" s="82"/>
      <c r="AC145" s="82"/>
      <c r="AD145" s="82"/>
      <c r="AE145" s="82"/>
      <c r="AF145" s="63" t="str">
        <f t="shared" si="0"/>
        <v/>
      </c>
      <c r="AG145" s="82"/>
      <c r="AH145" s="82"/>
      <c r="AI145" s="82"/>
      <c r="AJ145" s="82"/>
      <c r="AK145" s="82"/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63"/>
      <c r="BR145" s="82"/>
      <c r="BS145" s="82"/>
      <c r="BT145" s="82"/>
      <c r="BU145" s="4"/>
    </row>
    <row r="146" spans="1:73" ht="12.75" x14ac:dyDescent="0.2">
      <c r="A146" s="68" t="s">
        <v>2</v>
      </c>
      <c r="B146" s="85"/>
      <c r="C146" s="85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4"/>
      <c r="O146" s="82"/>
      <c r="P146" s="82"/>
      <c r="Q146" s="82"/>
      <c r="R146" s="63"/>
      <c r="S146" s="63"/>
      <c r="T146" s="63"/>
      <c r="U146" s="63"/>
      <c r="V146" s="63"/>
      <c r="W146" s="63"/>
      <c r="X146" s="63"/>
      <c r="Y146" s="82"/>
      <c r="Z146" s="82"/>
      <c r="AA146" s="82"/>
      <c r="AB146" s="82"/>
      <c r="AC146" s="82"/>
      <c r="AD146" s="82"/>
      <c r="AE146" s="82"/>
      <c r="AF146" s="63" t="str">
        <f t="shared" si="0"/>
        <v/>
      </c>
      <c r="AG146" s="82"/>
      <c r="AH146" s="82"/>
      <c r="AI146" s="82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63"/>
      <c r="BR146" s="82"/>
      <c r="BS146" s="82"/>
      <c r="BT146" s="82"/>
      <c r="BU146" s="4"/>
    </row>
    <row r="147" spans="1:73" ht="12.75" x14ac:dyDescent="0.2">
      <c r="A147" s="68" t="s">
        <v>2</v>
      </c>
      <c r="B147" s="85"/>
      <c r="C147" s="85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4"/>
      <c r="O147" s="82"/>
      <c r="P147" s="82"/>
      <c r="Q147" s="82"/>
      <c r="R147" s="63"/>
      <c r="S147" s="63"/>
      <c r="T147" s="63"/>
      <c r="U147" s="63"/>
      <c r="V147" s="63"/>
      <c r="W147" s="63"/>
      <c r="X147" s="63"/>
      <c r="Y147" s="82"/>
      <c r="Z147" s="82"/>
      <c r="AA147" s="82"/>
      <c r="AB147" s="82"/>
      <c r="AC147" s="82"/>
      <c r="AD147" s="82"/>
      <c r="AE147" s="82"/>
      <c r="AF147" s="63" t="str">
        <f t="shared" si="0"/>
        <v/>
      </c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63"/>
      <c r="BR147" s="82"/>
      <c r="BS147" s="82"/>
      <c r="BT147" s="82"/>
      <c r="BU147" s="4"/>
    </row>
    <row r="148" spans="1:73" ht="12.75" x14ac:dyDescent="0.2">
      <c r="A148" s="68" t="s">
        <v>2</v>
      </c>
      <c r="B148" s="85"/>
      <c r="C148" s="85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4"/>
      <c r="O148" s="82"/>
      <c r="P148" s="82"/>
      <c r="Q148" s="82"/>
      <c r="R148" s="63"/>
      <c r="S148" s="63"/>
      <c r="T148" s="63"/>
      <c r="U148" s="63"/>
      <c r="V148" s="63"/>
      <c r="W148" s="63"/>
      <c r="X148" s="63"/>
      <c r="Y148" s="82"/>
      <c r="Z148" s="82"/>
      <c r="AA148" s="82"/>
      <c r="AB148" s="82"/>
      <c r="AC148" s="82"/>
      <c r="AD148" s="82"/>
      <c r="AE148" s="82"/>
      <c r="AF148" s="63" t="str">
        <f t="shared" si="0"/>
        <v/>
      </c>
      <c r="AG148" s="82"/>
      <c r="AH148" s="82"/>
      <c r="AI148" s="82"/>
      <c r="AJ148" s="82"/>
      <c r="AK148" s="82"/>
      <c r="AL148" s="82"/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63"/>
      <c r="BR148" s="82"/>
      <c r="BS148" s="82"/>
      <c r="BT148" s="82"/>
      <c r="BU148" s="4"/>
    </row>
    <row r="149" spans="1:73" ht="12.75" x14ac:dyDescent="0.2">
      <c r="A149" s="68" t="s">
        <v>2</v>
      </c>
      <c r="B149" s="85"/>
      <c r="C149" s="85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4"/>
      <c r="O149" s="82"/>
      <c r="P149" s="82"/>
      <c r="Q149" s="82"/>
      <c r="R149" s="63"/>
      <c r="S149" s="63"/>
      <c r="T149" s="63"/>
      <c r="U149" s="63"/>
      <c r="V149" s="63"/>
      <c r="W149" s="63"/>
      <c r="X149" s="63"/>
      <c r="Y149" s="82"/>
      <c r="Z149" s="82"/>
      <c r="AA149" s="82"/>
      <c r="AB149" s="82"/>
      <c r="AC149" s="82"/>
      <c r="AD149" s="82"/>
      <c r="AE149" s="82"/>
      <c r="AF149" s="63" t="str">
        <f t="shared" si="0"/>
        <v/>
      </c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63"/>
      <c r="BR149" s="82"/>
      <c r="BS149" s="82"/>
      <c r="BT149" s="82"/>
      <c r="BU149" s="4"/>
    </row>
    <row r="150" spans="1:73" ht="12.75" x14ac:dyDescent="0.2">
      <c r="A150" s="68" t="s">
        <v>2</v>
      </c>
      <c r="B150" s="85"/>
      <c r="C150" s="85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4"/>
      <c r="O150" s="82"/>
      <c r="P150" s="82"/>
      <c r="Q150" s="82"/>
      <c r="R150" s="63"/>
      <c r="S150" s="63"/>
      <c r="T150" s="63"/>
      <c r="U150" s="63"/>
      <c r="V150" s="63"/>
      <c r="W150" s="63"/>
      <c r="X150" s="63"/>
      <c r="Y150" s="82"/>
      <c r="Z150" s="82"/>
      <c r="AA150" s="82"/>
      <c r="AB150" s="82"/>
      <c r="AC150" s="82"/>
      <c r="AD150" s="82"/>
      <c r="AE150" s="82"/>
      <c r="AF150" s="63" t="str">
        <f t="shared" si="0"/>
        <v/>
      </c>
      <c r="AG150" s="82"/>
      <c r="AH150" s="82"/>
      <c r="AI150" s="82"/>
      <c r="AJ150" s="82"/>
      <c r="AK150" s="82"/>
      <c r="AL150" s="82"/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63"/>
      <c r="BR150" s="82"/>
      <c r="BS150" s="82"/>
      <c r="BT150" s="82"/>
      <c r="BU150" s="4"/>
    </row>
    <row r="151" spans="1:73" ht="12.75" x14ac:dyDescent="0.2">
      <c r="A151" s="68" t="s">
        <v>2</v>
      </c>
      <c r="B151" s="85"/>
      <c r="C151" s="85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4"/>
      <c r="O151" s="82"/>
      <c r="P151" s="82"/>
      <c r="Q151" s="82"/>
      <c r="R151" s="63"/>
      <c r="S151" s="63"/>
      <c r="T151" s="63"/>
      <c r="U151" s="63"/>
      <c r="V151" s="63"/>
      <c r="W151" s="63"/>
      <c r="X151" s="63"/>
      <c r="Y151" s="82"/>
      <c r="Z151" s="82"/>
      <c r="AA151" s="82"/>
      <c r="AB151" s="82"/>
      <c r="AC151" s="82"/>
      <c r="AD151" s="82"/>
      <c r="AE151" s="82"/>
      <c r="AF151" s="63" t="str">
        <f t="shared" si="0"/>
        <v/>
      </c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63"/>
      <c r="BR151" s="82"/>
      <c r="BS151" s="82"/>
      <c r="BT151" s="82"/>
      <c r="BU151" s="4"/>
    </row>
    <row r="152" spans="1:73" ht="12.75" x14ac:dyDescent="0.2">
      <c r="A152" s="68" t="s">
        <v>2</v>
      </c>
      <c r="B152" s="85"/>
      <c r="C152" s="85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4"/>
      <c r="O152" s="82"/>
      <c r="P152" s="82"/>
      <c r="Q152" s="82"/>
      <c r="R152" s="63"/>
      <c r="S152" s="63"/>
      <c r="T152" s="63"/>
      <c r="U152" s="63"/>
      <c r="V152" s="63"/>
      <c r="W152" s="63"/>
      <c r="X152" s="63"/>
      <c r="Y152" s="82"/>
      <c r="Z152" s="82"/>
      <c r="AA152" s="82"/>
      <c r="AB152" s="82"/>
      <c r="AC152" s="82"/>
      <c r="AD152" s="82"/>
      <c r="AE152" s="82"/>
      <c r="AF152" s="63" t="str">
        <f t="shared" si="0"/>
        <v/>
      </c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63"/>
      <c r="BR152" s="82"/>
      <c r="BS152" s="82"/>
      <c r="BT152" s="82"/>
      <c r="BU152" s="4"/>
    </row>
    <row r="153" spans="1:73" ht="12.75" x14ac:dyDescent="0.2">
      <c r="A153" s="68" t="s">
        <v>2</v>
      </c>
      <c r="B153" s="88"/>
      <c r="C153" s="88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4"/>
      <c r="O153" s="82"/>
      <c r="P153" s="82"/>
      <c r="Q153" s="82"/>
      <c r="R153" s="63"/>
      <c r="S153" s="63"/>
      <c r="T153" s="63"/>
      <c r="U153" s="63"/>
      <c r="V153" s="63"/>
      <c r="W153" s="63"/>
      <c r="X153" s="63"/>
      <c r="Y153" s="82"/>
      <c r="Z153" s="82"/>
      <c r="AA153" s="82"/>
      <c r="AB153" s="82"/>
      <c r="AC153" s="82"/>
      <c r="AD153" s="82"/>
      <c r="AE153" s="82"/>
      <c r="AF153" s="63" t="str">
        <f t="shared" si="0"/>
        <v/>
      </c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63"/>
      <c r="BR153" s="82"/>
      <c r="BS153" s="82"/>
      <c r="BT153" s="82"/>
      <c r="BU153" s="4"/>
    </row>
    <row r="154" spans="1:73" ht="12.75" x14ac:dyDescent="0.2">
      <c r="A154" s="68" t="s">
        <v>2</v>
      </c>
      <c r="B154" s="88"/>
      <c r="C154" s="88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4"/>
      <c r="O154" s="82"/>
      <c r="P154" s="82"/>
      <c r="Q154" s="82"/>
      <c r="R154" s="63"/>
      <c r="S154" s="63"/>
      <c r="T154" s="63"/>
      <c r="U154" s="63"/>
      <c r="V154" s="63"/>
      <c r="W154" s="63"/>
      <c r="X154" s="63"/>
      <c r="Y154" s="82"/>
      <c r="Z154" s="82"/>
      <c r="AA154" s="82"/>
      <c r="AB154" s="82"/>
      <c r="AC154" s="82"/>
      <c r="AD154" s="82"/>
      <c r="AE154" s="82"/>
      <c r="AF154" s="63" t="str">
        <f t="shared" si="0"/>
        <v/>
      </c>
      <c r="AG154" s="82"/>
      <c r="AH154" s="82"/>
      <c r="AI154" s="82"/>
      <c r="AJ154" s="82"/>
      <c r="AK154" s="82"/>
      <c r="AL154" s="82"/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63"/>
      <c r="BR154" s="82"/>
      <c r="BS154" s="82"/>
      <c r="BT154" s="82"/>
      <c r="BU154" s="4"/>
    </row>
    <row r="155" spans="1:73" ht="12.75" x14ac:dyDescent="0.2">
      <c r="A155" s="68" t="s">
        <v>2</v>
      </c>
      <c r="B155" s="88"/>
      <c r="C155" s="88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4"/>
      <c r="O155" s="82"/>
      <c r="P155" s="82"/>
      <c r="Q155" s="82"/>
      <c r="R155" s="63"/>
      <c r="S155" s="63"/>
      <c r="T155" s="63"/>
      <c r="U155" s="63"/>
      <c r="V155" s="63"/>
      <c r="W155" s="63"/>
      <c r="X155" s="63"/>
      <c r="Y155" s="82"/>
      <c r="Z155" s="82"/>
      <c r="AA155" s="82"/>
      <c r="AB155" s="82"/>
      <c r="AC155" s="82"/>
      <c r="AD155" s="82"/>
      <c r="AE155" s="82"/>
      <c r="AF155" s="63" t="str">
        <f t="shared" si="0"/>
        <v/>
      </c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2"/>
      <c r="BL155" s="82"/>
      <c r="BM155" s="82"/>
      <c r="BN155" s="82"/>
      <c r="BO155" s="82"/>
      <c r="BP155" s="82"/>
      <c r="BQ155" s="63"/>
      <c r="BR155" s="82"/>
      <c r="BS155" s="82"/>
      <c r="BT155" s="82"/>
      <c r="BU155" s="4"/>
    </row>
    <row r="156" spans="1:73" ht="12.75" x14ac:dyDescent="0.2">
      <c r="A156" s="68" t="s">
        <v>2</v>
      </c>
      <c r="B156" s="88"/>
      <c r="C156" s="88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4"/>
      <c r="O156" s="82"/>
      <c r="P156" s="82"/>
      <c r="Q156" s="82"/>
      <c r="R156" s="63"/>
      <c r="S156" s="63"/>
      <c r="T156" s="63"/>
      <c r="U156" s="63"/>
      <c r="V156" s="63"/>
      <c r="W156" s="63"/>
      <c r="X156" s="63"/>
      <c r="Y156" s="82"/>
      <c r="Z156" s="82"/>
      <c r="AA156" s="82"/>
      <c r="AB156" s="82"/>
      <c r="AC156" s="82"/>
      <c r="AD156" s="82"/>
      <c r="AE156" s="82"/>
      <c r="AF156" s="63" t="str">
        <f t="shared" si="0"/>
        <v/>
      </c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2"/>
      <c r="BK156" s="82"/>
      <c r="BL156" s="82"/>
      <c r="BM156" s="82"/>
      <c r="BN156" s="82"/>
      <c r="BO156" s="82"/>
      <c r="BP156" s="82"/>
      <c r="BQ156" s="63"/>
      <c r="BR156" s="82"/>
      <c r="BS156" s="82"/>
      <c r="BT156" s="82"/>
      <c r="BU156" s="4"/>
    </row>
    <row r="157" spans="1:73" ht="12.75" x14ac:dyDescent="0.2">
      <c r="A157" s="68" t="s">
        <v>2</v>
      </c>
      <c r="B157" s="88"/>
      <c r="C157" s="88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4"/>
      <c r="O157" s="82"/>
      <c r="P157" s="82"/>
      <c r="Q157" s="82"/>
      <c r="R157" s="63"/>
      <c r="S157" s="63"/>
      <c r="T157" s="63"/>
      <c r="U157" s="63"/>
      <c r="V157" s="63"/>
      <c r="W157" s="63"/>
      <c r="X157" s="63"/>
      <c r="Y157" s="82"/>
      <c r="Z157" s="82"/>
      <c r="AA157" s="82"/>
      <c r="AB157" s="82"/>
      <c r="AC157" s="82"/>
      <c r="AD157" s="82"/>
      <c r="AE157" s="82"/>
      <c r="AF157" s="63" t="str">
        <f t="shared" si="0"/>
        <v/>
      </c>
      <c r="AG157" s="82"/>
      <c r="AH157" s="82"/>
      <c r="AI157" s="82"/>
      <c r="AJ157" s="82"/>
      <c r="AK157" s="82"/>
      <c r="AL157" s="82"/>
      <c r="AM157" s="82"/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2"/>
      <c r="BL157" s="82"/>
      <c r="BM157" s="82"/>
      <c r="BN157" s="82"/>
      <c r="BO157" s="82"/>
      <c r="BP157" s="82"/>
      <c r="BQ157" s="63"/>
      <c r="BR157" s="82"/>
      <c r="BS157" s="82"/>
      <c r="BT157" s="82"/>
      <c r="BU157" s="4"/>
    </row>
    <row r="158" spans="1:73" ht="12.75" x14ac:dyDescent="0.2">
      <c r="A158" s="68" t="s">
        <v>2</v>
      </c>
      <c r="B158" s="88"/>
      <c r="C158" s="88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4"/>
      <c r="O158" s="82"/>
      <c r="P158" s="82"/>
      <c r="Q158" s="82"/>
      <c r="R158" s="63"/>
      <c r="S158" s="63"/>
      <c r="T158" s="63"/>
      <c r="U158" s="63"/>
      <c r="V158" s="63"/>
      <c r="W158" s="63"/>
      <c r="X158" s="63"/>
      <c r="Y158" s="82"/>
      <c r="Z158" s="82"/>
      <c r="AA158" s="82"/>
      <c r="AB158" s="82"/>
      <c r="AC158" s="82"/>
      <c r="AD158" s="82"/>
      <c r="AE158" s="82"/>
      <c r="AF158" s="63" t="str">
        <f t="shared" si="0"/>
        <v/>
      </c>
      <c r="AG158" s="82"/>
      <c r="AH158" s="82"/>
      <c r="AI158" s="82"/>
      <c r="AJ158" s="82"/>
      <c r="AK158" s="82"/>
      <c r="AL158" s="82"/>
      <c r="AM158" s="82"/>
      <c r="AN158" s="82"/>
      <c r="AO158" s="82"/>
      <c r="AP158" s="82"/>
      <c r="AQ158" s="82"/>
      <c r="AR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2"/>
      <c r="BL158" s="82"/>
      <c r="BM158" s="82"/>
      <c r="BN158" s="82"/>
      <c r="BO158" s="82"/>
      <c r="BP158" s="82"/>
      <c r="BQ158" s="63"/>
      <c r="BR158" s="82"/>
      <c r="BS158" s="82"/>
      <c r="BT158" s="82"/>
      <c r="BU158" s="4"/>
    </row>
    <row r="159" spans="1:73" ht="12.75" x14ac:dyDescent="0.2">
      <c r="A159" s="68" t="s">
        <v>2</v>
      </c>
      <c r="B159" s="88"/>
      <c r="C159" s="88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4"/>
      <c r="O159" s="82"/>
      <c r="P159" s="82"/>
      <c r="Q159" s="82"/>
      <c r="R159" s="63"/>
      <c r="S159" s="63"/>
      <c r="T159" s="63"/>
      <c r="U159" s="63"/>
      <c r="V159" s="63"/>
      <c r="W159" s="63"/>
      <c r="X159" s="63"/>
      <c r="Y159" s="82"/>
      <c r="Z159" s="82"/>
      <c r="AA159" s="82"/>
      <c r="AB159" s="82"/>
      <c r="AC159" s="82"/>
      <c r="AD159" s="82"/>
      <c r="AE159" s="82"/>
      <c r="AF159" s="63" t="str">
        <f t="shared" si="0"/>
        <v/>
      </c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2"/>
      <c r="BL159" s="82"/>
      <c r="BM159" s="82"/>
      <c r="BN159" s="82"/>
      <c r="BO159" s="82"/>
      <c r="BP159" s="82"/>
      <c r="BQ159" s="63"/>
      <c r="BR159" s="82"/>
      <c r="BS159" s="82"/>
      <c r="BT159" s="82"/>
      <c r="BU159" s="4"/>
    </row>
    <row r="160" spans="1:73" ht="12.75" x14ac:dyDescent="0.2">
      <c r="A160" s="68" t="s">
        <v>2</v>
      </c>
      <c r="B160" s="88"/>
      <c r="C160" s="88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4"/>
      <c r="O160" s="82"/>
      <c r="P160" s="82"/>
      <c r="Q160" s="82"/>
      <c r="R160" s="63"/>
      <c r="S160" s="63"/>
      <c r="T160" s="63"/>
      <c r="U160" s="63"/>
      <c r="V160" s="63"/>
      <c r="W160" s="63"/>
      <c r="X160" s="63"/>
      <c r="Y160" s="82"/>
      <c r="Z160" s="82"/>
      <c r="AA160" s="82"/>
      <c r="AB160" s="82"/>
      <c r="AC160" s="82"/>
      <c r="AD160" s="82"/>
      <c r="AE160" s="82"/>
      <c r="AF160" s="63" t="str">
        <f t="shared" si="0"/>
        <v/>
      </c>
      <c r="AG160" s="82"/>
      <c r="AH160" s="82"/>
      <c r="AI160" s="82"/>
      <c r="AJ160" s="82"/>
      <c r="AK160" s="82"/>
      <c r="AL160" s="82"/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63"/>
      <c r="BR160" s="82"/>
      <c r="BS160" s="82"/>
      <c r="BT160" s="82"/>
      <c r="BU160" s="4"/>
    </row>
    <row r="161" spans="1:73" ht="12.75" x14ac:dyDescent="0.2">
      <c r="A161" s="68" t="s">
        <v>2</v>
      </c>
      <c r="B161" s="88"/>
      <c r="C161" s="88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4"/>
      <c r="O161" s="82"/>
      <c r="P161" s="82"/>
      <c r="Q161" s="82"/>
      <c r="R161" s="63"/>
      <c r="S161" s="63"/>
      <c r="T161" s="63"/>
      <c r="U161" s="63"/>
      <c r="V161" s="63"/>
      <c r="W161" s="63"/>
      <c r="X161" s="63"/>
      <c r="Y161" s="82"/>
      <c r="Z161" s="82"/>
      <c r="AA161" s="82"/>
      <c r="AB161" s="82"/>
      <c r="AC161" s="82"/>
      <c r="AD161" s="82"/>
      <c r="AE161" s="82"/>
      <c r="AF161" s="63" t="str">
        <f t="shared" si="0"/>
        <v/>
      </c>
      <c r="AG161" s="82"/>
      <c r="AH161" s="82"/>
      <c r="AI161" s="82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  <c r="BN161" s="82"/>
      <c r="BO161" s="82"/>
      <c r="BP161" s="82"/>
      <c r="BQ161" s="63"/>
      <c r="BR161" s="82"/>
      <c r="BS161" s="82"/>
      <c r="BT161" s="82"/>
      <c r="BU161" s="4"/>
    </row>
    <row r="162" spans="1:73" ht="12.75" x14ac:dyDescent="0.2">
      <c r="A162" s="68" t="s">
        <v>2</v>
      </c>
      <c r="B162" s="88"/>
      <c r="C162" s="88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4"/>
      <c r="O162" s="82"/>
      <c r="P162" s="82"/>
      <c r="Q162" s="82"/>
      <c r="R162" s="63"/>
      <c r="S162" s="63"/>
      <c r="T162" s="63"/>
      <c r="U162" s="63"/>
      <c r="V162" s="63"/>
      <c r="W162" s="63"/>
      <c r="X162" s="63"/>
      <c r="Y162" s="82"/>
      <c r="Z162" s="82"/>
      <c r="AA162" s="82"/>
      <c r="AB162" s="82"/>
      <c r="AC162" s="82"/>
      <c r="AD162" s="82"/>
      <c r="AE162" s="82"/>
      <c r="AF162" s="63" t="str">
        <f t="shared" si="0"/>
        <v/>
      </c>
      <c r="AG162" s="82"/>
      <c r="AH162" s="82"/>
      <c r="AI162" s="82"/>
      <c r="AJ162" s="82"/>
      <c r="AK162" s="82"/>
      <c r="AL162" s="82"/>
      <c r="AM162" s="82"/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  <c r="BN162" s="82"/>
      <c r="BO162" s="82"/>
      <c r="BP162" s="82"/>
      <c r="BQ162" s="63"/>
      <c r="BR162" s="82"/>
      <c r="BS162" s="82"/>
      <c r="BT162" s="82"/>
      <c r="BU162" s="4"/>
    </row>
    <row r="163" spans="1:73" ht="12.75" x14ac:dyDescent="0.2">
      <c r="A163" s="68" t="s">
        <v>2</v>
      </c>
      <c r="B163" s="88"/>
      <c r="C163" s="88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4"/>
      <c r="O163" s="82"/>
      <c r="P163" s="82"/>
      <c r="Q163" s="82"/>
      <c r="R163" s="63"/>
      <c r="S163" s="63"/>
      <c r="T163" s="63"/>
      <c r="U163" s="63"/>
      <c r="V163" s="63"/>
      <c r="W163" s="63"/>
      <c r="X163" s="63"/>
      <c r="Y163" s="82"/>
      <c r="Z163" s="82"/>
      <c r="AA163" s="82"/>
      <c r="AB163" s="82"/>
      <c r="AC163" s="82"/>
      <c r="AD163" s="82"/>
      <c r="AE163" s="82"/>
      <c r="AF163" s="63" t="str">
        <f t="shared" si="0"/>
        <v/>
      </c>
      <c r="AG163" s="82"/>
      <c r="AH163" s="82"/>
      <c r="AI163" s="82"/>
      <c r="AJ163" s="82"/>
      <c r="AK163" s="82"/>
      <c r="AL163" s="82"/>
      <c r="AM163" s="82"/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  <c r="BN163" s="82"/>
      <c r="BO163" s="82"/>
      <c r="BP163" s="82"/>
      <c r="BQ163" s="63"/>
      <c r="BR163" s="82"/>
      <c r="BS163" s="82"/>
      <c r="BT163" s="82"/>
      <c r="BU163" s="4"/>
    </row>
    <row r="164" spans="1:73" ht="12.75" x14ac:dyDescent="0.2">
      <c r="A164" s="68" t="s">
        <v>2</v>
      </c>
      <c r="B164" s="88"/>
      <c r="C164" s="88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4"/>
      <c r="O164" s="82"/>
      <c r="P164" s="82"/>
      <c r="Q164" s="82"/>
      <c r="R164" s="63"/>
      <c r="S164" s="63"/>
      <c r="T164" s="63"/>
      <c r="U164" s="63"/>
      <c r="V164" s="63"/>
      <c r="W164" s="63"/>
      <c r="X164" s="63"/>
      <c r="Y164" s="82"/>
      <c r="Z164" s="82"/>
      <c r="AA164" s="82"/>
      <c r="AB164" s="82"/>
      <c r="AC164" s="82"/>
      <c r="AD164" s="82"/>
      <c r="AE164" s="82"/>
      <c r="AF164" s="63" t="str">
        <f t="shared" si="0"/>
        <v/>
      </c>
      <c r="AG164" s="82"/>
      <c r="AH164" s="82"/>
      <c r="AI164" s="82"/>
      <c r="AJ164" s="82"/>
      <c r="AK164" s="82"/>
      <c r="AL164" s="82"/>
      <c r="AM164" s="82"/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  <c r="BN164" s="82"/>
      <c r="BO164" s="82"/>
      <c r="BP164" s="82"/>
      <c r="BQ164" s="63"/>
      <c r="BR164" s="82"/>
      <c r="BS164" s="82"/>
      <c r="BT164" s="82"/>
      <c r="BU164" s="4"/>
    </row>
    <row r="165" spans="1:73" ht="12.75" x14ac:dyDescent="0.2">
      <c r="A165" s="68" t="s">
        <v>2</v>
      </c>
      <c r="B165" s="88"/>
      <c r="C165" s="88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4"/>
      <c r="O165" s="82"/>
      <c r="P165" s="82"/>
      <c r="Q165" s="82"/>
      <c r="R165" s="63"/>
      <c r="S165" s="63"/>
      <c r="T165" s="63"/>
      <c r="U165" s="63"/>
      <c r="V165" s="63"/>
      <c r="W165" s="63"/>
      <c r="X165" s="63"/>
      <c r="Y165" s="82"/>
      <c r="Z165" s="82"/>
      <c r="AA165" s="82"/>
      <c r="AB165" s="82"/>
      <c r="AC165" s="82"/>
      <c r="AD165" s="82"/>
      <c r="AE165" s="82"/>
      <c r="AF165" s="63" t="str">
        <f t="shared" si="0"/>
        <v/>
      </c>
      <c r="AG165" s="82"/>
      <c r="AH165" s="82"/>
      <c r="AI165" s="82"/>
      <c r="AJ165" s="82"/>
      <c r="AK165" s="82"/>
      <c r="AL165" s="82"/>
      <c r="AM165" s="82"/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63"/>
      <c r="BR165" s="82"/>
      <c r="BS165" s="82"/>
      <c r="BT165" s="82"/>
      <c r="BU165" s="4"/>
    </row>
    <row r="166" spans="1:73" ht="12.75" x14ac:dyDescent="0.2">
      <c r="A166" s="68" t="s">
        <v>2</v>
      </c>
      <c r="B166" s="88"/>
      <c r="C166" s="88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4"/>
      <c r="O166" s="82"/>
      <c r="P166" s="82"/>
      <c r="Q166" s="82"/>
      <c r="R166" s="63"/>
      <c r="S166" s="63"/>
      <c r="T166" s="63"/>
      <c r="U166" s="63"/>
      <c r="V166" s="63"/>
      <c r="W166" s="63"/>
      <c r="X166" s="63"/>
      <c r="Y166" s="82"/>
      <c r="Z166" s="82"/>
      <c r="AA166" s="82"/>
      <c r="AB166" s="82"/>
      <c r="AC166" s="82"/>
      <c r="AD166" s="82"/>
      <c r="AE166" s="82"/>
      <c r="AF166" s="63" t="str">
        <f t="shared" si="0"/>
        <v/>
      </c>
      <c r="AG166" s="82"/>
      <c r="AH166" s="82"/>
      <c r="AI166" s="82"/>
      <c r="AJ166" s="82"/>
      <c r="AK166" s="82"/>
      <c r="AL166" s="82"/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63"/>
      <c r="BR166" s="82"/>
      <c r="BS166" s="82"/>
      <c r="BT166" s="82"/>
      <c r="BU166" s="4"/>
    </row>
    <row r="167" spans="1:73" ht="12.75" x14ac:dyDescent="0.2">
      <c r="A167" s="68" t="s">
        <v>2</v>
      </c>
      <c r="B167" s="88"/>
      <c r="C167" s="88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4"/>
      <c r="O167" s="82"/>
      <c r="P167" s="82"/>
      <c r="Q167" s="82"/>
      <c r="R167" s="63"/>
      <c r="S167" s="63"/>
      <c r="T167" s="63"/>
      <c r="U167" s="63"/>
      <c r="V167" s="63"/>
      <c r="W167" s="63"/>
      <c r="X167" s="63"/>
      <c r="Y167" s="82"/>
      <c r="Z167" s="82"/>
      <c r="AA167" s="82"/>
      <c r="AB167" s="82"/>
      <c r="AC167" s="82"/>
      <c r="AD167" s="82"/>
      <c r="AE167" s="82"/>
      <c r="AF167" s="63" t="str">
        <f t="shared" si="0"/>
        <v/>
      </c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63"/>
      <c r="BR167" s="82"/>
      <c r="BS167" s="82"/>
      <c r="BT167" s="82"/>
      <c r="BU167" s="4"/>
    </row>
    <row r="168" spans="1:73" ht="12.75" x14ac:dyDescent="0.2">
      <c r="A168" s="68" t="s">
        <v>2</v>
      </c>
      <c r="B168" s="88"/>
      <c r="C168" s="88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4"/>
      <c r="O168" s="82"/>
      <c r="P168" s="82"/>
      <c r="Q168" s="82"/>
      <c r="R168" s="63"/>
      <c r="S168" s="63"/>
      <c r="T168" s="63"/>
      <c r="U168" s="63"/>
      <c r="V168" s="63"/>
      <c r="W168" s="63"/>
      <c r="X168" s="63"/>
      <c r="Y168" s="82"/>
      <c r="Z168" s="82"/>
      <c r="AA168" s="82"/>
      <c r="AB168" s="82"/>
      <c r="AC168" s="82"/>
      <c r="AD168" s="82"/>
      <c r="AE168" s="82"/>
      <c r="AF168" s="63" t="str">
        <f t="shared" si="0"/>
        <v/>
      </c>
      <c r="AG168" s="82"/>
      <c r="AH168" s="82"/>
      <c r="AI168" s="82"/>
      <c r="AJ168" s="82"/>
      <c r="AK168" s="82"/>
      <c r="AL168" s="82"/>
      <c r="AM168" s="82"/>
      <c r="AN168" s="82"/>
      <c r="AO168" s="82"/>
      <c r="AP168" s="82"/>
      <c r="AQ168" s="82"/>
      <c r="AR168" s="82"/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63"/>
      <c r="BR168" s="82"/>
      <c r="BS168" s="82"/>
      <c r="BT168" s="82"/>
      <c r="BU168" s="4"/>
    </row>
    <row r="169" spans="1:73" ht="12.75" x14ac:dyDescent="0.2">
      <c r="A169" s="68" t="s">
        <v>2</v>
      </c>
      <c r="B169" s="88"/>
      <c r="C169" s="88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4"/>
      <c r="O169" s="82"/>
      <c r="P169" s="82"/>
      <c r="Q169" s="82"/>
      <c r="R169" s="63"/>
      <c r="S169" s="63"/>
      <c r="T169" s="63"/>
      <c r="U169" s="63"/>
      <c r="V169" s="63"/>
      <c r="W169" s="63"/>
      <c r="X169" s="63"/>
      <c r="Y169" s="82"/>
      <c r="Z169" s="82"/>
      <c r="AA169" s="82"/>
      <c r="AB169" s="82"/>
      <c r="AC169" s="82"/>
      <c r="AD169" s="82"/>
      <c r="AE169" s="82"/>
      <c r="AF169" s="63" t="str">
        <f t="shared" si="0"/>
        <v/>
      </c>
      <c r="AG169" s="82"/>
      <c r="AH169" s="82"/>
      <c r="AI169" s="82"/>
      <c r="AJ169" s="82"/>
      <c r="AK169" s="82"/>
      <c r="AL169" s="82"/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63"/>
      <c r="BR169" s="82"/>
      <c r="BS169" s="82"/>
      <c r="BT169" s="82"/>
      <c r="BU169" s="4"/>
    </row>
    <row r="170" spans="1:73" ht="12.75" x14ac:dyDescent="0.2">
      <c r="A170" s="68" t="s">
        <v>2</v>
      </c>
      <c r="B170" s="88"/>
      <c r="C170" s="88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4"/>
      <c r="O170" s="82"/>
      <c r="P170" s="82"/>
      <c r="Q170" s="82"/>
      <c r="R170" s="63"/>
      <c r="S170" s="63"/>
      <c r="T170" s="63"/>
      <c r="U170" s="63"/>
      <c r="V170" s="63"/>
      <c r="W170" s="63"/>
      <c r="X170" s="63"/>
      <c r="Y170" s="82"/>
      <c r="Z170" s="82"/>
      <c r="AA170" s="82"/>
      <c r="AB170" s="82"/>
      <c r="AC170" s="82"/>
      <c r="AD170" s="82"/>
      <c r="AE170" s="82"/>
      <c r="AF170" s="63" t="str">
        <f t="shared" si="0"/>
        <v/>
      </c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63"/>
      <c r="BR170" s="82"/>
      <c r="BS170" s="82"/>
      <c r="BT170" s="82"/>
      <c r="BU170" s="4"/>
    </row>
    <row r="171" spans="1:73" ht="12.75" x14ac:dyDescent="0.2">
      <c r="A171" s="68" t="s">
        <v>2</v>
      </c>
      <c r="B171" s="88"/>
      <c r="C171" s="88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4"/>
      <c r="O171" s="82"/>
      <c r="P171" s="82"/>
      <c r="Q171" s="82"/>
      <c r="R171" s="63"/>
      <c r="S171" s="63"/>
      <c r="T171" s="63"/>
      <c r="U171" s="63"/>
      <c r="V171" s="63"/>
      <c r="W171" s="63"/>
      <c r="X171" s="63"/>
      <c r="Y171" s="82"/>
      <c r="Z171" s="82"/>
      <c r="AA171" s="82"/>
      <c r="AB171" s="82"/>
      <c r="AC171" s="82"/>
      <c r="AD171" s="82"/>
      <c r="AE171" s="82"/>
      <c r="AF171" s="63" t="str">
        <f t="shared" si="0"/>
        <v/>
      </c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63"/>
      <c r="BR171" s="82"/>
      <c r="BS171" s="82"/>
      <c r="BT171" s="82"/>
      <c r="BU171" s="4"/>
    </row>
    <row r="172" spans="1:73" ht="12.75" x14ac:dyDescent="0.2">
      <c r="A172" s="68" t="s">
        <v>2</v>
      </c>
      <c r="B172" s="88"/>
      <c r="C172" s="88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4"/>
      <c r="O172" s="82"/>
      <c r="P172" s="82"/>
      <c r="Q172" s="82"/>
      <c r="R172" s="63"/>
      <c r="S172" s="63"/>
      <c r="T172" s="63"/>
      <c r="U172" s="63"/>
      <c r="V172" s="63"/>
      <c r="W172" s="63"/>
      <c r="X172" s="63"/>
      <c r="Y172" s="82"/>
      <c r="Z172" s="82"/>
      <c r="AA172" s="82"/>
      <c r="AB172" s="82"/>
      <c r="AC172" s="82"/>
      <c r="AD172" s="82"/>
      <c r="AE172" s="82"/>
      <c r="AF172" s="63" t="str">
        <f t="shared" si="0"/>
        <v/>
      </c>
      <c r="AG172" s="82"/>
      <c r="AH172" s="82"/>
      <c r="AI172" s="82"/>
      <c r="AJ172" s="82"/>
      <c r="AK172" s="82"/>
      <c r="AL172" s="82"/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63"/>
      <c r="BR172" s="82"/>
      <c r="BS172" s="82"/>
      <c r="BT172" s="82"/>
      <c r="BU172" s="4"/>
    </row>
    <row r="173" spans="1:73" ht="12.75" x14ac:dyDescent="0.2">
      <c r="A173" s="68" t="s">
        <v>2</v>
      </c>
      <c r="B173" s="85"/>
      <c r="C173" s="85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4"/>
      <c r="O173" s="82"/>
      <c r="P173" s="82"/>
      <c r="Q173" s="82"/>
      <c r="R173" s="63"/>
      <c r="S173" s="63"/>
      <c r="T173" s="63"/>
      <c r="U173" s="63"/>
      <c r="V173" s="63"/>
      <c r="W173" s="63"/>
      <c r="X173" s="63"/>
      <c r="Y173" s="82"/>
      <c r="Z173" s="82"/>
      <c r="AA173" s="82"/>
      <c r="AB173" s="82"/>
      <c r="AC173" s="82"/>
      <c r="AD173" s="82"/>
      <c r="AE173" s="82"/>
      <c r="AF173" s="63" t="str">
        <f t="shared" si="0"/>
        <v/>
      </c>
      <c r="AG173" s="82"/>
      <c r="AH173" s="82"/>
      <c r="AI173" s="82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63"/>
      <c r="BR173" s="82"/>
      <c r="BS173" s="82"/>
      <c r="BT173" s="82"/>
      <c r="BU173" s="4"/>
    </row>
    <row r="174" spans="1:73" ht="12.75" x14ac:dyDescent="0.2">
      <c r="A174" s="68" t="s">
        <v>2</v>
      </c>
      <c r="B174" s="85"/>
      <c r="C174" s="85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4"/>
      <c r="O174" s="82"/>
      <c r="P174" s="82"/>
      <c r="Q174" s="82"/>
      <c r="R174" s="63"/>
      <c r="S174" s="63"/>
      <c r="T174" s="63"/>
      <c r="U174" s="63"/>
      <c r="V174" s="63"/>
      <c r="W174" s="63"/>
      <c r="X174" s="63"/>
      <c r="Y174" s="82"/>
      <c r="Z174" s="82"/>
      <c r="AA174" s="82"/>
      <c r="AB174" s="82"/>
      <c r="AC174" s="82"/>
      <c r="AD174" s="82"/>
      <c r="AE174" s="82"/>
      <c r="AF174" s="63" t="str">
        <f t="shared" si="0"/>
        <v/>
      </c>
      <c r="AG174" s="82"/>
      <c r="AH174" s="82"/>
      <c r="AI174" s="82"/>
      <c r="AJ174" s="82"/>
      <c r="AK174" s="82"/>
      <c r="AL174" s="82"/>
      <c r="AM174" s="82"/>
      <c r="AN174" s="82"/>
      <c r="AO174" s="82"/>
      <c r="AP174" s="82"/>
      <c r="AQ174" s="82"/>
      <c r="AR174" s="82"/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63"/>
      <c r="BR174" s="82"/>
      <c r="BS174" s="82"/>
      <c r="BT174" s="82"/>
      <c r="BU174" s="4"/>
    </row>
    <row r="175" spans="1:73" ht="12.75" x14ac:dyDescent="0.2">
      <c r="A175" s="68" t="s">
        <v>2</v>
      </c>
      <c r="B175" s="85"/>
      <c r="C175" s="85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4"/>
      <c r="O175" s="82"/>
      <c r="P175" s="82"/>
      <c r="Q175" s="82"/>
      <c r="R175" s="63"/>
      <c r="S175" s="63"/>
      <c r="T175" s="63"/>
      <c r="U175" s="63"/>
      <c r="V175" s="63"/>
      <c r="W175" s="63"/>
      <c r="X175" s="63"/>
      <c r="Y175" s="82"/>
      <c r="Z175" s="82"/>
      <c r="AA175" s="82"/>
      <c r="AB175" s="82"/>
      <c r="AC175" s="82"/>
      <c r="AD175" s="82"/>
      <c r="AE175" s="82"/>
      <c r="AF175" s="63" t="str">
        <f t="shared" si="0"/>
        <v/>
      </c>
      <c r="AG175" s="82"/>
      <c r="AH175" s="82"/>
      <c r="AI175" s="82"/>
      <c r="AJ175" s="82"/>
      <c r="AK175" s="82"/>
      <c r="AL175" s="82"/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63"/>
      <c r="BR175" s="82"/>
      <c r="BS175" s="82"/>
      <c r="BT175" s="82"/>
      <c r="BU175" s="4"/>
    </row>
    <row r="176" spans="1:73" ht="12.75" x14ac:dyDescent="0.2">
      <c r="A176" s="68" t="s">
        <v>2</v>
      </c>
      <c r="B176" s="85"/>
      <c r="C176" s="85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4"/>
      <c r="O176" s="82"/>
      <c r="P176" s="82"/>
      <c r="Q176" s="82"/>
      <c r="R176" s="63"/>
      <c r="S176" s="63"/>
      <c r="T176" s="63"/>
      <c r="U176" s="63"/>
      <c r="V176" s="63"/>
      <c r="W176" s="63"/>
      <c r="X176" s="63"/>
      <c r="Y176" s="82"/>
      <c r="Z176" s="82"/>
      <c r="AA176" s="82"/>
      <c r="AB176" s="82"/>
      <c r="AC176" s="82"/>
      <c r="AD176" s="82"/>
      <c r="AE176" s="82"/>
      <c r="AF176" s="63" t="str">
        <f t="shared" si="0"/>
        <v/>
      </c>
      <c r="AG176" s="82"/>
      <c r="AH176" s="82"/>
      <c r="AI176" s="82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63"/>
      <c r="BR176" s="82"/>
      <c r="BS176" s="82"/>
      <c r="BT176" s="82"/>
      <c r="BU176" s="4"/>
    </row>
    <row r="177" spans="1:73" ht="12.75" x14ac:dyDescent="0.2">
      <c r="A177" s="68" t="s">
        <v>2</v>
      </c>
      <c r="B177" s="85"/>
      <c r="C177" s="85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4"/>
      <c r="O177" s="82"/>
      <c r="P177" s="82"/>
      <c r="Q177" s="82"/>
      <c r="R177" s="63"/>
      <c r="S177" s="63"/>
      <c r="T177" s="63"/>
      <c r="U177" s="63"/>
      <c r="V177" s="63"/>
      <c r="W177" s="63"/>
      <c r="X177" s="63"/>
      <c r="Y177" s="82"/>
      <c r="Z177" s="82"/>
      <c r="AA177" s="82"/>
      <c r="AB177" s="82"/>
      <c r="AC177" s="82"/>
      <c r="AD177" s="82"/>
      <c r="AE177" s="82"/>
      <c r="AF177" s="63" t="str">
        <f t="shared" si="0"/>
        <v/>
      </c>
      <c r="AG177" s="82"/>
      <c r="AH177" s="82"/>
      <c r="AI177" s="82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63"/>
      <c r="BR177" s="82"/>
      <c r="BS177" s="82"/>
      <c r="BT177" s="82"/>
      <c r="BU177" s="4"/>
    </row>
    <row r="178" spans="1:73" ht="12.75" x14ac:dyDescent="0.2">
      <c r="A178" s="68" t="s">
        <v>2</v>
      </c>
      <c r="B178" s="85"/>
      <c r="C178" s="85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4"/>
      <c r="O178" s="82"/>
      <c r="P178" s="82"/>
      <c r="Q178" s="82"/>
      <c r="R178" s="63"/>
      <c r="S178" s="63"/>
      <c r="T178" s="63"/>
      <c r="U178" s="63"/>
      <c r="V178" s="63"/>
      <c r="W178" s="63"/>
      <c r="X178" s="63"/>
      <c r="Y178" s="82"/>
      <c r="Z178" s="82"/>
      <c r="AA178" s="82"/>
      <c r="AB178" s="82"/>
      <c r="AC178" s="82"/>
      <c r="AD178" s="82"/>
      <c r="AE178" s="82"/>
      <c r="AF178" s="63" t="str">
        <f t="shared" si="0"/>
        <v/>
      </c>
      <c r="AG178" s="82"/>
      <c r="AH178" s="82"/>
      <c r="AI178" s="82"/>
      <c r="AJ178" s="82"/>
      <c r="AK178" s="82"/>
      <c r="AL178" s="82"/>
      <c r="AM178" s="82"/>
      <c r="AN178" s="82"/>
      <c r="AO178" s="82"/>
      <c r="AP178" s="82"/>
      <c r="AQ178" s="82"/>
      <c r="AR178" s="82"/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63"/>
      <c r="BR178" s="82"/>
      <c r="BS178" s="82"/>
      <c r="BT178" s="82"/>
      <c r="BU178" s="4"/>
    </row>
    <row r="179" spans="1:73" ht="12.75" x14ac:dyDescent="0.2">
      <c r="A179" s="68" t="s">
        <v>2</v>
      </c>
      <c r="B179" s="85"/>
      <c r="C179" s="85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4"/>
      <c r="O179" s="82"/>
      <c r="P179" s="82"/>
      <c r="Q179" s="82"/>
      <c r="R179" s="63"/>
      <c r="S179" s="63"/>
      <c r="T179" s="63"/>
      <c r="U179" s="63"/>
      <c r="V179" s="63"/>
      <c r="W179" s="63"/>
      <c r="X179" s="63"/>
      <c r="Y179" s="82"/>
      <c r="Z179" s="82"/>
      <c r="AA179" s="82"/>
      <c r="AB179" s="82"/>
      <c r="AC179" s="82"/>
      <c r="AD179" s="82"/>
      <c r="AE179" s="82"/>
      <c r="AF179" s="63" t="str">
        <f t="shared" si="0"/>
        <v/>
      </c>
      <c r="AG179" s="82"/>
      <c r="AH179" s="82"/>
      <c r="AI179" s="82"/>
      <c r="AJ179" s="82"/>
      <c r="AK179" s="82"/>
      <c r="AL179" s="82"/>
      <c r="AM179" s="82"/>
      <c r="AN179" s="82"/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63"/>
      <c r="BR179" s="82"/>
      <c r="BS179" s="82"/>
      <c r="BT179" s="82"/>
      <c r="BU179" s="4"/>
    </row>
    <row r="180" spans="1:73" ht="12.75" x14ac:dyDescent="0.2">
      <c r="A180" s="68" t="s">
        <v>2</v>
      </c>
      <c r="B180" s="85"/>
      <c r="C180" s="85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4"/>
      <c r="O180" s="82"/>
      <c r="P180" s="82"/>
      <c r="Q180" s="82"/>
      <c r="R180" s="63"/>
      <c r="S180" s="63"/>
      <c r="T180" s="63"/>
      <c r="U180" s="63"/>
      <c r="V180" s="63"/>
      <c r="W180" s="63"/>
      <c r="X180" s="63"/>
      <c r="Y180" s="82"/>
      <c r="Z180" s="82"/>
      <c r="AA180" s="82"/>
      <c r="AB180" s="82"/>
      <c r="AC180" s="82"/>
      <c r="AD180" s="82"/>
      <c r="AE180" s="82"/>
      <c r="AF180" s="63" t="str">
        <f t="shared" si="0"/>
        <v/>
      </c>
      <c r="AG180" s="82"/>
      <c r="AH180" s="82"/>
      <c r="AI180" s="82"/>
      <c r="AJ180" s="82"/>
      <c r="AK180" s="82"/>
      <c r="AL180" s="82"/>
      <c r="AM180" s="82"/>
      <c r="AN180" s="82"/>
      <c r="AO180" s="82"/>
      <c r="AP180" s="82"/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  <c r="BN180" s="82"/>
      <c r="BO180" s="82"/>
      <c r="BP180" s="82"/>
      <c r="BQ180" s="63"/>
      <c r="BR180" s="82"/>
      <c r="BS180" s="82"/>
      <c r="BT180" s="82"/>
      <c r="BU180" s="4"/>
    </row>
    <row r="181" spans="1:73" ht="12.75" x14ac:dyDescent="0.2">
      <c r="A181" s="68" t="s">
        <v>2</v>
      </c>
      <c r="B181" s="85"/>
      <c r="C181" s="85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4"/>
      <c r="O181" s="82"/>
      <c r="P181" s="82"/>
      <c r="Q181" s="82"/>
      <c r="R181" s="63"/>
      <c r="S181" s="63"/>
      <c r="T181" s="63"/>
      <c r="U181" s="63"/>
      <c r="V181" s="63"/>
      <c r="W181" s="63"/>
      <c r="X181" s="63"/>
      <c r="Y181" s="82"/>
      <c r="Z181" s="82"/>
      <c r="AA181" s="82"/>
      <c r="AB181" s="82"/>
      <c r="AC181" s="82"/>
      <c r="AD181" s="82"/>
      <c r="AE181" s="82"/>
      <c r="AF181" s="63" t="str">
        <f t="shared" si="0"/>
        <v/>
      </c>
      <c r="AG181" s="82"/>
      <c r="AH181" s="82"/>
      <c r="AI181" s="82"/>
      <c r="AJ181" s="82"/>
      <c r="AK181" s="82"/>
      <c r="AL181" s="82"/>
      <c r="AM181" s="82"/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63"/>
      <c r="BR181" s="82"/>
      <c r="BS181" s="82"/>
      <c r="BT181" s="82"/>
      <c r="BU181" s="4"/>
    </row>
    <row r="182" spans="1:73" ht="12.75" x14ac:dyDescent="0.2">
      <c r="A182" s="68" t="s">
        <v>2</v>
      </c>
      <c r="B182" s="88"/>
      <c r="C182" s="88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4"/>
      <c r="O182" s="82"/>
      <c r="P182" s="82"/>
      <c r="Q182" s="82"/>
      <c r="R182" s="63"/>
      <c r="S182" s="63"/>
      <c r="T182" s="63"/>
      <c r="U182" s="63"/>
      <c r="V182" s="63"/>
      <c r="W182" s="63"/>
      <c r="X182" s="63"/>
      <c r="Y182" s="82"/>
      <c r="Z182" s="82"/>
      <c r="AA182" s="82"/>
      <c r="AB182" s="82"/>
      <c r="AC182" s="82"/>
      <c r="AD182" s="82"/>
      <c r="AE182" s="82"/>
      <c r="AF182" s="63" t="str">
        <f t="shared" si="0"/>
        <v/>
      </c>
      <c r="AG182" s="82"/>
      <c r="AH182" s="82"/>
      <c r="AI182" s="82"/>
      <c r="AJ182" s="82"/>
      <c r="AK182" s="82"/>
      <c r="AL182" s="82"/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  <c r="BN182" s="82"/>
      <c r="BO182" s="82"/>
      <c r="BP182" s="82"/>
      <c r="BQ182" s="63"/>
      <c r="BR182" s="82"/>
      <c r="BS182" s="82"/>
      <c r="BT182" s="82"/>
      <c r="BU182" s="4"/>
    </row>
    <row r="183" spans="1:73" ht="12.75" x14ac:dyDescent="0.2">
      <c r="A183" s="68" t="s">
        <v>2</v>
      </c>
      <c r="B183" s="88"/>
      <c r="C183" s="88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4"/>
      <c r="O183" s="82"/>
      <c r="P183" s="82"/>
      <c r="Q183" s="82"/>
      <c r="R183" s="63"/>
      <c r="S183" s="63"/>
      <c r="T183" s="63"/>
      <c r="U183" s="63"/>
      <c r="V183" s="63"/>
      <c r="W183" s="63"/>
      <c r="X183" s="63"/>
      <c r="Y183" s="82"/>
      <c r="Z183" s="82"/>
      <c r="AA183" s="82"/>
      <c r="AB183" s="82"/>
      <c r="AC183" s="82"/>
      <c r="AD183" s="82"/>
      <c r="AE183" s="82"/>
      <c r="AF183" s="63" t="str">
        <f t="shared" si="0"/>
        <v/>
      </c>
      <c r="AG183" s="82"/>
      <c r="AH183" s="82"/>
      <c r="AI183" s="82"/>
      <c r="AJ183" s="82"/>
      <c r="AK183" s="82"/>
      <c r="AL183" s="82"/>
      <c r="AM183" s="82"/>
      <c r="AN183" s="82"/>
      <c r="AO183" s="82"/>
      <c r="AP183" s="82"/>
      <c r="AQ183" s="82"/>
      <c r="AR183" s="82"/>
      <c r="AS183" s="82"/>
      <c r="AT183" s="82"/>
      <c r="AU183" s="82"/>
      <c r="AV183" s="82"/>
      <c r="AW183" s="82"/>
      <c r="AX183" s="82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2"/>
      <c r="BN183" s="82"/>
      <c r="BO183" s="82"/>
      <c r="BP183" s="82"/>
      <c r="BQ183" s="63"/>
      <c r="BR183" s="82"/>
      <c r="BS183" s="82"/>
      <c r="BT183" s="82"/>
      <c r="BU183" s="4"/>
    </row>
    <row r="184" spans="1:73" ht="12.75" x14ac:dyDescent="0.2">
      <c r="A184" s="68" t="s">
        <v>2</v>
      </c>
      <c r="B184" s="88"/>
      <c r="C184" s="88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4"/>
      <c r="O184" s="82"/>
      <c r="P184" s="82"/>
      <c r="Q184" s="82"/>
      <c r="R184" s="63"/>
      <c r="S184" s="63"/>
      <c r="T184" s="63"/>
      <c r="U184" s="63"/>
      <c r="V184" s="63"/>
      <c r="W184" s="63"/>
      <c r="X184" s="63"/>
      <c r="Y184" s="82"/>
      <c r="Z184" s="82"/>
      <c r="AA184" s="82"/>
      <c r="AB184" s="82"/>
      <c r="AC184" s="82"/>
      <c r="AD184" s="82"/>
      <c r="AE184" s="82"/>
      <c r="AF184" s="63" t="str">
        <f t="shared" si="0"/>
        <v/>
      </c>
      <c r="AG184" s="82"/>
      <c r="AH184" s="82"/>
      <c r="AI184" s="82"/>
      <c r="AJ184" s="82"/>
      <c r="AK184" s="82"/>
      <c r="AL184" s="82"/>
      <c r="AM184" s="82"/>
      <c r="AN184" s="82"/>
      <c r="AO184" s="82"/>
      <c r="AP184" s="82"/>
      <c r="AQ184" s="82"/>
      <c r="AR184" s="82"/>
      <c r="AS184" s="82"/>
      <c r="AT184" s="82"/>
      <c r="AU184" s="82"/>
      <c r="AV184" s="82"/>
      <c r="AW184" s="82"/>
      <c r="AX184" s="82"/>
      <c r="AY184" s="82"/>
      <c r="AZ184" s="82"/>
      <c r="BA184" s="82"/>
      <c r="BB184" s="82"/>
      <c r="BC184" s="82"/>
      <c r="BD184" s="82"/>
      <c r="BE184" s="82"/>
      <c r="BF184" s="82"/>
      <c r="BG184" s="82"/>
      <c r="BH184" s="82"/>
      <c r="BI184" s="82"/>
      <c r="BJ184" s="82"/>
      <c r="BK184" s="82"/>
      <c r="BL184" s="82"/>
      <c r="BM184" s="82"/>
      <c r="BN184" s="82"/>
      <c r="BO184" s="82"/>
      <c r="BP184" s="82"/>
      <c r="BQ184" s="63"/>
      <c r="BR184" s="82"/>
      <c r="BS184" s="82"/>
      <c r="BT184" s="82"/>
      <c r="BU184" s="4"/>
    </row>
    <row r="185" spans="1:73" ht="12.75" x14ac:dyDescent="0.2">
      <c r="A185" s="68" t="s">
        <v>2</v>
      </c>
      <c r="B185" s="88"/>
      <c r="C185" s="88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4"/>
      <c r="O185" s="82"/>
      <c r="P185" s="82"/>
      <c r="Q185" s="82"/>
      <c r="R185" s="63"/>
      <c r="S185" s="63"/>
      <c r="T185" s="63"/>
      <c r="U185" s="63"/>
      <c r="V185" s="63"/>
      <c r="W185" s="63"/>
      <c r="X185" s="63"/>
      <c r="Y185" s="82"/>
      <c r="Z185" s="82"/>
      <c r="AA185" s="82"/>
      <c r="AB185" s="82"/>
      <c r="AC185" s="82"/>
      <c r="AD185" s="82"/>
      <c r="AE185" s="82"/>
      <c r="AF185" s="63" t="str">
        <f t="shared" si="0"/>
        <v/>
      </c>
      <c r="AG185" s="82"/>
      <c r="AH185" s="82"/>
      <c r="AI185" s="82"/>
      <c r="AJ185" s="82"/>
      <c r="AK185" s="82"/>
      <c r="AL185" s="82"/>
      <c r="AM185" s="82"/>
      <c r="AN185" s="82"/>
      <c r="AO185" s="82"/>
      <c r="AP185" s="82"/>
      <c r="AQ185" s="82"/>
      <c r="AR185" s="82"/>
      <c r="AS185" s="82"/>
      <c r="AT185" s="82"/>
      <c r="AU185" s="82"/>
      <c r="AV185" s="82"/>
      <c r="AW185" s="82"/>
      <c r="AX185" s="82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  <c r="BN185" s="82"/>
      <c r="BO185" s="82"/>
      <c r="BP185" s="82"/>
      <c r="BQ185" s="63"/>
      <c r="BR185" s="82"/>
      <c r="BS185" s="82"/>
      <c r="BT185" s="82"/>
      <c r="BU185" s="4"/>
    </row>
    <row r="186" spans="1:73" ht="12.75" x14ac:dyDescent="0.2">
      <c r="A186" s="68" t="s">
        <v>2</v>
      </c>
      <c r="B186" s="88"/>
      <c r="C186" s="88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4"/>
      <c r="O186" s="82"/>
      <c r="P186" s="82"/>
      <c r="Q186" s="82"/>
      <c r="R186" s="63"/>
      <c r="S186" s="63"/>
      <c r="T186" s="63"/>
      <c r="U186" s="63"/>
      <c r="V186" s="63"/>
      <c r="W186" s="63"/>
      <c r="X186" s="63"/>
      <c r="Y186" s="82"/>
      <c r="Z186" s="82"/>
      <c r="AA186" s="82"/>
      <c r="AB186" s="82"/>
      <c r="AC186" s="82"/>
      <c r="AD186" s="82"/>
      <c r="AE186" s="82"/>
      <c r="AF186" s="63" t="str">
        <f t="shared" si="0"/>
        <v/>
      </c>
      <c r="AG186" s="82"/>
      <c r="AH186" s="82"/>
      <c r="AI186" s="82"/>
      <c r="AJ186" s="82"/>
      <c r="AK186" s="82"/>
      <c r="AL186" s="82"/>
      <c r="AM186" s="82"/>
      <c r="AN186" s="82"/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63"/>
      <c r="BR186" s="82"/>
      <c r="BS186" s="82"/>
      <c r="BT186" s="82"/>
      <c r="BU186" s="4"/>
    </row>
    <row r="187" spans="1:73" ht="12.75" x14ac:dyDescent="0.2">
      <c r="A187" s="68" t="s">
        <v>2</v>
      </c>
      <c r="B187" s="88"/>
      <c r="C187" s="88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4"/>
      <c r="O187" s="82"/>
      <c r="P187" s="82"/>
      <c r="Q187" s="82"/>
      <c r="R187" s="63"/>
      <c r="S187" s="63"/>
      <c r="T187" s="63"/>
      <c r="U187" s="63"/>
      <c r="V187" s="63"/>
      <c r="W187" s="63"/>
      <c r="X187" s="63"/>
      <c r="Y187" s="82"/>
      <c r="Z187" s="82"/>
      <c r="AA187" s="82"/>
      <c r="AB187" s="82"/>
      <c r="AC187" s="82"/>
      <c r="AD187" s="82"/>
      <c r="AE187" s="82"/>
      <c r="AF187" s="63" t="str">
        <f t="shared" si="0"/>
        <v/>
      </c>
      <c r="AG187" s="82"/>
      <c r="AH187" s="82"/>
      <c r="AI187" s="82"/>
      <c r="AJ187" s="82"/>
      <c r="AK187" s="82"/>
      <c r="AL187" s="82"/>
      <c r="AM187" s="82"/>
      <c r="AN187" s="82"/>
      <c r="AO187" s="82"/>
      <c r="AP187" s="82"/>
      <c r="AQ187" s="82"/>
      <c r="AR187" s="82"/>
      <c r="AS187" s="82"/>
      <c r="AT187" s="82"/>
      <c r="AU187" s="82"/>
      <c r="AV187" s="82"/>
      <c r="AW187" s="82"/>
      <c r="AX187" s="82"/>
      <c r="AY187" s="82"/>
      <c r="AZ187" s="82"/>
      <c r="BA187" s="82"/>
      <c r="BB187" s="82"/>
      <c r="BC187" s="82"/>
      <c r="BD187" s="82"/>
      <c r="BE187" s="82"/>
      <c r="BF187" s="82"/>
      <c r="BG187" s="82"/>
      <c r="BH187" s="82"/>
      <c r="BI187" s="82"/>
      <c r="BJ187" s="82"/>
      <c r="BK187" s="82"/>
      <c r="BL187" s="82"/>
      <c r="BM187" s="82"/>
      <c r="BN187" s="82"/>
      <c r="BO187" s="82"/>
      <c r="BP187" s="82"/>
      <c r="BQ187" s="63"/>
      <c r="BR187" s="82"/>
      <c r="BS187" s="82"/>
      <c r="BT187" s="82"/>
      <c r="BU187" s="4"/>
    </row>
    <row r="188" spans="1:73" ht="12.75" x14ac:dyDescent="0.2">
      <c r="A188" s="68" t="s">
        <v>2</v>
      </c>
      <c r="B188" s="88"/>
      <c r="C188" s="88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4"/>
      <c r="O188" s="82"/>
      <c r="P188" s="82"/>
      <c r="Q188" s="82"/>
      <c r="R188" s="63"/>
      <c r="S188" s="63"/>
      <c r="T188" s="63"/>
      <c r="U188" s="63"/>
      <c r="V188" s="63"/>
      <c r="W188" s="63"/>
      <c r="X188" s="63"/>
      <c r="Y188" s="82"/>
      <c r="Z188" s="82"/>
      <c r="AA188" s="82"/>
      <c r="AB188" s="82"/>
      <c r="AC188" s="82"/>
      <c r="AD188" s="82"/>
      <c r="AE188" s="82"/>
      <c r="AF188" s="63" t="str">
        <f t="shared" si="0"/>
        <v/>
      </c>
      <c r="AG188" s="82"/>
      <c r="AH188" s="82"/>
      <c r="AI188" s="82"/>
      <c r="AJ188" s="82"/>
      <c r="AK188" s="82"/>
      <c r="AL188" s="82"/>
      <c r="AM188" s="82"/>
      <c r="AN188" s="82"/>
      <c r="AO188" s="82"/>
      <c r="AP188" s="82"/>
      <c r="AQ188" s="82"/>
      <c r="AR188" s="82"/>
      <c r="AS188" s="82"/>
      <c r="AT188" s="82"/>
      <c r="AU188" s="82"/>
      <c r="AV188" s="82"/>
      <c r="AW188" s="82"/>
      <c r="AX188" s="82"/>
      <c r="AY188" s="82"/>
      <c r="AZ188" s="82"/>
      <c r="BA188" s="82"/>
      <c r="BB188" s="82"/>
      <c r="BC188" s="82"/>
      <c r="BD188" s="82"/>
      <c r="BE188" s="82"/>
      <c r="BF188" s="82"/>
      <c r="BG188" s="82"/>
      <c r="BH188" s="82"/>
      <c r="BI188" s="82"/>
      <c r="BJ188" s="82"/>
      <c r="BK188" s="82"/>
      <c r="BL188" s="82"/>
      <c r="BM188" s="82"/>
      <c r="BN188" s="82"/>
      <c r="BO188" s="82"/>
      <c r="BP188" s="82"/>
      <c r="BQ188" s="63"/>
      <c r="BR188" s="82"/>
      <c r="BS188" s="82"/>
      <c r="BT188" s="82"/>
      <c r="BU188" s="4"/>
    </row>
    <row r="189" spans="1:73" ht="12.75" x14ac:dyDescent="0.2">
      <c r="A189" s="68" t="s">
        <v>2</v>
      </c>
      <c r="B189" s="88"/>
      <c r="C189" s="88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4"/>
      <c r="O189" s="82"/>
      <c r="P189" s="82"/>
      <c r="Q189" s="82"/>
      <c r="R189" s="63"/>
      <c r="S189" s="63"/>
      <c r="T189" s="63"/>
      <c r="U189" s="63"/>
      <c r="V189" s="63"/>
      <c r="W189" s="63"/>
      <c r="X189" s="63"/>
      <c r="Y189" s="82"/>
      <c r="Z189" s="82"/>
      <c r="AA189" s="82"/>
      <c r="AB189" s="82"/>
      <c r="AC189" s="82"/>
      <c r="AD189" s="82"/>
      <c r="AE189" s="82"/>
      <c r="AF189" s="63" t="str">
        <f t="shared" si="0"/>
        <v/>
      </c>
      <c r="AG189" s="82"/>
      <c r="AH189" s="82"/>
      <c r="AI189" s="82"/>
      <c r="AJ189" s="82"/>
      <c r="AK189" s="82"/>
      <c r="AL189" s="82"/>
      <c r="AM189" s="82"/>
      <c r="AN189" s="82"/>
      <c r="AO189" s="82"/>
      <c r="AP189" s="82"/>
      <c r="AQ189" s="82"/>
      <c r="AR189" s="82"/>
      <c r="AS189" s="82"/>
      <c r="AT189" s="82"/>
      <c r="AU189" s="82"/>
      <c r="AV189" s="82"/>
      <c r="AW189" s="82"/>
      <c r="AX189" s="82"/>
      <c r="AY189" s="82"/>
      <c r="AZ189" s="82"/>
      <c r="BA189" s="82"/>
      <c r="BB189" s="82"/>
      <c r="BC189" s="82"/>
      <c r="BD189" s="82"/>
      <c r="BE189" s="82"/>
      <c r="BF189" s="82"/>
      <c r="BG189" s="82"/>
      <c r="BH189" s="82"/>
      <c r="BI189" s="82"/>
      <c r="BJ189" s="82"/>
      <c r="BK189" s="82"/>
      <c r="BL189" s="82"/>
      <c r="BM189" s="82"/>
      <c r="BN189" s="82"/>
      <c r="BO189" s="82"/>
      <c r="BP189" s="82"/>
      <c r="BQ189" s="63"/>
      <c r="BR189" s="82"/>
      <c r="BS189" s="82"/>
      <c r="BT189" s="82"/>
      <c r="BU189" s="4"/>
    </row>
    <row r="190" spans="1:73" ht="12.75" x14ac:dyDescent="0.2">
      <c r="A190" s="68" t="s">
        <v>2</v>
      </c>
      <c r="B190" s="88"/>
      <c r="C190" s="88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4"/>
      <c r="O190" s="82"/>
      <c r="P190" s="82"/>
      <c r="Q190" s="82"/>
      <c r="R190" s="63"/>
      <c r="S190" s="63"/>
      <c r="T190" s="63"/>
      <c r="U190" s="63"/>
      <c r="V190" s="63"/>
      <c r="W190" s="63"/>
      <c r="X190" s="63"/>
      <c r="Y190" s="82"/>
      <c r="Z190" s="82"/>
      <c r="AA190" s="82"/>
      <c r="AB190" s="82"/>
      <c r="AC190" s="82"/>
      <c r="AD190" s="82"/>
      <c r="AE190" s="82"/>
      <c r="AF190" s="63" t="str">
        <f t="shared" si="0"/>
        <v/>
      </c>
      <c r="AG190" s="82"/>
      <c r="AH190" s="82"/>
      <c r="AI190" s="82"/>
      <c r="AJ190" s="82"/>
      <c r="AK190" s="82"/>
      <c r="AL190" s="82"/>
      <c r="AM190" s="82"/>
      <c r="AN190" s="82"/>
      <c r="AO190" s="82"/>
      <c r="AP190" s="82"/>
      <c r="AQ190" s="82"/>
      <c r="AR190" s="82"/>
      <c r="AS190" s="82"/>
      <c r="AT190" s="82"/>
      <c r="AU190" s="82"/>
      <c r="AV190" s="82"/>
      <c r="AW190" s="82"/>
      <c r="AX190" s="82"/>
      <c r="AY190" s="82"/>
      <c r="AZ190" s="82"/>
      <c r="BA190" s="82"/>
      <c r="BB190" s="82"/>
      <c r="BC190" s="82"/>
      <c r="BD190" s="82"/>
      <c r="BE190" s="82"/>
      <c r="BF190" s="82"/>
      <c r="BG190" s="82"/>
      <c r="BH190" s="82"/>
      <c r="BI190" s="82"/>
      <c r="BJ190" s="82"/>
      <c r="BK190" s="82"/>
      <c r="BL190" s="82"/>
      <c r="BM190" s="82"/>
      <c r="BN190" s="82"/>
      <c r="BO190" s="82"/>
      <c r="BP190" s="82"/>
      <c r="BQ190" s="63"/>
      <c r="BR190" s="82"/>
      <c r="BS190" s="82"/>
      <c r="BT190" s="82"/>
      <c r="BU190" s="4"/>
    </row>
    <row r="191" spans="1:73" ht="12.75" x14ac:dyDescent="0.2">
      <c r="A191" s="68" t="s">
        <v>2</v>
      </c>
      <c r="B191" s="88"/>
      <c r="C191" s="88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4"/>
      <c r="O191" s="82"/>
      <c r="P191" s="82"/>
      <c r="Q191" s="82"/>
      <c r="R191" s="63"/>
      <c r="S191" s="63"/>
      <c r="T191" s="63"/>
      <c r="U191" s="63"/>
      <c r="V191" s="63"/>
      <c r="W191" s="63"/>
      <c r="X191" s="63"/>
      <c r="Y191" s="82"/>
      <c r="Z191" s="82"/>
      <c r="AA191" s="82"/>
      <c r="AB191" s="82"/>
      <c r="AC191" s="82"/>
      <c r="AD191" s="82"/>
      <c r="AE191" s="82"/>
      <c r="AF191" s="63" t="str">
        <f t="shared" si="0"/>
        <v/>
      </c>
      <c r="AG191" s="82"/>
      <c r="AH191" s="82"/>
      <c r="AI191" s="82"/>
      <c r="AJ191" s="82"/>
      <c r="AK191" s="82"/>
      <c r="AL191" s="82"/>
      <c r="AM191" s="82"/>
      <c r="AN191" s="82"/>
      <c r="AO191" s="82"/>
      <c r="AP191" s="82"/>
      <c r="AQ191" s="82"/>
      <c r="AR191" s="82"/>
      <c r="AS191" s="82"/>
      <c r="AT191" s="82"/>
      <c r="AU191" s="82"/>
      <c r="AV191" s="82"/>
      <c r="AW191" s="82"/>
      <c r="AX191" s="82"/>
      <c r="AY191" s="82"/>
      <c r="AZ191" s="82"/>
      <c r="BA191" s="82"/>
      <c r="BB191" s="82"/>
      <c r="BC191" s="82"/>
      <c r="BD191" s="82"/>
      <c r="BE191" s="82"/>
      <c r="BF191" s="82"/>
      <c r="BG191" s="82"/>
      <c r="BH191" s="82"/>
      <c r="BI191" s="82"/>
      <c r="BJ191" s="82"/>
      <c r="BK191" s="82"/>
      <c r="BL191" s="82"/>
      <c r="BM191" s="82"/>
      <c r="BN191" s="82"/>
      <c r="BO191" s="82"/>
      <c r="BP191" s="82"/>
      <c r="BQ191" s="63"/>
      <c r="BR191" s="82"/>
      <c r="BS191" s="82"/>
      <c r="BT191" s="82"/>
      <c r="BU191" s="4"/>
    </row>
    <row r="192" spans="1:73" ht="12.75" x14ac:dyDescent="0.2">
      <c r="A192" s="68" t="s">
        <v>2</v>
      </c>
      <c r="B192" s="88"/>
      <c r="C192" s="88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4"/>
      <c r="O192" s="82"/>
      <c r="P192" s="82"/>
      <c r="Q192" s="82"/>
      <c r="R192" s="63"/>
      <c r="S192" s="63"/>
      <c r="T192" s="63"/>
      <c r="U192" s="63"/>
      <c r="V192" s="63"/>
      <c r="W192" s="63"/>
      <c r="X192" s="63"/>
      <c r="Y192" s="82"/>
      <c r="Z192" s="82"/>
      <c r="AA192" s="82"/>
      <c r="AB192" s="82"/>
      <c r="AC192" s="82"/>
      <c r="AD192" s="82"/>
      <c r="AE192" s="82"/>
      <c r="AF192" s="63" t="str">
        <f t="shared" si="0"/>
        <v/>
      </c>
      <c r="AG192" s="82"/>
      <c r="AH192" s="82"/>
      <c r="AI192" s="82"/>
      <c r="AJ192" s="82"/>
      <c r="AK192" s="82"/>
      <c r="AL192" s="82"/>
      <c r="AM192" s="82"/>
      <c r="AN192" s="82"/>
      <c r="AO192" s="82"/>
      <c r="AP192" s="82"/>
      <c r="AQ192" s="82"/>
      <c r="AR192" s="82"/>
      <c r="AS192" s="82"/>
      <c r="AT192" s="82"/>
      <c r="AU192" s="82"/>
      <c r="AV192" s="82"/>
      <c r="AW192" s="82"/>
      <c r="AX192" s="82"/>
      <c r="AY192" s="82"/>
      <c r="AZ192" s="82"/>
      <c r="BA192" s="82"/>
      <c r="BB192" s="82"/>
      <c r="BC192" s="82"/>
      <c r="BD192" s="82"/>
      <c r="BE192" s="82"/>
      <c r="BF192" s="82"/>
      <c r="BG192" s="82"/>
      <c r="BH192" s="82"/>
      <c r="BI192" s="82"/>
      <c r="BJ192" s="82"/>
      <c r="BK192" s="82"/>
      <c r="BL192" s="82"/>
      <c r="BM192" s="82"/>
      <c r="BN192" s="82"/>
      <c r="BO192" s="82"/>
      <c r="BP192" s="82"/>
      <c r="BQ192" s="63"/>
      <c r="BR192" s="82"/>
      <c r="BS192" s="82"/>
      <c r="BT192" s="82"/>
      <c r="BU192" s="4"/>
    </row>
    <row r="193" spans="1:73" ht="12.75" x14ac:dyDescent="0.2">
      <c r="A193" s="68" t="s">
        <v>2</v>
      </c>
      <c r="B193" s="88"/>
      <c r="C193" s="88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4"/>
      <c r="O193" s="82"/>
      <c r="P193" s="82"/>
      <c r="Q193" s="82"/>
      <c r="R193" s="63"/>
      <c r="S193" s="63"/>
      <c r="T193" s="63"/>
      <c r="U193" s="63"/>
      <c r="V193" s="63"/>
      <c r="W193" s="63"/>
      <c r="X193" s="63"/>
      <c r="Y193" s="82"/>
      <c r="Z193" s="82"/>
      <c r="AA193" s="82"/>
      <c r="AB193" s="82"/>
      <c r="AC193" s="82"/>
      <c r="AD193" s="82"/>
      <c r="AE193" s="82"/>
      <c r="AF193" s="63" t="str">
        <f t="shared" si="0"/>
        <v/>
      </c>
      <c r="AG193" s="82"/>
      <c r="AH193" s="82"/>
      <c r="AI193" s="82"/>
      <c r="AJ193" s="82"/>
      <c r="AK193" s="82"/>
      <c r="AL193" s="82"/>
      <c r="AM193" s="82"/>
      <c r="AN193" s="82"/>
      <c r="AO193" s="82"/>
      <c r="AP193" s="82"/>
      <c r="AQ193" s="82"/>
      <c r="AR193" s="82"/>
      <c r="AS193" s="82"/>
      <c r="AT193" s="82"/>
      <c r="AU193" s="82"/>
      <c r="AV193" s="82"/>
      <c r="AW193" s="82"/>
      <c r="AX193" s="82"/>
      <c r="AY193" s="82"/>
      <c r="AZ193" s="82"/>
      <c r="BA193" s="82"/>
      <c r="BB193" s="82"/>
      <c r="BC193" s="82"/>
      <c r="BD193" s="82"/>
      <c r="BE193" s="82"/>
      <c r="BF193" s="82"/>
      <c r="BG193" s="82"/>
      <c r="BH193" s="82"/>
      <c r="BI193" s="82"/>
      <c r="BJ193" s="82"/>
      <c r="BK193" s="82"/>
      <c r="BL193" s="82"/>
      <c r="BM193" s="82"/>
      <c r="BN193" s="82"/>
      <c r="BO193" s="82"/>
      <c r="BP193" s="82"/>
      <c r="BQ193" s="63"/>
      <c r="BR193" s="82"/>
      <c r="BS193" s="82"/>
      <c r="BT193" s="82"/>
      <c r="BU193" s="4"/>
    </row>
    <row r="194" spans="1:73" ht="12.75" x14ac:dyDescent="0.2">
      <c r="A194" s="68" t="s">
        <v>2</v>
      </c>
      <c r="B194" s="88"/>
      <c r="C194" s="88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4"/>
      <c r="O194" s="82"/>
      <c r="P194" s="82"/>
      <c r="Q194" s="82"/>
      <c r="R194" s="63"/>
      <c r="S194" s="63"/>
      <c r="T194" s="63"/>
      <c r="U194" s="63"/>
      <c r="V194" s="63"/>
      <c r="W194" s="63"/>
      <c r="X194" s="63"/>
      <c r="Y194" s="82"/>
      <c r="Z194" s="82"/>
      <c r="AA194" s="82"/>
      <c r="AB194" s="82"/>
      <c r="AC194" s="82"/>
      <c r="AD194" s="82"/>
      <c r="AE194" s="82"/>
      <c r="AF194" s="63" t="str">
        <f t="shared" si="0"/>
        <v/>
      </c>
      <c r="AG194" s="82"/>
      <c r="AH194" s="82"/>
      <c r="AI194" s="82"/>
      <c r="AJ194" s="82"/>
      <c r="AK194" s="82"/>
      <c r="AL194" s="82"/>
      <c r="AM194" s="82"/>
      <c r="AN194" s="82"/>
      <c r="AO194" s="82"/>
      <c r="AP194" s="82"/>
      <c r="AQ194" s="82"/>
      <c r="AR194" s="82"/>
      <c r="AS194" s="82"/>
      <c r="AT194" s="82"/>
      <c r="AU194" s="82"/>
      <c r="AV194" s="82"/>
      <c r="AW194" s="82"/>
      <c r="AX194" s="82"/>
      <c r="AY194" s="82"/>
      <c r="AZ194" s="82"/>
      <c r="BA194" s="82"/>
      <c r="BB194" s="82"/>
      <c r="BC194" s="82"/>
      <c r="BD194" s="82"/>
      <c r="BE194" s="82"/>
      <c r="BF194" s="82"/>
      <c r="BG194" s="82"/>
      <c r="BH194" s="82"/>
      <c r="BI194" s="82"/>
      <c r="BJ194" s="82"/>
      <c r="BK194" s="82"/>
      <c r="BL194" s="82"/>
      <c r="BM194" s="82"/>
      <c r="BN194" s="82"/>
      <c r="BO194" s="82"/>
      <c r="BP194" s="82"/>
      <c r="BQ194" s="63"/>
      <c r="BR194" s="82"/>
      <c r="BS194" s="82"/>
      <c r="BT194" s="82"/>
      <c r="BU194" s="4"/>
    </row>
    <row r="195" spans="1:73" ht="12.75" x14ac:dyDescent="0.2">
      <c r="A195" s="68" t="s">
        <v>2</v>
      </c>
      <c r="B195" s="88"/>
      <c r="C195" s="88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4"/>
      <c r="O195" s="82"/>
      <c r="P195" s="82"/>
      <c r="Q195" s="82"/>
      <c r="R195" s="63"/>
      <c r="S195" s="63"/>
      <c r="T195" s="63"/>
      <c r="U195" s="63"/>
      <c r="V195" s="63"/>
      <c r="W195" s="63"/>
      <c r="X195" s="63"/>
      <c r="Y195" s="82"/>
      <c r="Z195" s="82"/>
      <c r="AA195" s="82"/>
      <c r="AB195" s="82"/>
      <c r="AC195" s="82"/>
      <c r="AD195" s="82"/>
      <c r="AE195" s="82"/>
      <c r="AF195" s="63" t="str">
        <f t="shared" si="0"/>
        <v/>
      </c>
      <c r="AG195" s="82"/>
      <c r="AH195" s="82"/>
      <c r="AI195" s="82"/>
      <c r="AJ195" s="82"/>
      <c r="AK195" s="82"/>
      <c r="AL195" s="82"/>
      <c r="AM195" s="82"/>
      <c r="AN195" s="82"/>
      <c r="AO195" s="82"/>
      <c r="AP195" s="82"/>
      <c r="AQ195" s="82"/>
      <c r="AR195" s="82"/>
      <c r="AS195" s="82"/>
      <c r="AT195" s="82"/>
      <c r="AU195" s="82"/>
      <c r="AV195" s="82"/>
      <c r="AW195" s="82"/>
      <c r="AX195" s="82"/>
      <c r="AY195" s="82"/>
      <c r="AZ195" s="82"/>
      <c r="BA195" s="82"/>
      <c r="BB195" s="82"/>
      <c r="BC195" s="82"/>
      <c r="BD195" s="82"/>
      <c r="BE195" s="82"/>
      <c r="BF195" s="82"/>
      <c r="BG195" s="82"/>
      <c r="BH195" s="82"/>
      <c r="BI195" s="82"/>
      <c r="BJ195" s="82"/>
      <c r="BK195" s="82"/>
      <c r="BL195" s="82"/>
      <c r="BM195" s="82"/>
      <c r="BN195" s="82"/>
      <c r="BO195" s="82"/>
      <c r="BP195" s="82"/>
      <c r="BQ195" s="63"/>
      <c r="BR195" s="82"/>
      <c r="BS195" s="82"/>
      <c r="BT195" s="82"/>
      <c r="BU195" s="4"/>
    </row>
    <row r="196" spans="1:73" ht="12.75" x14ac:dyDescent="0.2">
      <c r="A196" s="68" t="s">
        <v>2</v>
      </c>
      <c r="B196" s="88"/>
      <c r="C196" s="88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4"/>
      <c r="O196" s="82"/>
      <c r="P196" s="82"/>
      <c r="Q196" s="82"/>
      <c r="R196" s="63"/>
      <c r="S196" s="63"/>
      <c r="T196" s="63"/>
      <c r="U196" s="63"/>
      <c r="V196" s="63"/>
      <c r="W196" s="63"/>
      <c r="X196" s="63"/>
      <c r="Y196" s="82"/>
      <c r="Z196" s="82"/>
      <c r="AA196" s="82"/>
      <c r="AB196" s="82"/>
      <c r="AC196" s="82"/>
      <c r="AD196" s="82"/>
      <c r="AE196" s="82"/>
      <c r="AF196" s="63" t="str">
        <f t="shared" si="0"/>
        <v/>
      </c>
      <c r="AG196" s="82"/>
      <c r="AH196" s="82"/>
      <c r="AI196" s="82"/>
      <c r="AJ196" s="82"/>
      <c r="AK196" s="82"/>
      <c r="AL196" s="82"/>
      <c r="AM196" s="82"/>
      <c r="AN196" s="82"/>
      <c r="AO196" s="82"/>
      <c r="AP196" s="82"/>
      <c r="AQ196" s="82"/>
      <c r="AR196" s="82"/>
      <c r="AS196" s="82"/>
      <c r="AT196" s="82"/>
      <c r="AU196" s="82"/>
      <c r="AV196" s="82"/>
      <c r="AW196" s="82"/>
      <c r="AX196" s="82"/>
      <c r="AY196" s="82"/>
      <c r="AZ196" s="82"/>
      <c r="BA196" s="82"/>
      <c r="BB196" s="82"/>
      <c r="BC196" s="82"/>
      <c r="BD196" s="82"/>
      <c r="BE196" s="82"/>
      <c r="BF196" s="82"/>
      <c r="BG196" s="82"/>
      <c r="BH196" s="82"/>
      <c r="BI196" s="82"/>
      <c r="BJ196" s="82"/>
      <c r="BK196" s="82"/>
      <c r="BL196" s="82"/>
      <c r="BM196" s="82"/>
      <c r="BN196" s="82"/>
      <c r="BO196" s="82"/>
      <c r="BP196" s="82"/>
      <c r="BQ196" s="63"/>
      <c r="BR196" s="82"/>
      <c r="BS196" s="82"/>
      <c r="BT196" s="82"/>
      <c r="BU196" s="4"/>
    </row>
    <row r="197" spans="1:73" ht="12.75" x14ac:dyDescent="0.2">
      <c r="A197" s="68" t="s">
        <v>2</v>
      </c>
      <c r="B197" s="88"/>
      <c r="C197" s="88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4"/>
      <c r="O197" s="82"/>
      <c r="P197" s="82"/>
      <c r="Q197" s="82"/>
      <c r="R197" s="63"/>
      <c r="S197" s="63"/>
      <c r="T197" s="63"/>
      <c r="U197" s="63"/>
      <c r="V197" s="63"/>
      <c r="W197" s="63"/>
      <c r="X197" s="63"/>
      <c r="Y197" s="82"/>
      <c r="Z197" s="82"/>
      <c r="AA197" s="82"/>
      <c r="AB197" s="82"/>
      <c r="AC197" s="82"/>
      <c r="AD197" s="82"/>
      <c r="AE197" s="82"/>
      <c r="AF197" s="63" t="str">
        <f t="shared" si="0"/>
        <v/>
      </c>
      <c r="AG197" s="82"/>
      <c r="AH197" s="82"/>
      <c r="AI197" s="82"/>
      <c r="AJ197" s="82"/>
      <c r="AK197" s="82"/>
      <c r="AL197" s="82"/>
      <c r="AM197" s="82"/>
      <c r="AN197" s="82"/>
      <c r="AO197" s="82"/>
      <c r="AP197" s="82"/>
      <c r="AQ197" s="82"/>
      <c r="AR197" s="82"/>
      <c r="AS197" s="82"/>
      <c r="AT197" s="82"/>
      <c r="AU197" s="82"/>
      <c r="AV197" s="82"/>
      <c r="AW197" s="82"/>
      <c r="AX197" s="82"/>
      <c r="AY197" s="82"/>
      <c r="AZ197" s="82"/>
      <c r="BA197" s="82"/>
      <c r="BB197" s="82"/>
      <c r="BC197" s="82"/>
      <c r="BD197" s="82"/>
      <c r="BE197" s="82"/>
      <c r="BF197" s="82"/>
      <c r="BG197" s="82"/>
      <c r="BH197" s="82"/>
      <c r="BI197" s="82"/>
      <c r="BJ197" s="82"/>
      <c r="BK197" s="82"/>
      <c r="BL197" s="82"/>
      <c r="BM197" s="82"/>
      <c r="BN197" s="82"/>
      <c r="BO197" s="82"/>
      <c r="BP197" s="82"/>
      <c r="BQ197" s="63"/>
      <c r="BR197" s="82"/>
      <c r="BS197" s="82"/>
      <c r="BT197" s="82"/>
      <c r="BU197" s="4"/>
    </row>
    <row r="198" spans="1:73" ht="12.75" x14ac:dyDescent="0.2">
      <c r="A198" s="68" t="s">
        <v>2</v>
      </c>
      <c r="B198" s="88"/>
      <c r="C198" s="88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4"/>
      <c r="O198" s="82"/>
      <c r="P198" s="82"/>
      <c r="Q198" s="82"/>
      <c r="R198" s="63"/>
      <c r="S198" s="63"/>
      <c r="T198" s="63"/>
      <c r="U198" s="63"/>
      <c r="V198" s="63"/>
      <c r="W198" s="63"/>
      <c r="X198" s="63"/>
      <c r="Y198" s="82"/>
      <c r="Z198" s="82"/>
      <c r="AA198" s="82"/>
      <c r="AB198" s="82"/>
      <c r="AC198" s="82"/>
      <c r="AD198" s="82"/>
      <c r="AE198" s="82"/>
      <c r="AF198" s="63" t="str">
        <f t="shared" si="0"/>
        <v/>
      </c>
      <c r="AG198" s="82"/>
      <c r="AH198" s="82"/>
      <c r="AI198" s="82"/>
      <c r="AJ198" s="82"/>
      <c r="AK198" s="82"/>
      <c r="AL198" s="82"/>
      <c r="AM198" s="82"/>
      <c r="AN198" s="82"/>
      <c r="AO198" s="82"/>
      <c r="AP198" s="82"/>
      <c r="AQ198" s="82"/>
      <c r="AR198" s="82"/>
      <c r="AS198" s="82"/>
      <c r="AT198" s="82"/>
      <c r="AU198" s="82"/>
      <c r="AV198" s="82"/>
      <c r="AW198" s="82"/>
      <c r="AX198" s="82"/>
      <c r="AY198" s="82"/>
      <c r="AZ198" s="82"/>
      <c r="BA198" s="82"/>
      <c r="BB198" s="82"/>
      <c r="BC198" s="82"/>
      <c r="BD198" s="82"/>
      <c r="BE198" s="82"/>
      <c r="BF198" s="82"/>
      <c r="BG198" s="82"/>
      <c r="BH198" s="82"/>
      <c r="BI198" s="82"/>
      <c r="BJ198" s="82"/>
      <c r="BK198" s="82"/>
      <c r="BL198" s="82"/>
      <c r="BM198" s="82"/>
      <c r="BN198" s="82"/>
      <c r="BO198" s="82"/>
      <c r="BP198" s="82"/>
      <c r="BQ198" s="63"/>
      <c r="BR198" s="82"/>
      <c r="BS198" s="82"/>
      <c r="BT198" s="82"/>
      <c r="BU198" s="4"/>
    </row>
    <row r="199" spans="1:73" ht="12.75" x14ac:dyDescent="0.2">
      <c r="A199" s="68" t="s">
        <v>2</v>
      </c>
      <c r="B199" s="88"/>
      <c r="C199" s="88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4"/>
      <c r="O199" s="82"/>
      <c r="P199" s="82"/>
      <c r="Q199" s="82"/>
      <c r="R199" s="63"/>
      <c r="S199" s="63"/>
      <c r="T199" s="63"/>
      <c r="U199" s="63"/>
      <c r="V199" s="63"/>
      <c r="W199" s="63"/>
      <c r="X199" s="63"/>
      <c r="Y199" s="82"/>
      <c r="Z199" s="82"/>
      <c r="AA199" s="82"/>
      <c r="AB199" s="82"/>
      <c r="AC199" s="82"/>
      <c r="AD199" s="82"/>
      <c r="AE199" s="82"/>
      <c r="AF199" s="63" t="str">
        <f t="shared" si="0"/>
        <v/>
      </c>
      <c r="AG199" s="82"/>
      <c r="AH199" s="82"/>
      <c r="AI199" s="82"/>
      <c r="AJ199" s="82"/>
      <c r="AK199" s="82"/>
      <c r="AL199" s="82"/>
      <c r="AM199" s="82"/>
      <c r="AN199" s="82"/>
      <c r="AO199" s="82"/>
      <c r="AP199" s="82"/>
      <c r="AQ199" s="82"/>
      <c r="AR199" s="82"/>
      <c r="AS199" s="82"/>
      <c r="AT199" s="82"/>
      <c r="AU199" s="82"/>
      <c r="AV199" s="82"/>
      <c r="AW199" s="82"/>
      <c r="AX199" s="82"/>
      <c r="AY199" s="82"/>
      <c r="AZ199" s="82"/>
      <c r="BA199" s="82"/>
      <c r="BB199" s="82"/>
      <c r="BC199" s="82"/>
      <c r="BD199" s="82"/>
      <c r="BE199" s="82"/>
      <c r="BF199" s="82"/>
      <c r="BG199" s="82"/>
      <c r="BH199" s="82"/>
      <c r="BI199" s="82"/>
      <c r="BJ199" s="82"/>
      <c r="BK199" s="82"/>
      <c r="BL199" s="82"/>
      <c r="BM199" s="82"/>
      <c r="BN199" s="82"/>
      <c r="BO199" s="82"/>
      <c r="BP199" s="82"/>
      <c r="BQ199" s="63"/>
      <c r="BR199" s="82"/>
      <c r="BS199" s="82"/>
      <c r="BT199" s="82"/>
      <c r="BU199" s="4"/>
    </row>
    <row r="200" spans="1:73" ht="12.75" x14ac:dyDescent="0.2">
      <c r="A200" s="68" t="s">
        <v>2</v>
      </c>
      <c r="B200" s="88"/>
      <c r="C200" s="88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4"/>
      <c r="O200" s="82"/>
      <c r="P200" s="82"/>
      <c r="Q200" s="82"/>
      <c r="R200" s="63"/>
      <c r="S200" s="63"/>
      <c r="T200" s="63"/>
      <c r="U200" s="63"/>
      <c r="V200" s="63"/>
      <c r="W200" s="63"/>
      <c r="X200" s="63"/>
      <c r="Y200" s="82"/>
      <c r="Z200" s="82"/>
      <c r="AA200" s="82"/>
      <c r="AB200" s="82"/>
      <c r="AC200" s="82"/>
      <c r="AD200" s="82"/>
      <c r="AE200" s="82"/>
      <c r="AF200" s="63" t="str">
        <f t="shared" si="0"/>
        <v/>
      </c>
      <c r="AG200" s="82"/>
      <c r="AH200" s="82"/>
      <c r="AI200" s="82"/>
      <c r="AJ200" s="82"/>
      <c r="AK200" s="82"/>
      <c r="AL200" s="82"/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2"/>
      <c r="AX200" s="82"/>
      <c r="AY200" s="82"/>
      <c r="AZ200" s="82"/>
      <c r="BA200" s="82"/>
      <c r="BB200" s="82"/>
      <c r="BC200" s="82"/>
      <c r="BD200" s="82"/>
      <c r="BE200" s="82"/>
      <c r="BF200" s="82"/>
      <c r="BG200" s="82"/>
      <c r="BH200" s="82"/>
      <c r="BI200" s="82"/>
      <c r="BJ200" s="82"/>
      <c r="BK200" s="82"/>
      <c r="BL200" s="82"/>
      <c r="BM200" s="82"/>
      <c r="BN200" s="82"/>
      <c r="BO200" s="82"/>
      <c r="BP200" s="82"/>
      <c r="BQ200" s="63"/>
      <c r="BR200" s="82"/>
      <c r="BS200" s="82"/>
      <c r="BT200" s="82"/>
      <c r="BU200" s="4"/>
    </row>
    <row r="201" spans="1:73" ht="12.75" x14ac:dyDescent="0.2">
      <c r="A201" s="68" t="s">
        <v>2</v>
      </c>
      <c r="B201" s="88"/>
      <c r="C201" s="88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4"/>
      <c r="O201" s="82"/>
      <c r="P201" s="82"/>
      <c r="Q201" s="82"/>
      <c r="R201" s="63"/>
      <c r="S201" s="63"/>
      <c r="T201" s="63"/>
      <c r="U201" s="63"/>
      <c r="V201" s="63"/>
      <c r="W201" s="63"/>
      <c r="X201" s="63"/>
      <c r="Y201" s="82"/>
      <c r="Z201" s="82"/>
      <c r="AA201" s="82"/>
      <c r="AB201" s="82"/>
      <c r="AC201" s="82"/>
      <c r="AD201" s="82"/>
      <c r="AE201" s="82"/>
      <c r="AF201" s="63" t="str">
        <f t="shared" si="0"/>
        <v/>
      </c>
      <c r="AG201" s="82"/>
      <c r="AH201" s="82"/>
      <c r="AI201" s="82"/>
      <c r="AJ201" s="82"/>
      <c r="AK201" s="82"/>
      <c r="AL201" s="82"/>
      <c r="AM201" s="82"/>
      <c r="AN201" s="82"/>
      <c r="AO201" s="82"/>
      <c r="AP201" s="82"/>
      <c r="AQ201" s="82"/>
      <c r="AR201" s="82"/>
      <c r="AS201" s="82"/>
      <c r="AT201" s="82"/>
      <c r="AU201" s="82"/>
      <c r="AV201" s="82"/>
      <c r="AW201" s="82"/>
      <c r="AX201" s="82"/>
      <c r="AY201" s="82"/>
      <c r="AZ201" s="82"/>
      <c r="BA201" s="82"/>
      <c r="BB201" s="82"/>
      <c r="BC201" s="82"/>
      <c r="BD201" s="82"/>
      <c r="BE201" s="82"/>
      <c r="BF201" s="82"/>
      <c r="BG201" s="82"/>
      <c r="BH201" s="82"/>
      <c r="BI201" s="82"/>
      <c r="BJ201" s="82"/>
      <c r="BK201" s="82"/>
      <c r="BL201" s="82"/>
      <c r="BM201" s="82"/>
      <c r="BN201" s="82"/>
      <c r="BO201" s="82"/>
      <c r="BP201" s="82"/>
      <c r="BQ201" s="63"/>
      <c r="BR201" s="82"/>
      <c r="BS201" s="82"/>
      <c r="BT201" s="82"/>
      <c r="BU201" s="4"/>
    </row>
    <row r="202" spans="1:73" ht="12.75" x14ac:dyDescent="0.2">
      <c r="A202" s="68" t="s">
        <v>2</v>
      </c>
      <c r="B202" s="88"/>
      <c r="C202" s="88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4"/>
      <c r="O202" s="82"/>
      <c r="P202" s="82"/>
      <c r="Q202" s="82"/>
      <c r="R202" s="63"/>
      <c r="S202" s="63"/>
      <c r="T202" s="63"/>
      <c r="U202" s="63"/>
      <c r="V202" s="63"/>
      <c r="W202" s="63"/>
      <c r="X202" s="63"/>
      <c r="Y202" s="82"/>
      <c r="Z202" s="82"/>
      <c r="AA202" s="82"/>
      <c r="AB202" s="82"/>
      <c r="AC202" s="82"/>
      <c r="AD202" s="82"/>
      <c r="AE202" s="82"/>
      <c r="AF202" s="63" t="str">
        <f t="shared" si="0"/>
        <v/>
      </c>
      <c r="AG202" s="82"/>
      <c r="AH202" s="82"/>
      <c r="AI202" s="82"/>
      <c r="AJ202" s="82"/>
      <c r="AK202" s="82"/>
      <c r="AL202" s="82"/>
      <c r="AM202" s="82"/>
      <c r="AN202" s="82"/>
      <c r="AO202" s="82"/>
      <c r="AP202" s="82"/>
      <c r="AQ202" s="82"/>
      <c r="AR202" s="82"/>
      <c r="AS202" s="82"/>
      <c r="AT202" s="82"/>
      <c r="AU202" s="82"/>
      <c r="AV202" s="82"/>
      <c r="AW202" s="82"/>
      <c r="AX202" s="82"/>
      <c r="AY202" s="82"/>
      <c r="AZ202" s="82"/>
      <c r="BA202" s="82"/>
      <c r="BB202" s="82"/>
      <c r="BC202" s="82"/>
      <c r="BD202" s="82"/>
      <c r="BE202" s="82"/>
      <c r="BF202" s="82"/>
      <c r="BG202" s="82"/>
      <c r="BH202" s="82"/>
      <c r="BI202" s="82"/>
      <c r="BJ202" s="82"/>
      <c r="BK202" s="82"/>
      <c r="BL202" s="82"/>
      <c r="BM202" s="82"/>
      <c r="BN202" s="82"/>
      <c r="BO202" s="82"/>
      <c r="BP202" s="82"/>
      <c r="BQ202" s="63"/>
      <c r="BR202" s="82"/>
      <c r="BS202" s="82"/>
      <c r="BT202" s="82"/>
      <c r="BU202" s="4"/>
    </row>
    <row r="203" spans="1:73" ht="12.75" x14ac:dyDescent="0.2">
      <c r="A203" s="68" t="s">
        <v>2</v>
      </c>
      <c r="B203" s="88"/>
      <c r="C203" s="88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4"/>
      <c r="O203" s="82"/>
      <c r="P203" s="82"/>
      <c r="Q203" s="82"/>
      <c r="R203" s="63"/>
      <c r="S203" s="63"/>
      <c r="T203" s="63"/>
      <c r="U203" s="63"/>
      <c r="V203" s="63"/>
      <c r="W203" s="63"/>
      <c r="X203" s="63"/>
      <c r="Y203" s="82"/>
      <c r="Z203" s="82"/>
      <c r="AA203" s="82"/>
      <c r="AB203" s="82"/>
      <c r="AC203" s="82"/>
      <c r="AD203" s="82"/>
      <c r="AE203" s="82"/>
      <c r="AF203" s="63" t="str">
        <f t="shared" si="0"/>
        <v/>
      </c>
      <c r="AG203" s="82"/>
      <c r="AH203" s="82"/>
      <c r="AI203" s="82"/>
      <c r="AJ203" s="82"/>
      <c r="AK203" s="82"/>
      <c r="AL203" s="82"/>
      <c r="AM203" s="82"/>
      <c r="AN203" s="82"/>
      <c r="AO203" s="82"/>
      <c r="AP203" s="82"/>
      <c r="AQ203" s="82"/>
      <c r="AR203" s="82"/>
      <c r="AS203" s="82"/>
      <c r="AT203" s="82"/>
      <c r="AU203" s="82"/>
      <c r="AV203" s="82"/>
      <c r="AW203" s="82"/>
      <c r="AX203" s="82"/>
      <c r="AY203" s="82"/>
      <c r="AZ203" s="82"/>
      <c r="BA203" s="82"/>
      <c r="BB203" s="82"/>
      <c r="BC203" s="82"/>
      <c r="BD203" s="82"/>
      <c r="BE203" s="82"/>
      <c r="BF203" s="82"/>
      <c r="BG203" s="82"/>
      <c r="BH203" s="82"/>
      <c r="BI203" s="82"/>
      <c r="BJ203" s="82"/>
      <c r="BK203" s="82"/>
      <c r="BL203" s="82"/>
      <c r="BM203" s="82"/>
      <c r="BN203" s="82"/>
      <c r="BO203" s="82"/>
      <c r="BP203" s="82"/>
      <c r="BQ203" s="63"/>
      <c r="BR203" s="82"/>
      <c r="BS203" s="82"/>
      <c r="BT203" s="82"/>
      <c r="BU203" s="4"/>
    </row>
    <row r="204" spans="1:73" ht="12.75" x14ac:dyDescent="0.2">
      <c r="A204" s="68" t="s">
        <v>2</v>
      </c>
      <c r="B204" s="88"/>
      <c r="C204" s="88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4"/>
      <c r="O204" s="82"/>
      <c r="P204" s="82"/>
      <c r="Q204" s="82"/>
      <c r="R204" s="63"/>
      <c r="S204" s="63"/>
      <c r="T204" s="63"/>
      <c r="U204" s="63"/>
      <c r="V204" s="63"/>
      <c r="W204" s="63"/>
      <c r="X204" s="63"/>
      <c r="Y204" s="82"/>
      <c r="Z204" s="82"/>
      <c r="AA204" s="82"/>
      <c r="AB204" s="82"/>
      <c r="AC204" s="82"/>
      <c r="AD204" s="82"/>
      <c r="AE204" s="82"/>
      <c r="AF204" s="63" t="str">
        <f t="shared" si="0"/>
        <v/>
      </c>
      <c r="AG204" s="82"/>
      <c r="AH204" s="82"/>
      <c r="AI204" s="82"/>
      <c r="AJ204" s="82"/>
      <c r="AK204" s="82"/>
      <c r="AL204" s="82"/>
      <c r="AM204" s="82"/>
      <c r="AN204" s="82"/>
      <c r="AO204" s="82"/>
      <c r="AP204" s="82"/>
      <c r="AQ204" s="82"/>
      <c r="AR204" s="82"/>
      <c r="AS204" s="82"/>
      <c r="AT204" s="82"/>
      <c r="AU204" s="82"/>
      <c r="AV204" s="82"/>
      <c r="AW204" s="82"/>
      <c r="AX204" s="82"/>
      <c r="AY204" s="82"/>
      <c r="AZ204" s="82"/>
      <c r="BA204" s="82"/>
      <c r="BB204" s="82"/>
      <c r="BC204" s="82"/>
      <c r="BD204" s="82"/>
      <c r="BE204" s="82"/>
      <c r="BF204" s="82"/>
      <c r="BG204" s="82"/>
      <c r="BH204" s="82"/>
      <c r="BI204" s="82"/>
      <c r="BJ204" s="82"/>
      <c r="BK204" s="82"/>
      <c r="BL204" s="82"/>
      <c r="BM204" s="82"/>
      <c r="BN204" s="82"/>
      <c r="BO204" s="82"/>
      <c r="BP204" s="82"/>
      <c r="BQ204" s="63"/>
      <c r="BR204" s="82"/>
      <c r="BS204" s="82"/>
      <c r="BT204" s="82"/>
      <c r="BU204" s="4"/>
    </row>
    <row r="205" spans="1:73" ht="12.75" x14ac:dyDescent="0.2">
      <c r="A205" s="68" t="s">
        <v>2</v>
      </c>
      <c r="B205" s="88"/>
      <c r="C205" s="88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4"/>
      <c r="O205" s="82"/>
      <c r="P205" s="82"/>
      <c r="Q205" s="82"/>
      <c r="R205" s="63"/>
      <c r="S205" s="63"/>
      <c r="T205" s="63"/>
      <c r="U205" s="63"/>
      <c r="V205" s="63"/>
      <c r="W205" s="63"/>
      <c r="X205" s="63"/>
      <c r="Y205" s="82"/>
      <c r="Z205" s="82"/>
      <c r="AA205" s="82"/>
      <c r="AB205" s="82"/>
      <c r="AC205" s="82"/>
      <c r="AD205" s="82"/>
      <c r="AE205" s="82"/>
      <c r="AF205" s="63" t="str">
        <f t="shared" si="0"/>
        <v/>
      </c>
      <c r="AG205" s="82"/>
      <c r="AH205" s="82"/>
      <c r="AI205" s="82"/>
      <c r="AJ205" s="82"/>
      <c r="AK205" s="82"/>
      <c r="AL205" s="82"/>
      <c r="AM205" s="82"/>
      <c r="AN205" s="82"/>
      <c r="AO205" s="82"/>
      <c r="AP205" s="82"/>
      <c r="AQ205" s="82"/>
      <c r="AR205" s="82"/>
      <c r="AS205" s="82"/>
      <c r="AT205" s="82"/>
      <c r="AU205" s="82"/>
      <c r="AV205" s="82"/>
      <c r="AW205" s="82"/>
      <c r="AX205" s="82"/>
      <c r="AY205" s="82"/>
      <c r="AZ205" s="82"/>
      <c r="BA205" s="82"/>
      <c r="BB205" s="82"/>
      <c r="BC205" s="82"/>
      <c r="BD205" s="82"/>
      <c r="BE205" s="82"/>
      <c r="BF205" s="82"/>
      <c r="BG205" s="82"/>
      <c r="BH205" s="82"/>
      <c r="BI205" s="82"/>
      <c r="BJ205" s="82"/>
      <c r="BK205" s="82"/>
      <c r="BL205" s="82"/>
      <c r="BM205" s="82"/>
      <c r="BN205" s="82"/>
      <c r="BO205" s="82"/>
      <c r="BP205" s="82"/>
      <c r="BQ205" s="63"/>
      <c r="BR205" s="82"/>
      <c r="BS205" s="82"/>
      <c r="BT205" s="82"/>
      <c r="BU205" s="4"/>
    </row>
    <row r="206" spans="1:73" ht="12.75" x14ac:dyDescent="0.2">
      <c r="A206" s="68" t="s">
        <v>2</v>
      </c>
      <c r="B206" s="88"/>
      <c r="C206" s="88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4"/>
      <c r="O206" s="82"/>
      <c r="P206" s="82"/>
      <c r="Q206" s="82"/>
      <c r="R206" s="63"/>
      <c r="S206" s="63"/>
      <c r="T206" s="63"/>
      <c r="U206" s="63"/>
      <c r="V206" s="63"/>
      <c r="W206" s="63"/>
      <c r="X206" s="63"/>
      <c r="Y206" s="82"/>
      <c r="Z206" s="82"/>
      <c r="AA206" s="82"/>
      <c r="AB206" s="82"/>
      <c r="AC206" s="82"/>
      <c r="AD206" s="82"/>
      <c r="AE206" s="82"/>
      <c r="AF206" s="63" t="str">
        <f t="shared" si="0"/>
        <v/>
      </c>
      <c r="AG206" s="82"/>
      <c r="AH206" s="82"/>
      <c r="AI206" s="82"/>
      <c r="AJ206" s="82"/>
      <c r="AK206" s="82"/>
      <c r="AL206" s="82"/>
      <c r="AM206" s="82"/>
      <c r="AN206" s="82"/>
      <c r="AO206" s="82"/>
      <c r="AP206" s="82"/>
      <c r="AQ206" s="82"/>
      <c r="AR206" s="82"/>
      <c r="AS206" s="82"/>
      <c r="AT206" s="82"/>
      <c r="AU206" s="82"/>
      <c r="AV206" s="82"/>
      <c r="AW206" s="82"/>
      <c r="AX206" s="82"/>
      <c r="AY206" s="82"/>
      <c r="AZ206" s="82"/>
      <c r="BA206" s="82"/>
      <c r="BB206" s="82"/>
      <c r="BC206" s="82"/>
      <c r="BD206" s="82"/>
      <c r="BE206" s="82"/>
      <c r="BF206" s="82"/>
      <c r="BG206" s="82"/>
      <c r="BH206" s="82"/>
      <c r="BI206" s="82"/>
      <c r="BJ206" s="82"/>
      <c r="BK206" s="82"/>
      <c r="BL206" s="82"/>
      <c r="BM206" s="82"/>
      <c r="BN206" s="82"/>
      <c r="BO206" s="82"/>
      <c r="BP206" s="82"/>
      <c r="BQ206" s="63"/>
      <c r="BR206" s="82"/>
      <c r="BS206" s="82"/>
      <c r="BT206" s="82"/>
      <c r="BU206" s="4"/>
    </row>
    <row r="207" spans="1:73" ht="12.75" x14ac:dyDescent="0.2">
      <c r="A207" s="68" t="s">
        <v>2</v>
      </c>
      <c r="B207" s="88"/>
      <c r="C207" s="88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4"/>
      <c r="O207" s="82"/>
      <c r="P207" s="82"/>
      <c r="Q207" s="82"/>
      <c r="R207" s="63"/>
      <c r="S207" s="63"/>
      <c r="T207" s="63"/>
      <c r="U207" s="63"/>
      <c r="V207" s="63"/>
      <c r="W207" s="63"/>
      <c r="X207" s="63"/>
      <c r="Y207" s="82"/>
      <c r="Z207" s="82"/>
      <c r="AA207" s="82"/>
      <c r="AB207" s="82"/>
      <c r="AC207" s="82"/>
      <c r="AD207" s="82"/>
      <c r="AE207" s="82"/>
      <c r="AF207" s="63" t="str">
        <f t="shared" si="0"/>
        <v/>
      </c>
      <c r="AG207" s="82"/>
      <c r="AH207" s="82"/>
      <c r="AI207" s="82"/>
      <c r="AJ207" s="82"/>
      <c r="AK207" s="82"/>
      <c r="AL207" s="82"/>
      <c r="AM207" s="82"/>
      <c r="AN207" s="82"/>
      <c r="AO207" s="82"/>
      <c r="AP207" s="82"/>
      <c r="AQ207" s="82"/>
      <c r="AR207" s="82"/>
      <c r="AS207" s="82"/>
      <c r="AT207" s="82"/>
      <c r="AU207" s="82"/>
      <c r="AV207" s="82"/>
      <c r="AW207" s="82"/>
      <c r="AX207" s="82"/>
      <c r="AY207" s="82"/>
      <c r="AZ207" s="82"/>
      <c r="BA207" s="82"/>
      <c r="BB207" s="82"/>
      <c r="BC207" s="82"/>
      <c r="BD207" s="82"/>
      <c r="BE207" s="82"/>
      <c r="BF207" s="82"/>
      <c r="BG207" s="82"/>
      <c r="BH207" s="82"/>
      <c r="BI207" s="82"/>
      <c r="BJ207" s="82"/>
      <c r="BK207" s="82"/>
      <c r="BL207" s="82"/>
      <c r="BM207" s="82"/>
      <c r="BN207" s="82"/>
      <c r="BO207" s="82"/>
      <c r="BP207" s="82"/>
      <c r="BQ207" s="63"/>
      <c r="BR207" s="82"/>
      <c r="BS207" s="82"/>
      <c r="BT207" s="82"/>
      <c r="BU207" s="4"/>
    </row>
    <row r="208" spans="1:73" ht="12.75" x14ac:dyDescent="0.2">
      <c r="A208" s="68" t="s">
        <v>2</v>
      </c>
      <c r="B208" s="88"/>
      <c r="C208" s="88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4"/>
      <c r="O208" s="82"/>
      <c r="P208" s="82"/>
      <c r="Q208" s="82"/>
      <c r="R208" s="63"/>
      <c r="S208" s="63"/>
      <c r="T208" s="63"/>
      <c r="U208" s="63"/>
      <c r="V208" s="63"/>
      <c r="W208" s="63"/>
      <c r="X208" s="63"/>
      <c r="Y208" s="82"/>
      <c r="Z208" s="82"/>
      <c r="AA208" s="82"/>
      <c r="AB208" s="82"/>
      <c r="AC208" s="82"/>
      <c r="AD208" s="82"/>
      <c r="AE208" s="82"/>
      <c r="AF208" s="63" t="str">
        <f t="shared" si="0"/>
        <v/>
      </c>
      <c r="AG208" s="82"/>
      <c r="AH208" s="82"/>
      <c r="AI208" s="82"/>
      <c r="AJ208" s="82"/>
      <c r="AK208" s="82"/>
      <c r="AL208" s="82"/>
      <c r="AM208" s="82"/>
      <c r="AN208" s="82"/>
      <c r="AO208" s="82"/>
      <c r="AP208" s="82"/>
      <c r="AQ208" s="82"/>
      <c r="AR208" s="82"/>
      <c r="AS208" s="82"/>
      <c r="AT208" s="82"/>
      <c r="AU208" s="82"/>
      <c r="AV208" s="82"/>
      <c r="AW208" s="82"/>
      <c r="AX208" s="82"/>
      <c r="AY208" s="82"/>
      <c r="AZ208" s="82"/>
      <c r="BA208" s="82"/>
      <c r="BB208" s="82"/>
      <c r="BC208" s="82"/>
      <c r="BD208" s="82"/>
      <c r="BE208" s="82"/>
      <c r="BF208" s="82"/>
      <c r="BG208" s="82"/>
      <c r="BH208" s="82"/>
      <c r="BI208" s="82"/>
      <c r="BJ208" s="82"/>
      <c r="BK208" s="82"/>
      <c r="BL208" s="82"/>
      <c r="BM208" s="82"/>
      <c r="BN208" s="82"/>
      <c r="BO208" s="82"/>
      <c r="BP208" s="82"/>
      <c r="BQ208" s="63"/>
      <c r="BR208" s="82"/>
      <c r="BS208" s="82"/>
      <c r="BT208" s="82"/>
      <c r="BU208" s="4"/>
    </row>
    <row r="209" spans="1:73" ht="12.75" x14ac:dyDescent="0.2">
      <c r="A209" s="68" t="s">
        <v>2</v>
      </c>
      <c r="B209" s="88"/>
      <c r="C209" s="88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4"/>
      <c r="O209" s="82"/>
      <c r="P209" s="82"/>
      <c r="Q209" s="82"/>
      <c r="R209" s="63"/>
      <c r="S209" s="63"/>
      <c r="T209" s="63"/>
      <c r="U209" s="63"/>
      <c r="V209" s="63"/>
      <c r="W209" s="63"/>
      <c r="X209" s="63"/>
      <c r="Y209" s="82"/>
      <c r="Z209" s="82"/>
      <c r="AA209" s="82"/>
      <c r="AB209" s="82"/>
      <c r="AC209" s="82"/>
      <c r="AD209" s="82"/>
      <c r="AE209" s="82"/>
      <c r="AF209" s="63" t="str">
        <f t="shared" si="0"/>
        <v/>
      </c>
      <c r="AG209" s="82"/>
      <c r="AH209" s="82"/>
      <c r="AI209" s="82"/>
      <c r="AJ209" s="82"/>
      <c r="AK209" s="82"/>
      <c r="AL209" s="82"/>
      <c r="AM209" s="82"/>
      <c r="AN209" s="82"/>
      <c r="AO209" s="82"/>
      <c r="AP209" s="82"/>
      <c r="AQ209" s="82"/>
      <c r="AR209" s="82"/>
      <c r="AS209" s="82"/>
      <c r="AT209" s="82"/>
      <c r="AU209" s="82"/>
      <c r="AV209" s="82"/>
      <c r="AW209" s="82"/>
      <c r="AX209" s="82"/>
      <c r="AY209" s="82"/>
      <c r="AZ209" s="82"/>
      <c r="BA209" s="82"/>
      <c r="BB209" s="82"/>
      <c r="BC209" s="82"/>
      <c r="BD209" s="82"/>
      <c r="BE209" s="82"/>
      <c r="BF209" s="82"/>
      <c r="BG209" s="82"/>
      <c r="BH209" s="82"/>
      <c r="BI209" s="82"/>
      <c r="BJ209" s="82"/>
      <c r="BK209" s="82"/>
      <c r="BL209" s="82"/>
      <c r="BM209" s="82"/>
      <c r="BN209" s="82"/>
      <c r="BO209" s="82"/>
      <c r="BP209" s="82"/>
      <c r="BQ209" s="63"/>
      <c r="BR209" s="82"/>
      <c r="BS209" s="82"/>
      <c r="BT209" s="82"/>
      <c r="BU209" s="4"/>
    </row>
    <row r="210" spans="1:73" ht="12.75" x14ac:dyDescent="0.2">
      <c r="A210" s="68" t="s">
        <v>2</v>
      </c>
      <c r="B210" s="88"/>
      <c r="C210" s="88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4"/>
      <c r="O210" s="82"/>
      <c r="P210" s="82"/>
      <c r="Q210" s="82"/>
      <c r="R210" s="63"/>
      <c r="S210" s="63"/>
      <c r="T210" s="63"/>
      <c r="U210" s="63"/>
      <c r="V210" s="63"/>
      <c r="W210" s="63"/>
      <c r="X210" s="63"/>
      <c r="Y210" s="82"/>
      <c r="Z210" s="82"/>
      <c r="AA210" s="82"/>
      <c r="AB210" s="82"/>
      <c r="AC210" s="82"/>
      <c r="AD210" s="82"/>
      <c r="AE210" s="82"/>
      <c r="AF210" s="63" t="str">
        <f t="shared" si="0"/>
        <v/>
      </c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  <c r="AR210" s="82"/>
      <c r="AS210" s="82"/>
      <c r="AT210" s="82"/>
      <c r="AU210" s="82"/>
      <c r="AV210" s="82"/>
      <c r="AW210" s="82"/>
      <c r="AX210" s="82"/>
      <c r="AY210" s="82"/>
      <c r="AZ210" s="82"/>
      <c r="BA210" s="82"/>
      <c r="BB210" s="82"/>
      <c r="BC210" s="82"/>
      <c r="BD210" s="82"/>
      <c r="BE210" s="82"/>
      <c r="BF210" s="82"/>
      <c r="BG210" s="82"/>
      <c r="BH210" s="82"/>
      <c r="BI210" s="82"/>
      <c r="BJ210" s="82"/>
      <c r="BK210" s="82"/>
      <c r="BL210" s="82"/>
      <c r="BM210" s="82"/>
      <c r="BN210" s="82"/>
      <c r="BO210" s="82"/>
      <c r="BP210" s="82"/>
      <c r="BQ210" s="63"/>
      <c r="BR210" s="82"/>
      <c r="BS210" s="82"/>
      <c r="BT210" s="82"/>
      <c r="BU210" s="4"/>
    </row>
    <row r="211" spans="1:73" ht="12.75" x14ac:dyDescent="0.2">
      <c r="A211" s="68" t="s">
        <v>2</v>
      </c>
      <c r="B211" s="88"/>
      <c r="C211" s="88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4"/>
      <c r="O211" s="82"/>
      <c r="P211" s="82"/>
      <c r="Q211" s="82"/>
      <c r="R211" s="63"/>
      <c r="S211" s="63"/>
      <c r="T211" s="63"/>
      <c r="U211" s="63"/>
      <c r="V211" s="63"/>
      <c r="W211" s="63"/>
      <c r="X211" s="63"/>
      <c r="Y211" s="82"/>
      <c r="Z211" s="82"/>
      <c r="AA211" s="82"/>
      <c r="AB211" s="82"/>
      <c r="AC211" s="82"/>
      <c r="AD211" s="82"/>
      <c r="AE211" s="82"/>
      <c r="AF211" s="63" t="str">
        <f t="shared" si="0"/>
        <v/>
      </c>
      <c r="AG211" s="82"/>
      <c r="AH211" s="82"/>
      <c r="AI211" s="82"/>
      <c r="AJ211" s="82"/>
      <c r="AK211" s="82"/>
      <c r="AL211" s="82"/>
      <c r="AM211" s="82"/>
      <c r="AN211" s="82"/>
      <c r="AO211" s="82"/>
      <c r="AP211" s="82"/>
      <c r="AQ211" s="82"/>
      <c r="AR211" s="82"/>
      <c r="AS211" s="82"/>
      <c r="AT211" s="82"/>
      <c r="AU211" s="82"/>
      <c r="AV211" s="82"/>
      <c r="AW211" s="82"/>
      <c r="AX211" s="82"/>
      <c r="AY211" s="82"/>
      <c r="AZ211" s="82"/>
      <c r="BA211" s="82"/>
      <c r="BB211" s="82"/>
      <c r="BC211" s="82"/>
      <c r="BD211" s="82"/>
      <c r="BE211" s="82"/>
      <c r="BF211" s="82"/>
      <c r="BG211" s="82"/>
      <c r="BH211" s="82"/>
      <c r="BI211" s="82"/>
      <c r="BJ211" s="82"/>
      <c r="BK211" s="82"/>
      <c r="BL211" s="82"/>
      <c r="BM211" s="82"/>
      <c r="BN211" s="82"/>
      <c r="BO211" s="82"/>
      <c r="BP211" s="82"/>
      <c r="BQ211" s="63"/>
      <c r="BR211" s="82"/>
      <c r="BS211" s="82"/>
      <c r="BT211" s="82"/>
      <c r="BU211" s="4"/>
    </row>
    <row r="212" spans="1:73" ht="12.75" x14ac:dyDescent="0.2">
      <c r="A212" s="68" t="s">
        <v>2</v>
      </c>
      <c r="B212" s="85"/>
      <c r="C212" s="85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4"/>
      <c r="O212" s="82"/>
      <c r="P212" s="82"/>
      <c r="Q212" s="82"/>
      <c r="R212" s="63"/>
      <c r="S212" s="63"/>
      <c r="T212" s="63"/>
      <c r="U212" s="63"/>
      <c r="V212" s="63"/>
      <c r="W212" s="63"/>
      <c r="X212" s="63"/>
      <c r="Y212" s="82"/>
      <c r="Z212" s="82"/>
      <c r="AA212" s="82"/>
      <c r="AB212" s="82"/>
      <c r="AC212" s="82"/>
      <c r="AD212" s="82"/>
      <c r="AE212" s="82"/>
      <c r="AF212" s="63" t="str">
        <f t="shared" si="0"/>
        <v/>
      </c>
      <c r="AG212" s="82"/>
      <c r="AH212" s="82"/>
      <c r="AI212" s="82"/>
      <c r="AJ212" s="82"/>
      <c r="AK212" s="82"/>
      <c r="AL212" s="82"/>
      <c r="AM212" s="82"/>
      <c r="AN212" s="82"/>
      <c r="AO212" s="82"/>
      <c r="AP212" s="82"/>
      <c r="AQ212" s="82"/>
      <c r="AR212" s="82"/>
      <c r="AS212" s="82"/>
      <c r="AT212" s="82"/>
      <c r="AU212" s="82"/>
      <c r="AV212" s="82"/>
      <c r="AW212" s="82"/>
      <c r="AX212" s="82"/>
      <c r="AY212" s="82"/>
      <c r="AZ212" s="82"/>
      <c r="BA212" s="82"/>
      <c r="BB212" s="82"/>
      <c r="BC212" s="82"/>
      <c r="BD212" s="82"/>
      <c r="BE212" s="82"/>
      <c r="BF212" s="82"/>
      <c r="BG212" s="82"/>
      <c r="BH212" s="82"/>
      <c r="BI212" s="82"/>
      <c r="BJ212" s="82"/>
      <c r="BK212" s="82"/>
      <c r="BL212" s="82"/>
      <c r="BM212" s="82"/>
      <c r="BN212" s="82"/>
      <c r="BO212" s="82"/>
      <c r="BP212" s="82"/>
      <c r="BQ212" s="63"/>
      <c r="BR212" s="82"/>
      <c r="BS212" s="82"/>
      <c r="BT212" s="82"/>
      <c r="BU212" s="4"/>
    </row>
    <row r="213" spans="1:73" ht="12.75" x14ac:dyDescent="0.2">
      <c r="A213" s="68" t="s">
        <v>2</v>
      </c>
      <c r="B213" s="85"/>
      <c r="C213" s="85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4"/>
      <c r="O213" s="82"/>
      <c r="P213" s="82"/>
      <c r="Q213" s="82"/>
      <c r="R213" s="63"/>
      <c r="S213" s="63"/>
      <c r="T213" s="63"/>
      <c r="U213" s="63"/>
      <c r="V213" s="63"/>
      <c r="W213" s="63"/>
      <c r="X213" s="63"/>
      <c r="Y213" s="82"/>
      <c r="Z213" s="82"/>
      <c r="AA213" s="82"/>
      <c r="AB213" s="82"/>
      <c r="AC213" s="82"/>
      <c r="AD213" s="82"/>
      <c r="AE213" s="82"/>
      <c r="AF213" s="63" t="str">
        <f t="shared" si="0"/>
        <v/>
      </c>
      <c r="AG213" s="82"/>
      <c r="AH213" s="82"/>
      <c r="AI213" s="82"/>
      <c r="AJ213" s="82"/>
      <c r="AK213" s="82"/>
      <c r="AL213" s="82"/>
      <c r="AM213" s="82"/>
      <c r="AN213" s="82"/>
      <c r="AO213" s="82"/>
      <c r="AP213" s="82"/>
      <c r="AQ213" s="82"/>
      <c r="AR213" s="82"/>
      <c r="AS213" s="82"/>
      <c r="AT213" s="82"/>
      <c r="AU213" s="82"/>
      <c r="AV213" s="82"/>
      <c r="AW213" s="82"/>
      <c r="AX213" s="82"/>
      <c r="AY213" s="82"/>
      <c r="AZ213" s="82"/>
      <c r="BA213" s="82"/>
      <c r="BB213" s="82"/>
      <c r="BC213" s="82"/>
      <c r="BD213" s="82"/>
      <c r="BE213" s="82"/>
      <c r="BF213" s="82"/>
      <c r="BG213" s="82"/>
      <c r="BH213" s="82"/>
      <c r="BI213" s="82"/>
      <c r="BJ213" s="82"/>
      <c r="BK213" s="82"/>
      <c r="BL213" s="82"/>
      <c r="BM213" s="82"/>
      <c r="BN213" s="82"/>
      <c r="BO213" s="82"/>
      <c r="BP213" s="82"/>
      <c r="BQ213" s="63"/>
      <c r="BR213" s="82"/>
      <c r="BS213" s="82"/>
      <c r="BT213" s="82"/>
      <c r="BU213" s="4"/>
    </row>
    <row r="214" spans="1:73" ht="12.75" x14ac:dyDescent="0.2">
      <c r="A214" s="68" t="s">
        <v>2</v>
      </c>
      <c r="B214" s="85"/>
      <c r="C214" s="85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4"/>
      <c r="O214" s="82"/>
      <c r="P214" s="82"/>
      <c r="Q214" s="82"/>
      <c r="R214" s="63"/>
      <c r="S214" s="63"/>
      <c r="T214" s="63"/>
      <c r="U214" s="63"/>
      <c r="V214" s="63"/>
      <c r="W214" s="63"/>
      <c r="X214" s="63"/>
      <c r="Y214" s="82"/>
      <c r="Z214" s="82"/>
      <c r="AA214" s="82"/>
      <c r="AB214" s="82"/>
      <c r="AC214" s="82"/>
      <c r="AD214" s="82"/>
      <c r="AE214" s="82"/>
      <c r="AF214" s="63" t="str">
        <f t="shared" si="0"/>
        <v/>
      </c>
      <c r="AG214" s="82"/>
      <c r="AH214" s="82"/>
      <c r="AI214" s="82"/>
      <c r="AJ214" s="82"/>
      <c r="AK214" s="82"/>
      <c r="AL214" s="82"/>
      <c r="AM214" s="82"/>
      <c r="AN214" s="82"/>
      <c r="AO214" s="82"/>
      <c r="AP214" s="82"/>
      <c r="AQ214" s="82"/>
      <c r="AR214" s="82"/>
      <c r="AS214" s="82"/>
      <c r="AT214" s="82"/>
      <c r="AU214" s="82"/>
      <c r="AV214" s="82"/>
      <c r="AW214" s="82"/>
      <c r="AX214" s="82"/>
      <c r="AY214" s="82"/>
      <c r="AZ214" s="82"/>
      <c r="BA214" s="82"/>
      <c r="BB214" s="82"/>
      <c r="BC214" s="82"/>
      <c r="BD214" s="82"/>
      <c r="BE214" s="82"/>
      <c r="BF214" s="82"/>
      <c r="BG214" s="82"/>
      <c r="BH214" s="82"/>
      <c r="BI214" s="82"/>
      <c r="BJ214" s="82"/>
      <c r="BK214" s="82"/>
      <c r="BL214" s="82"/>
      <c r="BM214" s="82"/>
      <c r="BN214" s="82"/>
      <c r="BO214" s="82"/>
      <c r="BP214" s="82"/>
      <c r="BQ214" s="63"/>
      <c r="BR214" s="82"/>
      <c r="BS214" s="82"/>
      <c r="BT214" s="82"/>
      <c r="BU214" s="4"/>
    </row>
    <row r="215" spans="1:73" ht="12.75" x14ac:dyDescent="0.2">
      <c r="A215" s="68" t="s">
        <v>2</v>
      </c>
      <c r="B215" s="85"/>
      <c r="C215" s="85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4"/>
      <c r="O215" s="82"/>
      <c r="P215" s="82"/>
      <c r="Q215" s="82"/>
      <c r="R215" s="63"/>
      <c r="S215" s="63"/>
      <c r="T215" s="63"/>
      <c r="U215" s="63"/>
      <c r="V215" s="63"/>
      <c r="W215" s="63"/>
      <c r="X215" s="63"/>
      <c r="Y215" s="82"/>
      <c r="Z215" s="82"/>
      <c r="AA215" s="82"/>
      <c r="AB215" s="82"/>
      <c r="AC215" s="82"/>
      <c r="AD215" s="82"/>
      <c r="AE215" s="82"/>
      <c r="AF215" s="63" t="str">
        <f t="shared" si="0"/>
        <v/>
      </c>
      <c r="AG215" s="82"/>
      <c r="AH215" s="82"/>
      <c r="AI215" s="82"/>
      <c r="AJ215" s="82"/>
      <c r="AK215" s="82"/>
      <c r="AL215" s="82"/>
      <c r="AM215" s="82"/>
      <c r="AN215" s="82"/>
      <c r="AO215" s="82"/>
      <c r="AP215" s="82"/>
      <c r="AQ215" s="82"/>
      <c r="AR215" s="82"/>
      <c r="AS215" s="82"/>
      <c r="AT215" s="82"/>
      <c r="AU215" s="82"/>
      <c r="AV215" s="82"/>
      <c r="AW215" s="82"/>
      <c r="AX215" s="82"/>
      <c r="AY215" s="82"/>
      <c r="AZ215" s="82"/>
      <c r="BA215" s="82"/>
      <c r="BB215" s="82"/>
      <c r="BC215" s="82"/>
      <c r="BD215" s="82"/>
      <c r="BE215" s="82"/>
      <c r="BF215" s="82"/>
      <c r="BG215" s="82"/>
      <c r="BH215" s="82"/>
      <c r="BI215" s="82"/>
      <c r="BJ215" s="82"/>
      <c r="BK215" s="82"/>
      <c r="BL215" s="82"/>
      <c r="BM215" s="82"/>
      <c r="BN215" s="82"/>
      <c r="BO215" s="82"/>
      <c r="BP215" s="82"/>
      <c r="BQ215" s="63"/>
      <c r="BR215" s="82"/>
      <c r="BS215" s="82"/>
      <c r="BT215" s="82"/>
      <c r="BU215" s="4"/>
    </row>
    <row r="216" spans="1:73" ht="12.75" x14ac:dyDescent="0.2">
      <c r="A216" s="68" t="s">
        <v>2</v>
      </c>
      <c r="B216" s="85"/>
      <c r="C216" s="85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4"/>
      <c r="O216" s="82"/>
      <c r="P216" s="82"/>
      <c r="Q216" s="82"/>
      <c r="R216" s="63"/>
      <c r="S216" s="63"/>
      <c r="T216" s="63"/>
      <c r="U216" s="63"/>
      <c r="V216" s="63"/>
      <c r="W216" s="63"/>
      <c r="X216" s="63"/>
      <c r="Y216" s="82"/>
      <c r="Z216" s="82"/>
      <c r="AA216" s="82"/>
      <c r="AB216" s="82"/>
      <c r="AC216" s="82"/>
      <c r="AD216" s="82"/>
      <c r="AE216" s="82"/>
      <c r="AF216" s="63" t="str">
        <f t="shared" si="0"/>
        <v/>
      </c>
      <c r="AG216" s="82"/>
      <c r="AH216" s="82"/>
      <c r="AI216" s="82"/>
      <c r="AJ216" s="82"/>
      <c r="AK216" s="82"/>
      <c r="AL216" s="82"/>
      <c r="AM216" s="82"/>
      <c r="AN216" s="82"/>
      <c r="AO216" s="82"/>
      <c r="AP216" s="82"/>
      <c r="AQ216" s="82"/>
      <c r="AR216" s="82"/>
      <c r="AS216" s="82"/>
      <c r="AT216" s="82"/>
      <c r="AU216" s="82"/>
      <c r="AV216" s="82"/>
      <c r="AW216" s="82"/>
      <c r="AX216" s="82"/>
      <c r="AY216" s="82"/>
      <c r="AZ216" s="82"/>
      <c r="BA216" s="82"/>
      <c r="BB216" s="82"/>
      <c r="BC216" s="82"/>
      <c r="BD216" s="82"/>
      <c r="BE216" s="82"/>
      <c r="BF216" s="82"/>
      <c r="BG216" s="82"/>
      <c r="BH216" s="82"/>
      <c r="BI216" s="82"/>
      <c r="BJ216" s="82"/>
      <c r="BK216" s="82"/>
      <c r="BL216" s="82"/>
      <c r="BM216" s="82"/>
      <c r="BN216" s="82"/>
      <c r="BO216" s="82"/>
      <c r="BP216" s="82"/>
      <c r="BQ216" s="63"/>
      <c r="BR216" s="82"/>
      <c r="BS216" s="82"/>
      <c r="BT216" s="82"/>
      <c r="BU216" s="4"/>
    </row>
    <row r="217" spans="1:73" ht="12.75" x14ac:dyDescent="0.2">
      <c r="A217" s="68" t="s">
        <v>2</v>
      </c>
      <c r="B217" s="85"/>
      <c r="C217" s="85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4"/>
      <c r="O217" s="82"/>
      <c r="P217" s="82"/>
      <c r="Q217" s="82"/>
      <c r="R217" s="63"/>
      <c r="S217" s="63"/>
      <c r="T217" s="63"/>
      <c r="U217" s="63"/>
      <c r="V217" s="63"/>
      <c r="W217" s="63"/>
      <c r="X217" s="63"/>
      <c r="Y217" s="82"/>
      <c r="Z217" s="82"/>
      <c r="AA217" s="82"/>
      <c r="AB217" s="82"/>
      <c r="AC217" s="82"/>
      <c r="AD217" s="82"/>
      <c r="AE217" s="82"/>
      <c r="AF217" s="63" t="str">
        <f t="shared" si="0"/>
        <v/>
      </c>
      <c r="AG217" s="82"/>
      <c r="AH217" s="82"/>
      <c r="AI217" s="82"/>
      <c r="AJ217" s="82"/>
      <c r="AK217" s="82"/>
      <c r="AL217" s="82"/>
      <c r="AM217" s="82"/>
      <c r="AN217" s="82"/>
      <c r="AO217" s="82"/>
      <c r="AP217" s="82"/>
      <c r="AQ217" s="82"/>
      <c r="AR217" s="82"/>
      <c r="AS217" s="82"/>
      <c r="AT217" s="82"/>
      <c r="AU217" s="82"/>
      <c r="AV217" s="82"/>
      <c r="AW217" s="82"/>
      <c r="AX217" s="82"/>
      <c r="AY217" s="82"/>
      <c r="AZ217" s="82"/>
      <c r="BA217" s="82"/>
      <c r="BB217" s="82"/>
      <c r="BC217" s="82"/>
      <c r="BD217" s="82"/>
      <c r="BE217" s="82"/>
      <c r="BF217" s="82"/>
      <c r="BG217" s="82"/>
      <c r="BH217" s="82"/>
      <c r="BI217" s="82"/>
      <c r="BJ217" s="82"/>
      <c r="BK217" s="82"/>
      <c r="BL217" s="82"/>
      <c r="BM217" s="82"/>
      <c r="BN217" s="82"/>
      <c r="BO217" s="82"/>
      <c r="BP217" s="82"/>
      <c r="BQ217" s="63"/>
      <c r="BR217" s="82"/>
      <c r="BS217" s="82"/>
      <c r="BT217" s="82"/>
      <c r="BU217" s="4"/>
    </row>
    <row r="218" spans="1:73" ht="12.75" x14ac:dyDescent="0.2">
      <c r="A218" s="68" t="s">
        <v>2</v>
      </c>
      <c r="B218" s="85"/>
      <c r="C218" s="85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4"/>
      <c r="O218" s="82"/>
      <c r="P218" s="82"/>
      <c r="Q218" s="82"/>
      <c r="R218" s="63"/>
      <c r="S218" s="63"/>
      <c r="T218" s="63"/>
      <c r="U218" s="63"/>
      <c r="V218" s="63"/>
      <c r="W218" s="63"/>
      <c r="X218" s="63"/>
      <c r="Y218" s="82"/>
      <c r="Z218" s="82"/>
      <c r="AA218" s="82"/>
      <c r="AB218" s="82"/>
      <c r="AC218" s="82"/>
      <c r="AD218" s="82"/>
      <c r="AE218" s="82"/>
      <c r="AF218" s="63" t="str">
        <f t="shared" si="0"/>
        <v/>
      </c>
      <c r="AG218" s="82"/>
      <c r="AH218" s="82"/>
      <c r="AI218" s="82"/>
      <c r="AJ218" s="82"/>
      <c r="AK218" s="82"/>
      <c r="AL218" s="82"/>
      <c r="AM218" s="82"/>
      <c r="AN218" s="82"/>
      <c r="AO218" s="82"/>
      <c r="AP218" s="82"/>
      <c r="AQ218" s="82"/>
      <c r="AR218" s="82"/>
      <c r="AS218" s="82"/>
      <c r="AT218" s="82"/>
      <c r="AU218" s="82"/>
      <c r="AV218" s="82"/>
      <c r="AW218" s="82"/>
      <c r="AX218" s="82"/>
      <c r="AY218" s="82"/>
      <c r="AZ218" s="82"/>
      <c r="BA218" s="82"/>
      <c r="BB218" s="82"/>
      <c r="BC218" s="82"/>
      <c r="BD218" s="82"/>
      <c r="BE218" s="82"/>
      <c r="BF218" s="82"/>
      <c r="BG218" s="82"/>
      <c r="BH218" s="82"/>
      <c r="BI218" s="82"/>
      <c r="BJ218" s="82"/>
      <c r="BK218" s="82"/>
      <c r="BL218" s="82"/>
      <c r="BM218" s="82"/>
      <c r="BN218" s="82"/>
      <c r="BO218" s="82"/>
      <c r="BP218" s="82"/>
      <c r="BQ218" s="63"/>
      <c r="BR218" s="82"/>
      <c r="BS218" s="82"/>
      <c r="BT218" s="82"/>
      <c r="BU218" s="4"/>
    </row>
    <row r="219" spans="1:73" ht="12.75" x14ac:dyDescent="0.2">
      <c r="A219" s="68" t="s">
        <v>2</v>
      </c>
      <c r="B219" s="85"/>
      <c r="C219" s="85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4"/>
      <c r="O219" s="82"/>
      <c r="P219" s="82"/>
      <c r="Q219" s="82"/>
      <c r="R219" s="63"/>
      <c r="S219" s="63"/>
      <c r="T219" s="63"/>
      <c r="U219" s="63"/>
      <c r="V219" s="63"/>
      <c r="W219" s="63"/>
      <c r="X219" s="63"/>
      <c r="Y219" s="82"/>
      <c r="Z219" s="82"/>
      <c r="AA219" s="82"/>
      <c r="AB219" s="82"/>
      <c r="AC219" s="82"/>
      <c r="AD219" s="82"/>
      <c r="AE219" s="82"/>
      <c r="AF219" s="63" t="str">
        <f t="shared" si="0"/>
        <v/>
      </c>
      <c r="AG219" s="82"/>
      <c r="AH219" s="82"/>
      <c r="AI219" s="82"/>
      <c r="AJ219" s="82"/>
      <c r="AK219" s="82"/>
      <c r="AL219" s="82"/>
      <c r="AM219" s="82"/>
      <c r="AN219" s="82"/>
      <c r="AO219" s="82"/>
      <c r="AP219" s="82"/>
      <c r="AQ219" s="82"/>
      <c r="AR219" s="82"/>
      <c r="AS219" s="82"/>
      <c r="AT219" s="82"/>
      <c r="AU219" s="82"/>
      <c r="AV219" s="82"/>
      <c r="AW219" s="82"/>
      <c r="AX219" s="82"/>
      <c r="AY219" s="82"/>
      <c r="AZ219" s="82"/>
      <c r="BA219" s="82"/>
      <c r="BB219" s="82"/>
      <c r="BC219" s="82"/>
      <c r="BD219" s="82"/>
      <c r="BE219" s="82"/>
      <c r="BF219" s="82"/>
      <c r="BG219" s="82"/>
      <c r="BH219" s="82"/>
      <c r="BI219" s="82"/>
      <c r="BJ219" s="82"/>
      <c r="BK219" s="82"/>
      <c r="BL219" s="82"/>
      <c r="BM219" s="82"/>
      <c r="BN219" s="82"/>
      <c r="BO219" s="82"/>
      <c r="BP219" s="82"/>
      <c r="BQ219" s="63"/>
      <c r="BR219" s="82"/>
      <c r="BS219" s="82"/>
      <c r="BT219" s="82"/>
      <c r="BU219" s="4"/>
    </row>
    <row r="220" spans="1:73" ht="12.75" x14ac:dyDescent="0.2">
      <c r="A220" s="68" t="s">
        <v>2</v>
      </c>
      <c r="B220" s="85"/>
      <c r="C220" s="85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4"/>
      <c r="O220" s="82"/>
      <c r="P220" s="82"/>
      <c r="Q220" s="82"/>
      <c r="R220" s="63"/>
      <c r="S220" s="63"/>
      <c r="T220" s="63"/>
      <c r="U220" s="63"/>
      <c r="V220" s="63"/>
      <c r="W220" s="63"/>
      <c r="X220" s="63"/>
      <c r="Y220" s="82"/>
      <c r="Z220" s="82"/>
      <c r="AA220" s="82"/>
      <c r="AB220" s="82"/>
      <c r="AC220" s="82"/>
      <c r="AD220" s="82"/>
      <c r="AE220" s="82"/>
      <c r="AF220" s="63" t="str">
        <f t="shared" si="0"/>
        <v/>
      </c>
      <c r="AG220" s="82"/>
      <c r="AH220" s="82"/>
      <c r="AI220" s="82"/>
      <c r="AJ220" s="82"/>
      <c r="AK220" s="82"/>
      <c r="AL220" s="82"/>
      <c r="AM220" s="82"/>
      <c r="AN220" s="82"/>
      <c r="AO220" s="82"/>
      <c r="AP220" s="82"/>
      <c r="AQ220" s="82"/>
      <c r="AR220" s="82"/>
      <c r="AS220" s="82"/>
      <c r="AT220" s="82"/>
      <c r="AU220" s="82"/>
      <c r="AV220" s="82"/>
      <c r="AW220" s="82"/>
      <c r="AX220" s="82"/>
      <c r="AY220" s="82"/>
      <c r="AZ220" s="82"/>
      <c r="BA220" s="82"/>
      <c r="BB220" s="82"/>
      <c r="BC220" s="82"/>
      <c r="BD220" s="82"/>
      <c r="BE220" s="82"/>
      <c r="BF220" s="82"/>
      <c r="BG220" s="82"/>
      <c r="BH220" s="82"/>
      <c r="BI220" s="82"/>
      <c r="BJ220" s="82"/>
      <c r="BK220" s="82"/>
      <c r="BL220" s="82"/>
      <c r="BM220" s="82"/>
      <c r="BN220" s="82"/>
      <c r="BO220" s="82"/>
      <c r="BP220" s="82"/>
      <c r="BQ220" s="63"/>
      <c r="BR220" s="82"/>
      <c r="BS220" s="82"/>
      <c r="BT220" s="82"/>
      <c r="BU220" s="4"/>
    </row>
    <row r="221" spans="1:73" ht="12.75" x14ac:dyDescent="0.2">
      <c r="A221" s="68" t="s">
        <v>2</v>
      </c>
      <c r="B221" s="85"/>
      <c r="C221" s="85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4"/>
      <c r="O221" s="82"/>
      <c r="P221" s="82"/>
      <c r="Q221" s="82"/>
      <c r="R221" s="63"/>
      <c r="S221" s="63"/>
      <c r="T221" s="63"/>
      <c r="U221" s="63"/>
      <c r="V221" s="63"/>
      <c r="W221" s="63"/>
      <c r="X221" s="63"/>
      <c r="Y221" s="82"/>
      <c r="Z221" s="82"/>
      <c r="AA221" s="82"/>
      <c r="AB221" s="82"/>
      <c r="AC221" s="82"/>
      <c r="AD221" s="82"/>
      <c r="AE221" s="82"/>
      <c r="AF221" s="63" t="str">
        <f t="shared" si="0"/>
        <v/>
      </c>
      <c r="AG221" s="82"/>
      <c r="AH221" s="82"/>
      <c r="AI221" s="82"/>
      <c r="AJ221" s="82"/>
      <c r="AK221" s="82"/>
      <c r="AL221" s="82"/>
      <c r="AM221" s="82"/>
      <c r="AN221" s="82"/>
      <c r="AO221" s="82"/>
      <c r="AP221" s="82"/>
      <c r="AQ221" s="82"/>
      <c r="AR221" s="82"/>
      <c r="AS221" s="82"/>
      <c r="AT221" s="82"/>
      <c r="AU221" s="82"/>
      <c r="AV221" s="82"/>
      <c r="AW221" s="82"/>
      <c r="AX221" s="82"/>
      <c r="AY221" s="82"/>
      <c r="AZ221" s="82"/>
      <c r="BA221" s="82"/>
      <c r="BB221" s="82"/>
      <c r="BC221" s="82"/>
      <c r="BD221" s="82"/>
      <c r="BE221" s="82"/>
      <c r="BF221" s="82"/>
      <c r="BG221" s="82"/>
      <c r="BH221" s="82"/>
      <c r="BI221" s="82"/>
      <c r="BJ221" s="82"/>
      <c r="BK221" s="82"/>
      <c r="BL221" s="82"/>
      <c r="BM221" s="82"/>
      <c r="BN221" s="82"/>
      <c r="BO221" s="82"/>
      <c r="BP221" s="82"/>
      <c r="BQ221" s="63"/>
      <c r="BR221" s="82"/>
      <c r="BS221" s="82"/>
      <c r="BT221" s="82"/>
      <c r="BU221" s="4"/>
    </row>
    <row r="222" spans="1:73" ht="12.75" x14ac:dyDescent="0.2">
      <c r="A222" s="68" t="s">
        <v>2</v>
      </c>
      <c r="B222" s="85"/>
      <c r="C222" s="85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4"/>
      <c r="O222" s="82"/>
      <c r="P222" s="82"/>
      <c r="Q222" s="82"/>
      <c r="R222" s="63"/>
      <c r="S222" s="63"/>
      <c r="T222" s="63"/>
      <c r="U222" s="63"/>
      <c r="V222" s="63"/>
      <c r="W222" s="63"/>
      <c r="X222" s="63"/>
      <c r="Y222" s="82"/>
      <c r="Z222" s="82"/>
      <c r="AA222" s="82"/>
      <c r="AB222" s="82"/>
      <c r="AC222" s="82"/>
      <c r="AD222" s="82"/>
      <c r="AE222" s="82"/>
      <c r="AF222" s="63" t="str">
        <f t="shared" si="0"/>
        <v/>
      </c>
      <c r="AG222" s="82"/>
      <c r="AH222" s="82"/>
      <c r="AI222" s="82"/>
      <c r="AJ222" s="82"/>
      <c r="AK222" s="82"/>
      <c r="AL222" s="82"/>
      <c r="AM222" s="82"/>
      <c r="AN222" s="82"/>
      <c r="AO222" s="82"/>
      <c r="AP222" s="82"/>
      <c r="AQ222" s="82"/>
      <c r="AR222" s="82"/>
      <c r="AS222" s="82"/>
      <c r="AT222" s="82"/>
      <c r="AU222" s="82"/>
      <c r="AV222" s="82"/>
      <c r="AW222" s="82"/>
      <c r="AX222" s="82"/>
      <c r="AY222" s="82"/>
      <c r="AZ222" s="82"/>
      <c r="BA222" s="82"/>
      <c r="BB222" s="82"/>
      <c r="BC222" s="82"/>
      <c r="BD222" s="82"/>
      <c r="BE222" s="82"/>
      <c r="BF222" s="82"/>
      <c r="BG222" s="82"/>
      <c r="BH222" s="82"/>
      <c r="BI222" s="82"/>
      <c r="BJ222" s="82"/>
      <c r="BK222" s="82"/>
      <c r="BL222" s="82"/>
      <c r="BM222" s="82"/>
      <c r="BN222" s="82"/>
      <c r="BO222" s="82"/>
      <c r="BP222" s="82"/>
      <c r="BQ222" s="63"/>
      <c r="BR222" s="82"/>
      <c r="BS222" s="82"/>
      <c r="BT222" s="82"/>
      <c r="BU222" s="4"/>
    </row>
    <row r="223" spans="1:73" ht="12.75" x14ac:dyDescent="0.2">
      <c r="A223" s="68" t="s">
        <v>2</v>
      </c>
      <c r="B223" s="85"/>
      <c r="C223" s="85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4"/>
      <c r="O223" s="82"/>
      <c r="P223" s="82"/>
      <c r="Q223" s="82"/>
      <c r="R223" s="63"/>
      <c r="S223" s="63"/>
      <c r="T223" s="63"/>
      <c r="U223" s="63"/>
      <c r="V223" s="63"/>
      <c r="W223" s="63"/>
      <c r="X223" s="63"/>
      <c r="Y223" s="82"/>
      <c r="Z223" s="82"/>
      <c r="AA223" s="82"/>
      <c r="AB223" s="82"/>
      <c r="AC223" s="82"/>
      <c r="AD223" s="82"/>
      <c r="AE223" s="82"/>
      <c r="AF223" s="63" t="str">
        <f t="shared" si="0"/>
        <v/>
      </c>
      <c r="AG223" s="82"/>
      <c r="AH223" s="82"/>
      <c r="AI223" s="82"/>
      <c r="AJ223" s="82"/>
      <c r="AK223" s="82"/>
      <c r="AL223" s="82"/>
      <c r="AM223" s="82"/>
      <c r="AN223" s="82"/>
      <c r="AO223" s="82"/>
      <c r="AP223" s="82"/>
      <c r="AQ223" s="82"/>
      <c r="AR223" s="82"/>
      <c r="AS223" s="82"/>
      <c r="AT223" s="82"/>
      <c r="AU223" s="82"/>
      <c r="AV223" s="82"/>
      <c r="AW223" s="82"/>
      <c r="AX223" s="82"/>
      <c r="AY223" s="82"/>
      <c r="AZ223" s="82"/>
      <c r="BA223" s="82"/>
      <c r="BB223" s="82"/>
      <c r="BC223" s="82"/>
      <c r="BD223" s="82"/>
      <c r="BE223" s="82"/>
      <c r="BF223" s="82"/>
      <c r="BG223" s="82"/>
      <c r="BH223" s="82"/>
      <c r="BI223" s="82"/>
      <c r="BJ223" s="82"/>
      <c r="BK223" s="82"/>
      <c r="BL223" s="82"/>
      <c r="BM223" s="82"/>
      <c r="BN223" s="82"/>
      <c r="BO223" s="82"/>
      <c r="BP223" s="82"/>
      <c r="BQ223" s="63"/>
      <c r="BR223" s="82"/>
      <c r="BS223" s="82"/>
      <c r="BT223" s="82"/>
      <c r="BU223" s="4"/>
    </row>
    <row r="224" spans="1:73" ht="12.75" x14ac:dyDescent="0.2">
      <c r="A224" s="68" t="s">
        <v>2</v>
      </c>
      <c r="B224" s="85"/>
      <c r="C224" s="85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4"/>
      <c r="O224" s="82"/>
      <c r="P224" s="82"/>
      <c r="Q224" s="82"/>
      <c r="R224" s="63"/>
      <c r="S224" s="63"/>
      <c r="T224" s="63"/>
      <c r="U224" s="63"/>
      <c r="V224" s="63"/>
      <c r="W224" s="63"/>
      <c r="X224" s="63"/>
      <c r="Y224" s="82"/>
      <c r="Z224" s="82"/>
      <c r="AA224" s="82"/>
      <c r="AB224" s="82"/>
      <c r="AC224" s="82"/>
      <c r="AD224" s="82"/>
      <c r="AE224" s="82"/>
      <c r="AF224" s="63" t="str">
        <f t="shared" si="0"/>
        <v/>
      </c>
      <c r="AG224" s="82"/>
      <c r="AH224" s="82"/>
      <c r="AI224" s="82"/>
      <c r="AJ224" s="82"/>
      <c r="AK224" s="82"/>
      <c r="AL224" s="82"/>
      <c r="AM224" s="82"/>
      <c r="AN224" s="82"/>
      <c r="AO224" s="82"/>
      <c r="AP224" s="82"/>
      <c r="AQ224" s="82"/>
      <c r="AR224" s="82"/>
      <c r="AS224" s="82"/>
      <c r="AT224" s="82"/>
      <c r="AU224" s="82"/>
      <c r="AV224" s="82"/>
      <c r="AW224" s="82"/>
      <c r="AX224" s="82"/>
      <c r="AY224" s="82"/>
      <c r="AZ224" s="82"/>
      <c r="BA224" s="82"/>
      <c r="BB224" s="82"/>
      <c r="BC224" s="82"/>
      <c r="BD224" s="82"/>
      <c r="BE224" s="82"/>
      <c r="BF224" s="82"/>
      <c r="BG224" s="82"/>
      <c r="BH224" s="82"/>
      <c r="BI224" s="82"/>
      <c r="BJ224" s="82"/>
      <c r="BK224" s="82"/>
      <c r="BL224" s="82"/>
      <c r="BM224" s="82"/>
      <c r="BN224" s="82"/>
      <c r="BO224" s="82"/>
      <c r="BP224" s="82"/>
      <c r="BQ224" s="63"/>
      <c r="BR224" s="82"/>
      <c r="BS224" s="82"/>
      <c r="BT224" s="82"/>
      <c r="BU224" s="4"/>
    </row>
    <row r="225" spans="1:73" ht="12.75" x14ac:dyDescent="0.2">
      <c r="A225" s="68" t="s">
        <v>2</v>
      </c>
      <c r="B225" s="85"/>
      <c r="C225" s="85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4"/>
      <c r="O225" s="82"/>
      <c r="P225" s="82"/>
      <c r="Q225" s="82"/>
      <c r="R225" s="63"/>
      <c r="S225" s="63"/>
      <c r="T225" s="63"/>
      <c r="U225" s="63"/>
      <c r="V225" s="63"/>
      <c r="W225" s="63"/>
      <c r="X225" s="63"/>
      <c r="Y225" s="82"/>
      <c r="Z225" s="82"/>
      <c r="AA225" s="82"/>
      <c r="AB225" s="82"/>
      <c r="AC225" s="82"/>
      <c r="AD225" s="82"/>
      <c r="AE225" s="82"/>
      <c r="AF225" s="63" t="str">
        <f t="shared" si="0"/>
        <v/>
      </c>
      <c r="AG225" s="82"/>
      <c r="AH225" s="82"/>
      <c r="AI225" s="82"/>
      <c r="AJ225" s="82"/>
      <c r="AK225" s="82"/>
      <c r="AL225" s="82"/>
      <c r="AM225" s="82"/>
      <c r="AN225" s="82"/>
      <c r="AO225" s="82"/>
      <c r="AP225" s="82"/>
      <c r="AQ225" s="82"/>
      <c r="AR225" s="82"/>
      <c r="AS225" s="82"/>
      <c r="AT225" s="82"/>
      <c r="AU225" s="82"/>
      <c r="AV225" s="82"/>
      <c r="AW225" s="82"/>
      <c r="AX225" s="82"/>
      <c r="AY225" s="82"/>
      <c r="AZ225" s="82"/>
      <c r="BA225" s="82"/>
      <c r="BB225" s="82"/>
      <c r="BC225" s="82"/>
      <c r="BD225" s="82"/>
      <c r="BE225" s="82"/>
      <c r="BF225" s="82"/>
      <c r="BG225" s="82"/>
      <c r="BH225" s="82"/>
      <c r="BI225" s="82"/>
      <c r="BJ225" s="82"/>
      <c r="BK225" s="82"/>
      <c r="BL225" s="82"/>
      <c r="BM225" s="82"/>
      <c r="BN225" s="82"/>
      <c r="BO225" s="82"/>
      <c r="BP225" s="82"/>
      <c r="BQ225" s="63"/>
      <c r="BR225" s="82"/>
      <c r="BS225" s="82"/>
      <c r="BT225" s="82"/>
      <c r="BU225" s="4"/>
    </row>
    <row r="226" spans="1:73" ht="12.75" x14ac:dyDescent="0.2">
      <c r="A226" s="68" t="s">
        <v>2</v>
      </c>
      <c r="B226" s="85"/>
      <c r="C226" s="85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4"/>
      <c r="O226" s="82"/>
      <c r="P226" s="82"/>
      <c r="Q226" s="82"/>
      <c r="R226" s="63"/>
      <c r="S226" s="63"/>
      <c r="T226" s="63"/>
      <c r="U226" s="63"/>
      <c r="V226" s="63"/>
      <c r="W226" s="63"/>
      <c r="X226" s="63"/>
      <c r="Y226" s="82"/>
      <c r="Z226" s="82"/>
      <c r="AA226" s="82"/>
      <c r="AB226" s="82"/>
      <c r="AC226" s="82"/>
      <c r="AD226" s="82"/>
      <c r="AE226" s="82"/>
      <c r="AF226" s="63" t="str">
        <f t="shared" si="0"/>
        <v/>
      </c>
      <c r="AG226" s="82"/>
      <c r="AH226" s="82"/>
      <c r="AI226" s="82"/>
      <c r="AJ226" s="82"/>
      <c r="AK226" s="82"/>
      <c r="AL226" s="82"/>
      <c r="AM226" s="82"/>
      <c r="AN226" s="82"/>
      <c r="AO226" s="82"/>
      <c r="AP226" s="82"/>
      <c r="AQ226" s="82"/>
      <c r="AR226" s="82"/>
      <c r="AS226" s="82"/>
      <c r="AT226" s="82"/>
      <c r="AU226" s="82"/>
      <c r="AV226" s="82"/>
      <c r="AW226" s="82"/>
      <c r="AX226" s="82"/>
      <c r="AY226" s="82"/>
      <c r="AZ226" s="82"/>
      <c r="BA226" s="82"/>
      <c r="BB226" s="82"/>
      <c r="BC226" s="82"/>
      <c r="BD226" s="82"/>
      <c r="BE226" s="82"/>
      <c r="BF226" s="82"/>
      <c r="BG226" s="82"/>
      <c r="BH226" s="82"/>
      <c r="BI226" s="82"/>
      <c r="BJ226" s="82"/>
      <c r="BK226" s="82"/>
      <c r="BL226" s="82"/>
      <c r="BM226" s="82"/>
      <c r="BN226" s="82"/>
      <c r="BO226" s="82"/>
      <c r="BP226" s="82"/>
      <c r="BQ226" s="63"/>
      <c r="BR226" s="82"/>
      <c r="BS226" s="82"/>
      <c r="BT226" s="82"/>
      <c r="BU226" s="4"/>
    </row>
    <row r="227" spans="1:73" ht="12.75" x14ac:dyDescent="0.2">
      <c r="A227" s="68" t="s">
        <v>2</v>
      </c>
      <c r="B227" s="85"/>
      <c r="C227" s="85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4"/>
      <c r="O227" s="82"/>
      <c r="P227" s="82"/>
      <c r="Q227" s="82"/>
      <c r="R227" s="63"/>
      <c r="S227" s="63"/>
      <c r="T227" s="63"/>
      <c r="U227" s="63"/>
      <c r="V227" s="63"/>
      <c r="W227" s="63"/>
      <c r="X227" s="63"/>
      <c r="Y227" s="82"/>
      <c r="Z227" s="82"/>
      <c r="AA227" s="82"/>
      <c r="AB227" s="82"/>
      <c r="AC227" s="82"/>
      <c r="AD227" s="82"/>
      <c r="AE227" s="82"/>
      <c r="AF227" s="63" t="str">
        <f t="shared" si="0"/>
        <v/>
      </c>
      <c r="AG227" s="82"/>
      <c r="AH227" s="82"/>
      <c r="AI227" s="82"/>
      <c r="AJ227" s="82"/>
      <c r="AK227" s="82"/>
      <c r="AL227" s="82"/>
      <c r="AM227" s="82"/>
      <c r="AN227" s="82"/>
      <c r="AO227" s="82"/>
      <c r="AP227" s="82"/>
      <c r="AQ227" s="82"/>
      <c r="AR227" s="82"/>
      <c r="AS227" s="82"/>
      <c r="AT227" s="82"/>
      <c r="AU227" s="82"/>
      <c r="AV227" s="82"/>
      <c r="AW227" s="82"/>
      <c r="AX227" s="82"/>
      <c r="AY227" s="82"/>
      <c r="AZ227" s="82"/>
      <c r="BA227" s="82"/>
      <c r="BB227" s="82"/>
      <c r="BC227" s="82"/>
      <c r="BD227" s="82"/>
      <c r="BE227" s="82"/>
      <c r="BF227" s="82"/>
      <c r="BG227" s="82"/>
      <c r="BH227" s="82"/>
      <c r="BI227" s="82"/>
      <c r="BJ227" s="82"/>
      <c r="BK227" s="82"/>
      <c r="BL227" s="82"/>
      <c r="BM227" s="82"/>
      <c r="BN227" s="82"/>
      <c r="BO227" s="82"/>
      <c r="BP227" s="82"/>
      <c r="BQ227" s="63"/>
      <c r="BR227" s="82"/>
      <c r="BS227" s="82"/>
      <c r="BT227" s="82"/>
      <c r="BU227" s="4"/>
    </row>
    <row r="228" spans="1:73" ht="12.75" x14ac:dyDescent="0.2">
      <c r="A228" s="68" t="s">
        <v>2</v>
      </c>
      <c r="B228" s="85"/>
      <c r="C228" s="85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4"/>
      <c r="O228" s="82"/>
      <c r="P228" s="82"/>
      <c r="Q228" s="82"/>
      <c r="R228" s="63"/>
      <c r="S228" s="63"/>
      <c r="T228" s="63"/>
      <c r="U228" s="63"/>
      <c r="V228" s="63"/>
      <c r="W228" s="63"/>
      <c r="X228" s="63"/>
      <c r="Y228" s="82"/>
      <c r="Z228" s="82"/>
      <c r="AA228" s="82"/>
      <c r="AB228" s="82"/>
      <c r="AC228" s="82"/>
      <c r="AD228" s="82"/>
      <c r="AE228" s="82"/>
      <c r="AF228" s="63" t="str">
        <f t="shared" si="0"/>
        <v/>
      </c>
      <c r="AG228" s="82"/>
      <c r="AH228" s="82"/>
      <c r="AI228" s="82"/>
      <c r="AJ228" s="82"/>
      <c r="AK228" s="82"/>
      <c r="AL228" s="82"/>
      <c r="AM228" s="82"/>
      <c r="AN228" s="82"/>
      <c r="AO228" s="82"/>
      <c r="AP228" s="82"/>
      <c r="AQ228" s="82"/>
      <c r="AR228" s="82"/>
      <c r="AS228" s="82"/>
      <c r="AT228" s="82"/>
      <c r="AU228" s="82"/>
      <c r="AV228" s="82"/>
      <c r="AW228" s="82"/>
      <c r="AX228" s="82"/>
      <c r="AY228" s="82"/>
      <c r="AZ228" s="82"/>
      <c r="BA228" s="82"/>
      <c r="BB228" s="82"/>
      <c r="BC228" s="82"/>
      <c r="BD228" s="82"/>
      <c r="BE228" s="82"/>
      <c r="BF228" s="82"/>
      <c r="BG228" s="82"/>
      <c r="BH228" s="82"/>
      <c r="BI228" s="82"/>
      <c r="BJ228" s="82"/>
      <c r="BK228" s="82"/>
      <c r="BL228" s="82"/>
      <c r="BM228" s="82"/>
      <c r="BN228" s="82"/>
      <c r="BO228" s="82"/>
      <c r="BP228" s="82"/>
      <c r="BQ228" s="63"/>
      <c r="BR228" s="82"/>
      <c r="BS228" s="82"/>
      <c r="BT228" s="82"/>
      <c r="BU228" s="4"/>
    </row>
    <row r="229" spans="1:73" ht="12.75" x14ac:dyDescent="0.2">
      <c r="A229" s="68" t="s">
        <v>2</v>
      </c>
      <c r="B229" s="85"/>
      <c r="C229" s="85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4"/>
      <c r="O229" s="82"/>
      <c r="P229" s="82"/>
      <c r="Q229" s="82"/>
      <c r="R229" s="63"/>
      <c r="S229" s="63"/>
      <c r="T229" s="63"/>
      <c r="U229" s="63"/>
      <c r="V229" s="63"/>
      <c r="W229" s="63"/>
      <c r="X229" s="63"/>
      <c r="Y229" s="82"/>
      <c r="Z229" s="82"/>
      <c r="AA229" s="82"/>
      <c r="AB229" s="82"/>
      <c r="AC229" s="82"/>
      <c r="AD229" s="82"/>
      <c r="AE229" s="82"/>
      <c r="AF229" s="63" t="str">
        <f t="shared" si="0"/>
        <v/>
      </c>
      <c r="AG229" s="82"/>
      <c r="AH229" s="82"/>
      <c r="AI229" s="82"/>
      <c r="AJ229" s="82"/>
      <c r="AK229" s="82"/>
      <c r="AL229" s="82"/>
      <c r="AM229" s="82"/>
      <c r="AN229" s="82"/>
      <c r="AO229" s="82"/>
      <c r="AP229" s="82"/>
      <c r="AQ229" s="82"/>
      <c r="AR229" s="82"/>
      <c r="AS229" s="82"/>
      <c r="AT229" s="82"/>
      <c r="AU229" s="82"/>
      <c r="AV229" s="82"/>
      <c r="AW229" s="82"/>
      <c r="AX229" s="82"/>
      <c r="AY229" s="82"/>
      <c r="AZ229" s="82"/>
      <c r="BA229" s="82"/>
      <c r="BB229" s="82"/>
      <c r="BC229" s="82"/>
      <c r="BD229" s="82"/>
      <c r="BE229" s="82"/>
      <c r="BF229" s="82"/>
      <c r="BG229" s="82"/>
      <c r="BH229" s="82"/>
      <c r="BI229" s="82"/>
      <c r="BJ229" s="82"/>
      <c r="BK229" s="82"/>
      <c r="BL229" s="82"/>
      <c r="BM229" s="82"/>
      <c r="BN229" s="82"/>
      <c r="BO229" s="82"/>
      <c r="BP229" s="82"/>
      <c r="BQ229" s="63"/>
      <c r="BR229" s="82"/>
      <c r="BS229" s="82"/>
      <c r="BT229" s="82"/>
      <c r="BU229" s="4"/>
    </row>
    <row r="230" spans="1:73" ht="12.75" x14ac:dyDescent="0.2">
      <c r="A230" s="68" t="s">
        <v>2</v>
      </c>
      <c r="B230" s="85"/>
      <c r="C230" s="85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4"/>
      <c r="O230" s="82"/>
      <c r="P230" s="82"/>
      <c r="Q230" s="82"/>
      <c r="R230" s="63"/>
      <c r="S230" s="63"/>
      <c r="T230" s="63"/>
      <c r="U230" s="63"/>
      <c r="V230" s="63"/>
      <c r="W230" s="63"/>
      <c r="X230" s="63"/>
      <c r="Y230" s="82"/>
      <c r="Z230" s="82"/>
      <c r="AA230" s="82"/>
      <c r="AB230" s="82"/>
      <c r="AC230" s="82"/>
      <c r="AD230" s="82"/>
      <c r="AE230" s="82"/>
      <c r="AF230" s="63" t="str">
        <f t="shared" si="0"/>
        <v/>
      </c>
      <c r="AG230" s="82"/>
      <c r="AH230" s="82"/>
      <c r="AI230" s="82"/>
      <c r="AJ230" s="82"/>
      <c r="AK230" s="82"/>
      <c r="AL230" s="82"/>
      <c r="AM230" s="82"/>
      <c r="AN230" s="82"/>
      <c r="AO230" s="82"/>
      <c r="AP230" s="82"/>
      <c r="AQ230" s="82"/>
      <c r="AR230" s="82"/>
      <c r="AS230" s="82"/>
      <c r="AT230" s="82"/>
      <c r="AU230" s="82"/>
      <c r="AV230" s="82"/>
      <c r="AW230" s="82"/>
      <c r="AX230" s="82"/>
      <c r="AY230" s="82"/>
      <c r="AZ230" s="82"/>
      <c r="BA230" s="82"/>
      <c r="BB230" s="82"/>
      <c r="BC230" s="82"/>
      <c r="BD230" s="82"/>
      <c r="BE230" s="82"/>
      <c r="BF230" s="82"/>
      <c r="BG230" s="82"/>
      <c r="BH230" s="82"/>
      <c r="BI230" s="82"/>
      <c r="BJ230" s="82"/>
      <c r="BK230" s="82"/>
      <c r="BL230" s="82"/>
      <c r="BM230" s="82"/>
      <c r="BN230" s="82"/>
      <c r="BO230" s="82"/>
      <c r="BP230" s="82"/>
      <c r="BQ230" s="63"/>
      <c r="BR230" s="82"/>
      <c r="BS230" s="82"/>
      <c r="BT230" s="82"/>
      <c r="BU230" s="4"/>
    </row>
    <row r="231" spans="1:73" ht="12.75" x14ac:dyDescent="0.2">
      <c r="A231" s="68" t="s">
        <v>2</v>
      </c>
      <c r="B231" s="85"/>
      <c r="C231" s="85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4"/>
      <c r="O231" s="82"/>
      <c r="P231" s="82"/>
      <c r="Q231" s="82"/>
      <c r="R231" s="63"/>
      <c r="S231" s="63"/>
      <c r="T231" s="63"/>
      <c r="U231" s="63"/>
      <c r="V231" s="63"/>
      <c r="W231" s="63"/>
      <c r="X231" s="63"/>
      <c r="Y231" s="82"/>
      <c r="Z231" s="82"/>
      <c r="AA231" s="82"/>
      <c r="AB231" s="82"/>
      <c r="AC231" s="82"/>
      <c r="AD231" s="82"/>
      <c r="AE231" s="82"/>
      <c r="AF231" s="63" t="str">
        <f t="shared" si="0"/>
        <v/>
      </c>
      <c r="AG231" s="82"/>
      <c r="AH231" s="82"/>
      <c r="AI231" s="82"/>
      <c r="AJ231" s="82"/>
      <c r="AK231" s="82"/>
      <c r="AL231" s="82"/>
      <c r="AM231" s="82"/>
      <c r="AN231" s="82"/>
      <c r="AO231" s="82"/>
      <c r="AP231" s="82"/>
      <c r="AQ231" s="82"/>
      <c r="AR231" s="82"/>
      <c r="AS231" s="82"/>
      <c r="AT231" s="82"/>
      <c r="AU231" s="82"/>
      <c r="AV231" s="82"/>
      <c r="AW231" s="82"/>
      <c r="AX231" s="82"/>
      <c r="AY231" s="82"/>
      <c r="AZ231" s="82"/>
      <c r="BA231" s="82"/>
      <c r="BB231" s="82"/>
      <c r="BC231" s="82"/>
      <c r="BD231" s="82"/>
      <c r="BE231" s="82"/>
      <c r="BF231" s="82"/>
      <c r="BG231" s="82"/>
      <c r="BH231" s="82"/>
      <c r="BI231" s="82"/>
      <c r="BJ231" s="82"/>
      <c r="BK231" s="82"/>
      <c r="BL231" s="82"/>
      <c r="BM231" s="82"/>
      <c r="BN231" s="82"/>
      <c r="BO231" s="82"/>
      <c r="BP231" s="82"/>
      <c r="BQ231" s="63"/>
      <c r="BR231" s="82"/>
      <c r="BS231" s="82"/>
      <c r="BT231" s="82"/>
      <c r="BU231" s="4"/>
    </row>
    <row r="232" spans="1:73" ht="12.75" x14ac:dyDescent="0.2">
      <c r="A232" s="68" t="s">
        <v>2</v>
      </c>
      <c r="B232" s="85"/>
      <c r="C232" s="85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4"/>
      <c r="O232" s="82"/>
      <c r="P232" s="82"/>
      <c r="Q232" s="82"/>
      <c r="R232" s="63"/>
      <c r="S232" s="63"/>
      <c r="T232" s="63"/>
      <c r="U232" s="63"/>
      <c r="V232" s="63"/>
      <c r="W232" s="63"/>
      <c r="X232" s="63"/>
      <c r="Y232" s="82"/>
      <c r="Z232" s="82"/>
      <c r="AA232" s="82"/>
      <c r="AB232" s="82"/>
      <c r="AC232" s="82"/>
      <c r="AD232" s="82"/>
      <c r="AE232" s="82"/>
      <c r="AF232" s="63" t="str">
        <f t="shared" si="0"/>
        <v/>
      </c>
      <c r="AG232" s="82"/>
      <c r="AH232" s="82"/>
      <c r="AI232" s="82"/>
      <c r="AJ232" s="82"/>
      <c r="AK232" s="82"/>
      <c r="AL232" s="82"/>
      <c r="AM232" s="82"/>
      <c r="AN232" s="82"/>
      <c r="AO232" s="82"/>
      <c r="AP232" s="82"/>
      <c r="AQ232" s="82"/>
      <c r="AR232" s="82"/>
      <c r="AS232" s="82"/>
      <c r="AT232" s="82"/>
      <c r="AU232" s="82"/>
      <c r="AV232" s="82"/>
      <c r="AW232" s="82"/>
      <c r="AX232" s="82"/>
      <c r="AY232" s="82"/>
      <c r="AZ232" s="82"/>
      <c r="BA232" s="82"/>
      <c r="BB232" s="82"/>
      <c r="BC232" s="82"/>
      <c r="BD232" s="82"/>
      <c r="BE232" s="82"/>
      <c r="BF232" s="82"/>
      <c r="BG232" s="82"/>
      <c r="BH232" s="82"/>
      <c r="BI232" s="82"/>
      <c r="BJ232" s="82"/>
      <c r="BK232" s="82"/>
      <c r="BL232" s="82"/>
      <c r="BM232" s="82"/>
      <c r="BN232" s="82"/>
      <c r="BO232" s="82"/>
      <c r="BP232" s="82"/>
      <c r="BQ232" s="63"/>
      <c r="BR232" s="82"/>
      <c r="BS232" s="82"/>
      <c r="BT232" s="82"/>
      <c r="BU232" s="4"/>
    </row>
    <row r="233" spans="1:73" ht="12.75" x14ac:dyDescent="0.2">
      <c r="A233" s="68" t="s">
        <v>2</v>
      </c>
      <c r="B233" s="85"/>
      <c r="C233" s="85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4"/>
      <c r="O233" s="82"/>
      <c r="P233" s="82"/>
      <c r="Q233" s="82"/>
      <c r="R233" s="63"/>
      <c r="S233" s="63"/>
      <c r="T233" s="63"/>
      <c r="U233" s="63"/>
      <c r="V233" s="63"/>
      <c r="W233" s="63"/>
      <c r="X233" s="63"/>
      <c r="Y233" s="82"/>
      <c r="Z233" s="82"/>
      <c r="AA233" s="82"/>
      <c r="AB233" s="82"/>
      <c r="AC233" s="82"/>
      <c r="AD233" s="82"/>
      <c r="AE233" s="82"/>
      <c r="AF233" s="63" t="str">
        <f t="shared" si="0"/>
        <v/>
      </c>
      <c r="AG233" s="82"/>
      <c r="AH233" s="82"/>
      <c r="AI233" s="82"/>
      <c r="AJ233" s="82"/>
      <c r="AK233" s="82"/>
      <c r="AL233" s="82"/>
      <c r="AM233" s="82"/>
      <c r="AN233" s="82"/>
      <c r="AO233" s="82"/>
      <c r="AP233" s="82"/>
      <c r="AQ233" s="82"/>
      <c r="AR233" s="82"/>
      <c r="AS233" s="82"/>
      <c r="AT233" s="82"/>
      <c r="AU233" s="82"/>
      <c r="AV233" s="82"/>
      <c r="AW233" s="82"/>
      <c r="AX233" s="82"/>
      <c r="AY233" s="82"/>
      <c r="AZ233" s="82"/>
      <c r="BA233" s="82"/>
      <c r="BB233" s="82"/>
      <c r="BC233" s="82"/>
      <c r="BD233" s="82"/>
      <c r="BE233" s="82"/>
      <c r="BF233" s="82"/>
      <c r="BG233" s="82"/>
      <c r="BH233" s="82"/>
      <c r="BI233" s="82"/>
      <c r="BJ233" s="82"/>
      <c r="BK233" s="82"/>
      <c r="BL233" s="82"/>
      <c r="BM233" s="82"/>
      <c r="BN233" s="82"/>
      <c r="BO233" s="82"/>
      <c r="BP233" s="82"/>
      <c r="BQ233" s="63"/>
      <c r="BR233" s="82"/>
      <c r="BS233" s="82"/>
      <c r="BT233" s="82"/>
      <c r="BU233" s="4"/>
    </row>
    <row r="234" spans="1:73" ht="12.75" x14ac:dyDescent="0.2">
      <c r="A234" s="68" t="s">
        <v>2</v>
      </c>
      <c r="B234" s="85"/>
      <c r="C234" s="85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4"/>
      <c r="O234" s="82"/>
      <c r="P234" s="82"/>
      <c r="Q234" s="82"/>
      <c r="R234" s="63"/>
      <c r="S234" s="63"/>
      <c r="T234" s="63"/>
      <c r="U234" s="63"/>
      <c r="V234" s="63"/>
      <c r="W234" s="63"/>
      <c r="X234" s="63"/>
      <c r="Y234" s="82"/>
      <c r="Z234" s="82"/>
      <c r="AA234" s="82"/>
      <c r="AB234" s="82"/>
      <c r="AC234" s="82"/>
      <c r="AD234" s="82"/>
      <c r="AE234" s="82"/>
      <c r="AF234" s="63" t="str">
        <f t="shared" si="0"/>
        <v/>
      </c>
      <c r="AG234" s="82"/>
      <c r="AH234" s="82"/>
      <c r="AI234" s="82"/>
      <c r="AJ234" s="82"/>
      <c r="AK234" s="82"/>
      <c r="AL234" s="82"/>
      <c r="AM234" s="82"/>
      <c r="AN234" s="82"/>
      <c r="AO234" s="82"/>
      <c r="AP234" s="82"/>
      <c r="AQ234" s="82"/>
      <c r="AR234" s="82"/>
      <c r="AS234" s="82"/>
      <c r="AT234" s="82"/>
      <c r="AU234" s="82"/>
      <c r="AV234" s="82"/>
      <c r="AW234" s="82"/>
      <c r="AX234" s="82"/>
      <c r="AY234" s="82"/>
      <c r="AZ234" s="82"/>
      <c r="BA234" s="82"/>
      <c r="BB234" s="82"/>
      <c r="BC234" s="82"/>
      <c r="BD234" s="82"/>
      <c r="BE234" s="82"/>
      <c r="BF234" s="82"/>
      <c r="BG234" s="82"/>
      <c r="BH234" s="82"/>
      <c r="BI234" s="82"/>
      <c r="BJ234" s="82"/>
      <c r="BK234" s="82"/>
      <c r="BL234" s="82"/>
      <c r="BM234" s="82"/>
      <c r="BN234" s="82"/>
      <c r="BO234" s="82"/>
      <c r="BP234" s="82"/>
      <c r="BQ234" s="63"/>
      <c r="BR234" s="82"/>
      <c r="BS234" s="82"/>
      <c r="BT234" s="82"/>
      <c r="BU234" s="4"/>
    </row>
    <row r="235" spans="1:73" ht="12.75" x14ac:dyDescent="0.2">
      <c r="A235" s="68" t="s">
        <v>2</v>
      </c>
      <c r="B235" s="85"/>
      <c r="C235" s="85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4"/>
      <c r="O235" s="82"/>
      <c r="P235" s="82"/>
      <c r="Q235" s="82"/>
      <c r="R235" s="63"/>
      <c r="S235" s="63"/>
      <c r="T235" s="63"/>
      <c r="U235" s="63"/>
      <c r="V235" s="63"/>
      <c r="W235" s="63"/>
      <c r="X235" s="63"/>
      <c r="Y235" s="82"/>
      <c r="Z235" s="82"/>
      <c r="AA235" s="82"/>
      <c r="AB235" s="82"/>
      <c r="AC235" s="82"/>
      <c r="AD235" s="82"/>
      <c r="AE235" s="82"/>
      <c r="AF235" s="63" t="str">
        <f t="shared" si="0"/>
        <v/>
      </c>
      <c r="AG235" s="82"/>
      <c r="AH235" s="82"/>
      <c r="AI235" s="82"/>
      <c r="AJ235" s="82"/>
      <c r="AK235" s="82"/>
      <c r="AL235" s="82"/>
      <c r="AM235" s="82"/>
      <c r="AN235" s="82"/>
      <c r="AO235" s="82"/>
      <c r="AP235" s="82"/>
      <c r="AQ235" s="82"/>
      <c r="AR235" s="82"/>
      <c r="AS235" s="82"/>
      <c r="AT235" s="82"/>
      <c r="AU235" s="82"/>
      <c r="AV235" s="82"/>
      <c r="AW235" s="82"/>
      <c r="AX235" s="82"/>
      <c r="AY235" s="82"/>
      <c r="AZ235" s="82"/>
      <c r="BA235" s="82"/>
      <c r="BB235" s="82"/>
      <c r="BC235" s="82"/>
      <c r="BD235" s="82"/>
      <c r="BE235" s="82"/>
      <c r="BF235" s="82"/>
      <c r="BG235" s="82"/>
      <c r="BH235" s="82"/>
      <c r="BI235" s="82"/>
      <c r="BJ235" s="82"/>
      <c r="BK235" s="82"/>
      <c r="BL235" s="82"/>
      <c r="BM235" s="82"/>
      <c r="BN235" s="82"/>
      <c r="BO235" s="82"/>
      <c r="BP235" s="82"/>
      <c r="BQ235" s="63"/>
      <c r="BR235" s="82"/>
      <c r="BS235" s="82"/>
      <c r="BT235" s="82"/>
      <c r="BU235" s="4"/>
    </row>
    <row r="236" spans="1:73" ht="12.75" x14ac:dyDescent="0.2">
      <c r="A236" s="68" t="s">
        <v>2</v>
      </c>
      <c r="B236" s="85"/>
      <c r="C236" s="85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4"/>
      <c r="O236" s="82"/>
      <c r="P236" s="82"/>
      <c r="Q236" s="82"/>
      <c r="R236" s="63"/>
      <c r="S236" s="63"/>
      <c r="T236" s="63"/>
      <c r="U236" s="63"/>
      <c r="V236" s="63"/>
      <c r="W236" s="63"/>
      <c r="X236" s="63"/>
      <c r="Y236" s="82"/>
      <c r="Z236" s="82"/>
      <c r="AA236" s="82"/>
      <c r="AB236" s="82"/>
      <c r="AC236" s="82"/>
      <c r="AD236" s="82"/>
      <c r="AE236" s="82"/>
      <c r="AF236" s="63" t="str">
        <f t="shared" si="0"/>
        <v/>
      </c>
      <c r="AG236" s="82"/>
      <c r="AH236" s="82"/>
      <c r="AI236" s="82"/>
      <c r="AJ236" s="82"/>
      <c r="AK236" s="82"/>
      <c r="AL236" s="82"/>
      <c r="AM236" s="82"/>
      <c r="AN236" s="82"/>
      <c r="AO236" s="82"/>
      <c r="AP236" s="82"/>
      <c r="AQ236" s="82"/>
      <c r="AR236" s="82"/>
      <c r="AS236" s="82"/>
      <c r="AT236" s="82"/>
      <c r="AU236" s="82"/>
      <c r="AV236" s="82"/>
      <c r="AW236" s="82"/>
      <c r="AX236" s="82"/>
      <c r="AY236" s="82"/>
      <c r="AZ236" s="82"/>
      <c r="BA236" s="82"/>
      <c r="BB236" s="82"/>
      <c r="BC236" s="82"/>
      <c r="BD236" s="82"/>
      <c r="BE236" s="82"/>
      <c r="BF236" s="82"/>
      <c r="BG236" s="82"/>
      <c r="BH236" s="82"/>
      <c r="BI236" s="82"/>
      <c r="BJ236" s="82"/>
      <c r="BK236" s="82"/>
      <c r="BL236" s="82"/>
      <c r="BM236" s="82"/>
      <c r="BN236" s="82"/>
      <c r="BO236" s="82"/>
      <c r="BP236" s="82"/>
      <c r="BQ236" s="63"/>
      <c r="BR236" s="82"/>
      <c r="BS236" s="82"/>
      <c r="BT236" s="82"/>
      <c r="BU236" s="4"/>
    </row>
    <row r="237" spans="1:73" ht="12.75" x14ac:dyDescent="0.2">
      <c r="A237" s="68" t="s">
        <v>2</v>
      </c>
      <c r="B237" s="85"/>
      <c r="C237" s="85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4"/>
      <c r="O237" s="82"/>
      <c r="P237" s="82"/>
      <c r="Q237" s="82"/>
      <c r="R237" s="63"/>
      <c r="S237" s="63"/>
      <c r="T237" s="63"/>
      <c r="U237" s="63"/>
      <c r="V237" s="63"/>
      <c r="W237" s="63"/>
      <c r="X237" s="63"/>
      <c r="Y237" s="82"/>
      <c r="Z237" s="82"/>
      <c r="AA237" s="82"/>
      <c r="AB237" s="82"/>
      <c r="AC237" s="82"/>
      <c r="AD237" s="82"/>
      <c r="AE237" s="82"/>
      <c r="AF237" s="63" t="str">
        <f t="shared" si="0"/>
        <v/>
      </c>
      <c r="AG237" s="82"/>
      <c r="AH237" s="82"/>
      <c r="AI237" s="82"/>
      <c r="AJ237" s="82"/>
      <c r="AK237" s="82"/>
      <c r="AL237" s="82"/>
      <c r="AM237" s="82"/>
      <c r="AN237" s="82"/>
      <c r="AO237" s="82"/>
      <c r="AP237" s="82"/>
      <c r="AQ237" s="82"/>
      <c r="AR237" s="82"/>
      <c r="AS237" s="82"/>
      <c r="AT237" s="82"/>
      <c r="AU237" s="82"/>
      <c r="AV237" s="82"/>
      <c r="AW237" s="82"/>
      <c r="AX237" s="82"/>
      <c r="AY237" s="82"/>
      <c r="AZ237" s="82"/>
      <c r="BA237" s="82"/>
      <c r="BB237" s="82"/>
      <c r="BC237" s="82"/>
      <c r="BD237" s="82"/>
      <c r="BE237" s="82"/>
      <c r="BF237" s="82"/>
      <c r="BG237" s="82"/>
      <c r="BH237" s="82"/>
      <c r="BI237" s="82"/>
      <c r="BJ237" s="82"/>
      <c r="BK237" s="82"/>
      <c r="BL237" s="82"/>
      <c r="BM237" s="82"/>
      <c r="BN237" s="82"/>
      <c r="BO237" s="82"/>
      <c r="BP237" s="82"/>
      <c r="BQ237" s="63"/>
      <c r="BR237" s="82"/>
      <c r="BS237" s="82"/>
      <c r="BT237" s="82"/>
      <c r="BU237" s="4"/>
    </row>
    <row r="238" spans="1:73" ht="12.75" x14ac:dyDescent="0.2">
      <c r="A238" s="68" t="s">
        <v>2</v>
      </c>
      <c r="B238" s="85"/>
      <c r="C238" s="85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4"/>
      <c r="O238" s="82"/>
      <c r="P238" s="82"/>
      <c r="Q238" s="82"/>
      <c r="R238" s="63"/>
      <c r="S238" s="63"/>
      <c r="T238" s="63"/>
      <c r="U238" s="63"/>
      <c r="V238" s="63"/>
      <c r="W238" s="63"/>
      <c r="X238" s="63"/>
      <c r="Y238" s="82"/>
      <c r="Z238" s="82"/>
      <c r="AA238" s="82"/>
      <c r="AB238" s="82"/>
      <c r="AC238" s="82"/>
      <c r="AD238" s="82"/>
      <c r="AE238" s="82"/>
      <c r="AF238" s="63" t="str">
        <f t="shared" si="0"/>
        <v/>
      </c>
      <c r="AG238" s="82"/>
      <c r="AH238" s="82"/>
      <c r="AI238" s="82"/>
      <c r="AJ238" s="82"/>
      <c r="AK238" s="82"/>
      <c r="AL238" s="82"/>
      <c r="AM238" s="82"/>
      <c r="AN238" s="82"/>
      <c r="AO238" s="82"/>
      <c r="AP238" s="82"/>
      <c r="AQ238" s="82"/>
      <c r="AR238" s="82"/>
      <c r="AS238" s="82"/>
      <c r="AT238" s="82"/>
      <c r="AU238" s="82"/>
      <c r="AV238" s="82"/>
      <c r="AW238" s="82"/>
      <c r="AX238" s="82"/>
      <c r="AY238" s="82"/>
      <c r="AZ238" s="82"/>
      <c r="BA238" s="82"/>
      <c r="BB238" s="82"/>
      <c r="BC238" s="82"/>
      <c r="BD238" s="82"/>
      <c r="BE238" s="82"/>
      <c r="BF238" s="82"/>
      <c r="BG238" s="82"/>
      <c r="BH238" s="82"/>
      <c r="BI238" s="82"/>
      <c r="BJ238" s="82"/>
      <c r="BK238" s="82"/>
      <c r="BL238" s="82"/>
      <c r="BM238" s="82"/>
      <c r="BN238" s="82"/>
      <c r="BO238" s="82"/>
      <c r="BP238" s="82"/>
      <c r="BQ238" s="63"/>
      <c r="BR238" s="82"/>
      <c r="BS238" s="82"/>
      <c r="BT238" s="82"/>
      <c r="BU238" s="4"/>
    </row>
    <row r="239" spans="1:73" ht="12.75" x14ac:dyDescent="0.2">
      <c r="A239" s="68" t="s">
        <v>2</v>
      </c>
      <c r="B239" s="85"/>
      <c r="C239" s="85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4"/>
      <c r="O239" s="82"/>
      <c r="P239" s="82"/>
      <c r="Q239" s="82"/>
      <c r="R239" s="63"/>
      <c r="S239" s="63"/>
      <c r="T239" s="63"/>
      <c r="U239" s="63"/>
      <c r="V239" s="63"/>
      <c r="W239" s="63"/>
      <c r="X239" s="63"/>
      <c r="Y239" s="82"/>
      <c r="Z239" s="82"/>
      <c r="AA239" s="82"/>
      <c r="AB239" s="82"/>
      <c r="AC239" s="82"/>
      <c r="AD239" s="82"/>
      <c r="AE239" s="82"/>
      <c r="AF239" s="63" t="str">
        <f t="shared" si="0"/>
        <v/>
      </c>
      <c r="AG239" s="82"/>
      <c r="AH239" s="82"/>
      <c r="AI239" s="82"/>
      <c r="AJ239" s="82"/>
      <c r="AK239" s="82"/>
      <c r="AL239" s="82"/>
      <c r="AM239" s="82"/>
      <c r="AN239" s="82"/>
      <c r="AO239" s="82"/>
      <c r="AP239" s="82"/>
      <c r="AQ239" s="82"/>
      <c r="AR239" s="82"/>
      <c r="AS239" s="82"/>
      <c r="AT239" s="82"/>
      <c r="AU239" s="82"/>
      <c r="AV239" s="82"/>
      <c r="AW239" s="82"/>
      <c r="AX239" s="82"/>
      <c r="AY239" s="82"/>
      <c r="AZ239" s="82"/>
      <c r="BA239" s="82"/>
      <c r="BB239" s="82"/>
      <c r="BC239" s="82"/>
      <c r="BD239" s="82"/>
      <c r="BE239" s="82"/>
      <c r="BF239" s="82"/>
      <c r="BG239" s="82"/>
      <c r="BH239" s="82"/>
      <c r="BI239" s="82"/>
      <c r="BJ239" s="82"/>
      <c r="BK239" s="82"/>
      <c r="BL239" s="82"/>
      <c r="BM239" s="82"/>
      <c r="BN239" s="82"/>
      <c r="BO239" s="82"/>
      <c r="BP239" s="82"/>
      <c r="BQ239" s="63"/>
      <c r="BR239" s="82"/>
      <c r="BS239" s="82"/>
      <c r="BT239" s="82"/>
      <c r="BU239" s="4"/>
    </row>
    <row r="240" spans="1:73" ht="12.75" x14ac:dyDescent="0.2">
      <c r="A240" s="68" t="s">
        <v>2</v>
      </c>
      <c r="B240" s="85"/>
      <c r="C240" s="85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4"/>
      <c r="O240" s="82"/>
      <c r="P240" s="82"/>
      <c r="Q240" s="82"/>
      <c r="R240" s="63"/>
      <c r="S240" s="63"/>
      <c r="T240" s="63"/>
      <c r="U240" s="63"/>
      <c r="V240" s="63"/>
      <c r="W240" s="63"/>
      <c r="X240" s="63"/>
      <c r="Y240" s="82"/>
      <c r="Z240" s="82"/>
      <c r="AA240" s="82"/>
      <c r="AB240" s="82"/>
      <c r="AC240" s="82"/>
      <c r="AD240" s="82"/>
      <c r="AE240" s="82"/>
      <c r="AF240" s="63" t="str">
        <f t="shared" si="0"/>
        <v/>
      </c>
      <c r="AG240" s="82"/>
      <c r="AH240" s="82"/>
      <c r="AI240" s="82"/>
      <c r="AJ240" s="82"/>
      <c r="AK240" s="82"/>
      <c r="AL240" s="82"/>
      <c r="AM240" s="82"/>
      <c r="AN240" s="82"/>
      <c r="AO240" s="82"/>
      <c r="AP240" s="82"/>
      <c r="AQ240" s="82"/>
      <c r="AR240" s="82"/>
      <c r="AS240" s="82"/>
      <c r="AT240" s="82"/>
      <c r="AU240" s="82"/>
      <c r="AV240" s="82"/>
      <c r="AW240" s="82"/>
      <c r="AX240" s="82"/>
      <c r="AY240" s="82"/>
      <c r="AZ240" s="82"/>
      <c r="BA240" s="82"/>
      <c r="BB240" s="82"/>
      <c r="BC240" s="82"/>
      <c r="BD240" s="82"/>
      <c r="BE240" s="82"/>
      <c r="BF240" s="82"/>
      <c r="BG240" s="82"/>
      <c r="BH240" s="82"/>
      <c r="BI240" s="82"/>
      <c r="BJ240" s="82"/>
      <c r="BK240" s="82"/>
      <c r="BL240" s="82"/>
      <c r="BM240" s="82"/>
      <c r="BN240" s="82"/>
      <c r="BO240" s="82"/>
      <c r="BP240" s="82"/>
      <c r="BQ240" s="63"/>
      <c r="BR240" s="82"/>
      <c r="BS240" s="82"/>
      <c r="BT240" s="82"/>
      <c r="BU240" s="4"/>
    </row>
    <row r="241" spans="1:73" ht="12.75" x14ac:dyDescent="0.2">
      <c r="A241" s="68" t="s">
        <v>2</v>
      </c>
      <c r="B241" s="85"/>
      <c r="C241" s="85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4"/>
      <c r="O241" s="82"/>
      <c r="P241" s="82"/>
      <c r="Q241" s="82"/>
      <c r="R241" s="63"/>
      <c r="S241" s="63"/>
      <c r="T241" s="63"/>
      <c r="U241" s="63"/>
      <c r="V241" s="63"/>
      <c r="W241" s="63"/>
      <c r="X241" s="63"/>
      <c r="Y241" s="82"/>
      <c r="Z241" s="82"/>
      <c r="AA241" s="82"/>
      <c r="AB241" s="82"/>
      <c r="AC241" s="82"/>
      <c r="AD241" s="82"/>
      <c r="AE241" s="82"/>
      <c r="AF241" s="63" t="str">
        <f t="shared" si="0"/>
        <v/>
      </c>
      <c r="AG241" s="82"/>
      <c r="AH241" s="82"/>
      <c r="AI241" s="82"/>
      <c r="AJ241" s="82"/>
      <c r="AK241" s="82"/>
      <c r="AL241" s="82"/>
      <c r="AM241" s="82"/>
      <c r="AN241" s="82"/>
      <c r="AO241" s="82"/>
      <c r="AP241" s="82"/>
      <c r="AQ241" s="82"/>
      <c r="AR241" s="82"/>
      <c r="AS241" s="82"/>
      <c r="AT241" s="82"/>
      <c r="AU241" s="82"/>
      <c r="AV241" s="82"/>
      <c r="AW241" s="82"/>
      <c r="AX241" s="82"/>
      <c r="AY241" s="82"/>
      <c r="AZ241" s="82"/>
      <c r="BA241" s="82"/>
      <c r="BB241" s="82"/>
      <c r="BC241" s="82"/>
      <c r="BD241" s="82"/>
      <c r="BE241" s="82"/>
      <c r="BF241" s="82"/>
      <c r="BG241" s="82"/>
      <c r="BH241" s="82"/>
      <c r="BI241" s="82"/>
      <c r="BJ241" s="82"/>
      <c r="BK241" s="82"/>
      <c r="BL241" s="82"/>
      <c r="BM241" s="82"/>
      <c r="BN241" s="82"/>
      <c r="BO241" s="82"/>
      <c r="BP241" s="82"/>
      <c r="BQ241" s="63"/>
      <c r="BR241" s="82"/>
      <c r="BS241" s="82"/>
      <c r="BT241" s="82"/>
      <c r="BU241" s="4"/>
    </row>
    <row r="242" spans="1:73" ht="12.75" x14ac:dyDescent="0.2">
      <c r="A242" s="68" t="s">
        <v>2</v>
      </c>
      <c r="B242" s="85"/>
      <c r="C242" s="85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4"/>
      <c r="O242" s="82"/>
      <c r="P242" s="82"/>
      <c r="Q242" s="82"/>
      <c r="R242" s="63"/>
      <c r="S242" s="63"/>
      <c r="T242" s="63"/>
      <c r="U242" s="63"/>
      <c r="V242" s="63"/>
      <c r="W242" s="63"/>
      <c r="X242" s="63"/>
      <c r="Y242" s="82"/>
      <c r="Z242" s="82"/>
      <c r="AA242" s="82"/>
      <c r="AB242" s="82"/>
      <c r="AC242" s="82"/>
      <c r="AD242" s="82"/>
      <c r="AE242" s="82"/>
      <c r="AF242" s="63" t="str">
        <f t="shared" si="0"/>
        <v/>
      </c>
      <c r="AG242" s="82"/>
      <c r="AH242" s="82"/>
      <c r="AI242" s="82"/>
      <c r="AJ242" s="82"/>
      <c r="AK242" s="82"/>
      <c r="AL242" s="82"/>
      <c r="AM242" s="82"/>
      <c r="AN242" s="82"/>
      <c r="AO242" s="82"/>
      <c r="AP242" s="82"/>
      <c r="AQ242" s="82"/>
      <c r="AR242" s="82"/>
      <c r="AS242" s="82"/>
      <c r="AT242" s="82"/>
      <c r="AU242" s="82"/>
      <c r="AV242" s="82"/>
      <c r="AW242" s="82"/>
      <c r="AX242" s="82"/>
      <c r="AY242" s="82"/>
      <c r="AZ242" s="82"/>
      <c r="BA242" s="82"/>
      <c r="BB242" s="82"/>
      <c r="BC242" s="82"/>
      <c r="BD242" s="82"/>
      <c r="BE242" s="82"/>
      <c r="BF242" s="82"/>
      <c r="BG242" s="82"/>
      <c r="BH242" s="82"/>
      <c r="BI242" s="82"/>
      <c r="BJ242" s="82"/>
      <c r="BK242" s="82"/>
      <c r="BL242" s="82"/>
      <c r="BM242" s="82"/>
      <c r="BN242" s="82"/>
      <c r="BO242" s="82"/>
      <c r="BP242" s="82"/>
      <c r="BQ242" s="63"/>
      <c r="BR242" s="82"/>
      <c r="BS242" s="82"/>
      <c r="BT242" s="82"/>
      <c r="BU242" s="4"/>
    </row>
    <row r="243" spans="1:73" ht="12.75" x14ac:dyDescent="0.2">
      <c r="A243" s="68" t="s">
        <v>2</v>
      </c>
      <c r="B243" s="85"/>
      <c r="C243" s="85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4"/>
      <c r="O243" s="82"/>
      <c r="P243" s="82"/>
      <c r="Q243" s="82"/>
      <c r="R243" s="63"/>
      <c r="S243" s="63"/>
      <c r="T243" s="63"/>
      <c r="U243" s="63"/>
      <c r="V243" s="63"/>
      <c r="W243" s="63"/>
      <c r="X243" s="63"/>
      <c r="Y243" s="82"/>
      <c r="Z243" s="82"/>
      <c r="AA243" s="82"/>
      <c r="AB243" s="82"/>
      <c r="AC243" s="82"/>
      <c r="AD243" s="82"/>
      <c r="AE243" s="82"/>
      <c r="AF243" s="63" t="str">
        <f t="shared" si="0"/>
        <v/>
      </c>
      <c r="AG243" s="82"/>
      <c r="AH243" s="82"/>
      <c r="AI243" s="82"/>
      <c r="AJ243" s="82"/>
      <c r="AK243" s="82"/>
      <c r="AL243" s="82"/>
      <c r="AM243" s="82"/>
      <c r="AN243" s="82"/>
      <c r="AO243" s="82"/>
      <c r="AP243" s="82"/>
      <c r="AQ243" s="82"/>
      <c r="AR243" s="82"/>
      <c r="AS243" s="82"/>
      <c r="AT243" s="82"/>
      <c r="AU243" s="82"/>
      <c r="AV243" s="82"/>
      <c r="AW243" s="82"/>
      <c r="AX243" s="82"/>
      <c r="AY243" s="82"/>
      <c r="AZ243" s="82"/>
      <c r="BA243" s="82"/>
      <c r="BB243" s="82"/>
      <c r="BC243" s="82"/>
      <c r="BD243" s="82"/>
      <c r="BE243" s="82"/>
      <c r="BF243" s="82"/>
      <c r="BG243" s="82"/>
      <c r="BH243" s="82"/>
      <c r="BI243" s="82"/>
      <c r="BJ243" s="82"/>
      <c r="BK243" s="82"/>
      <c r="BL243" s="82"/>
      <c r="BM243" s="82"/>
      <c r="BN243" s="82"/>
      <c r="BO243" s="82"/>
      <c r="BP243" s="82"/>
      <c r="BQ243" s="63"/>
      <c r="BR243" s="82"/>
      <c r="BS243" s="82"/>
      <c r="BT243" s="82"/>
      <c r="BU243" s="4"/>
    </row>
    <row r="244" spans="1:73" ht="12.75" x14ac:dyDescent="0.2">
      <c r="A244" s="68" t="s">
        <v>2</v>
      </c>
      <c r="B244" s="85"/>
      <c r="C244" s="85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4"/>
      <c r="O244" s="82"/>
      <c r="P244" s="82"/>
      <c r="Q244" s="82"/>
      <c r="R244" s="63"/>
      <c r="S244" s="63"/>
      <c r="T244" s="63"/>
      <c r="U244" s="63"/>
      <c r="V244" s="63"/>
      <c r="W244" s="63"/>
      <c r="X244" s="63"/>
      <c r="Y244" s="82"/>
      <c r="Z244" s="82"/>
      <c r="AA244" s="82"/>
      <c r="AB244" s="82"/>
      <c r="AC244" s="82"/>
      <c r="AD244" s="82"/>
      <c r="AE244" s="82"/>
      <c r="AF244" s="63" t="str">
        <f t="shared" si="0"/>
        <v/>
      </c>
      <c r="AG244" s="82"/>
      <c r="AH244" s="82"/>
      <c r="AI244" s="82"/>
      <c r="AJ244" s="82"/>
      <c r="AK244" s="82"/>
      <c r="AL244" s="82"/>
      <c r="AM244" s="82"/>
      <c r="AN244" s="82"/>
      <c r="AO244" s="82"/>
      <c r="AP244" s="82"/>
      <c r="AQ244" s="82"/>
      <c r="AR244" s="82"/>
      <c r="AS244" s="82"/>
      <c r="AT244" s="82"/>
      <c r="AU244" s="82"/>
      <c r="AV244" s="82"/>
      <c r="AW244" s="82"/>
      <c r="AX244" s="82"/>
      <c r="AY244" s="82"/>
      <c r="AZ244" s="82"/>
      <c r="BA244" s="82"/>
      <c r="BB244" s="82"/>
      <c r="BC244" s="82"/>
      <c r="BD244" s="82"/>
      <c r="BE244" s="82"/>
      <c r="BF244" s="82"/>
      <c r="BG244" s="82"/>
      <c r="BH244" s="82"/>
      <c r="BI244" s="82"/>
      <c r="BJ244" s="82"/>
      <c r="BK244" s="82"/>
      <c r="BL244" s="82"/>
      <c r="BM244" s="82"/>
      <c r="BN244" s="82"/>
      <c r="BO244" s="82"/>
      <c r="BP244" s="82"/>
      <c r="BQ244" s="63"/>
      <c r="BR244" s="82"/>
      <c r="BS244" s="82"/>
      <c r="BT244" s="82"/>
      <c r="BU244" s="4"/>
    </row>
    <row r="245" spans="1:73" ht="12.75" x14ac:dyDescent="0.2">
      <c r="A245" s="68" t="s">
        <v>2</v>
      </c>
      <c r="B245" s="85"/>
      <c r="C245" s="85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4"/>
      <c r="O245" s="82"/>
      <c r="P245" s="82"/>
      <c r="Q245" s="82"/>
      <c r="R245" s="63"/>
      <c r="S245" s="63"/>
      <c r="T245" s="63"/>
      <c r="U245" s="63"/>
      <c r="V245" s="63"/>
      <c r="W245" s="63"/>
      <c r="X245" s="63"/>
      <c r="Y245" s="82"/>
      <c r="Z245" s="82"/>
      <c r="AA245" s="82"/>
      <c r="AB245" s="82"/>
      <c r="AC245" s="82"/>
      <c r="AD245" s="82"/>
      <c r="AE245" s="82"/>
      <c r="AF245" s="63" t="str">
        <f t="shared" si="0"/>
        <v/>
      </c>
      <c r="AG245" s="82"/>
      <c r="AH245" s="82"/>
      <c r="AI245" s="82"/>
      <c r="AJ245" s="82"/>
      <c r="AK245" s="82"/>
      <c r="AL245" s="82"/>
      <c r="AM245" s="82"/>
      <c r="AN245" s="82"/>
      <c r="AO245" s="82"/>
      <c r="AP245" s="82"/>
      <c r="AQ245" s="82"/>
      <c r="AR245" s="82"/>
      <c r="AS245" s="82"/>
      <c r="AT245" s="82"/>
      <c r="AU245" s="82"/>
      <c r="AV245" s="82"/>
      <c r="AW245" s="82"/>
      <c r="AX245" s="82"/>
      <c r="AY245" s="82"/>
      <c r="AZ245" s="82"/>
      <c r="BA245" s="82"/>
      <c r="BB245" s="82"/>
      <c r="BC245" s="82"/>
      <c r="BD245" s="82"/>
      <c r="BE245" s="82"/>
      <c r="BF245" s="82"/>
      <c r="BG245" s="82"/>
      <c r="BH245" s="82"/>
      <c r="BI245" s="82"/>
      <c r="BJ245" s="82"/>
      <c r="BK245" s="82"/>
      <c r="BL245" s="82"/>
      <c r="BM245" s="82"/>
      <c r="BN245" s="82"/>
      <c r="BO245" s="82"/>
      <c r="BP245" s="82"/>
      <c r="BQ245" s="63"/>
      <c r="BR245" s="82"/>
      <c r="BS245" s="82"/>
      <c r="BT245" s="82"/>
      <c r="BU245" s="4"/>
    </row>
    <row r="246" spans="1:73" ht="12.75" x14ac:dyDescent="0.2">
      <c r="A246" s="68" t="s">
        <v>2</v>
      </c>
      <c r="B246" s="85"/>
      <c r="C246" s="85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4"/>
      <c r="O246" s="82"/>
      <c r="P246" s="82"/>
      <c r="Q246" s="82"/>
      <c r="R246" s="63"/>
      <c r="S246" s="63"/>
      <c r="T246" s="63"/>
      <c r="U246" s="63"/>
      <c r="V246" s="63"/>
      <c r="W246" s="63"/>
      <c r="X246" s="63"/>
      <c r="Y246" s="82"/>
      <c r="Z246" s="82"/>
      <c r="AA246" s="82"/>
      <c r="AB246" s="82"/>
      <c r="AC246" s="82"/>
      <c r="AD246" s="82"/>
      <c r="AE246" s="82"/>
      <c r="AF246" s="63" t="str">
        <f t="shared" si="0"/>
        <v/>
      </c>
      <c r="AG246" s="82"/>
      <c r="AH246" s="82"/>
      <c r="AI246" s="82"/>
      <c r="AJ246" s="82"/>
      <c r="AK246" s="82"/>
      <c r="AL246" s="82"/>
      <c r="AM246" s="82"/>
      <c r="AN246" s="82"/>
      <c r="AO246" s="82"/>
      <c r="AP246" s="82"/>
      <c r="AQ246" s="82"/>
      <c r="AR246" s="82"/>
      <c r="AS246" s="82"/>
      <c r="AT246" s="82"/>
      <c r="AU246" s="82"/>
      <c r="AV246" s="82"/>
      <c r="AW246" s="82"/>
      <c r="AX246" s="82"/>
      <c r="AY246" s="82"/>
      <c r="AZ246" s="82"/>
      <c r="BA246" s="82"/>
      <c r="BB246" s="82"/>
      <c r="BC246" s="82"/>
      <c r="BD246" s="82"/>
      <c r="BE246" s="82"/>
      <c r="BF246" s="82"/>
      <c r="BG246" s="82"/>
      <c r="BH246" s="82"/>
      <c r="BI246" s="82"/>
      <c r="BJ246" s="82"/>
      <c r="BK246" s="82"/>
      <c r="BL246" s="82"/>
      <c r="BM246" s="82"/>
      <c r="BN246" s="82"/>
      <c r="BO246" s="82"/>
      <c r="BP246" s="82"/>
      <c r="BQ246" s="63"/>
      <c r="BR246" s="82"/>
      <c r="BS246" s="82"/>
      <c r="BT246" s="82"/>
      <c r="BU246" s="4"/>
    </row>
    <row r="247" spans="1:73" ht="12.75" x14ac:dyDescent="0.2">
      <c r="A247" s="68" t="s">
        <v>2</v>
      </c>
      <c r="B247" s="85"/>
      <c r="C247" s="85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4"/>
      <c r="O247" s="82"/>
      <c r="P247" s="82"/>
      <c r="Q247" s="82"/>
      <c r="R247" s="63"/>
      <c r="S247" s="63"/>
      <c r="T247" s="63"/>
      <c r="U247" s="63"/>
      <c r="V247" s="63"/>
      <c r="W247" s="63"/>
      <c r="X247" s="63"/>
      <c r="Y247" s="82"/>
      <c r="Z247" s="82"/>
      <c r="AA247" s="82"/>
      <c r="AB247" s="82"/>
      <c r="AC247" s="82"/>
      <c r="AD247" s="82"/>
      <c r="AE247" s="82"/>
      <c r="AF247" s="63" t="str">
        <f t="shared" si="0"/>
        <v/>
      </c>
      <c r="AG247" s="82"/>
      <c r="AH247" s="82"/>
      <c r="AI247" s="82"/>
      <c r="AJ247" s="82"/>
      <c r="AK247" s="82"/>
      <c r="AL247" s="82"/>
      <c r="AM247" s="82"/>
      <c r="AN247" s="82"/>
      <c r="AO247" s="82"/>
      <c r="AP247" s="82"/>
      <c r="AQ247" s="82"/>
      <c r="AR247" s="82"/>
      <c r="AS247" s="82"/>
      <c r="AT247" s="82"/>
      <c r="AU247" s="82"/>
      <c r="AV247" s="82"/>
      <c r="AW247" s="82"/>
      <c r="AX247" s="82"/>
      <c r="AY247" s="82"/>
      <c r="AZ247" s="82"/>
      <c r="BA247" s="82"/>
      <c r="BB247" s="82"/>
      <c r="BC247" s="82"/>
      <c r="BD247" s="82"/>
      <c r="BE247" s="82"/>
      <c r="BF247" s="82"/>
      <c r="BG247" s="82"/>
      <c r="BH247" s="82"/>
      <c r="BI247" s="82"/>
      <c r="BJ247" s="82"/>
      <c r="BK247" s="82"/>
      <c r="BL247" s="82"/>
      <c r="BM247" s="82"/>
      <c r="BN247" s="82"/>
      <c r="BO247" s="82"/>
      <c r="BP247" s="82"/>
      <c r="BQ247" s="63"/>
      <c r="BR247" s="82"/>
      <c r="BS247" s="82"/>
      <c r="BT247" s="82"/>
      <c r="BU247" s="4"/>
    </row>
    <row r="248" spans="1:73" ht="12.75" x14ac:dyDescent="0.2">
      <c r="A248" s="68" t="s">
        <v>2</v>
      </c>
      <c r="B248" s="85"/>
      <c r="C248" s="85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4"/>
      <c r="O248" s="82"/>
      <c r="P248" s="82"/>
      <c r="Q248" s="82"/>
      <c r="R248" s="63"/>
      <c r="S248" s="63"/>
      <c r="T248" s="63"/>
      <c r="U248" s="63"/>
      <c r="V248" s="63"/>
      <c r="W248" s="63"/>
      <c r="X248" s="63"/>
      <c r="Y248" s="82"/>
      <c r="Z248" s="82"/>
      <c r="AA248" s="82"/>
      <c r="AB248" s="82"/>
      <c r="AC248" s="82"/>
      <c r="AD248" s="82"/>
      <c r="AE248" s="82"/>
      <c r="AF248" s="63" t="str">
        <f t="shared" si="0"/>
        <v/>
      </c>
      <c r="AG248" s="82"/>
      <c r="AH248" s="82"/>
      <c r="AI248" s="82"/>
      <c r="AJ248" s="82"/>
      <c r="AK248" s="82"/>
      <c r="AL248" s="82"/>
      <c r="AM248" s="82"/>
      <c r="AN248" s="82"/>
      <c r="AO248" s="82"/>
      <c r="AP248" s="82"/>
      <c r="AQ248" s="82"/>
      <c r="AR248" s="82"/>
      <c r="AS248" s="82"/>
      <c r="AT248" s="82"/>
      <c r="AU248" s="82"/>
      <c r="AV248" s="82"/>
      <c r="AW248" s="82"/>
      <c r="AX248" s="82"/>
      <c r="AY248" s="82"/>
      <c r="AZ248" s="82"/>
      <c r="BA248" s="82"/>
      <c r="BB248" s="82"/>
      <c r="BC248" s="82"/>
      <c r="BD248" s="82"/>
      <c r="BE248" s="82"/>
      <c r="BF248" s="82"/>
      <c r="BG248" s="82"/>
      <c r="BH248" s="82"/>
      <c r="BI248" s="82"/>
      <c r="BJ248" s="82"/>
      <c r="BK248" s="82"/>
      <c r="BL248" s="82"/>
      <c r="BM248" s="82"/>
      <c r="BN248" s="82"/>
      <c r="BO248" s="82"/>
      <c r="BP248" s="82"/>
      <c r="BQ248" s="63"/>
      <c r="BR248" s="82"/>
      <c r="BS248" s="82"/>
      <c r="BT248" s="82"/>
      <c r="BU248" s="4"/>
    </row>
    <row r="249" spans="1:73" ht="12.75" x14ac:dyDescent="0.2">
      <c r="A249" s="68" t="s">
        <v>2</v>
      </c>
      <c r="B249" s="85"/>
      <c r="C249" s="85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4"/>
      <c r="O249" s="82"/>
      <c r="P249" s="82"/>
      <c r="Q249" s="82"/>
      <c r="R249" s="63"/>
      <c r="S249" s="63"/>
      <c r="T249" s="63"/>
      <c r="U249" s="63"/>
      <c r="V249" s="63"/>
      <c r="W249" s="63"/>
      <c r="X249" s="63"/>
      <c r="Y249" s="82"/>
      <c r="Z249" s="82"/>
      <c r="AA249" s="82"/>
      <c r="AB249" s="82"/>
      <c r="AC249" s="82"/>
      <c r="AD249" s="82"/>
      <c r="AE249" s="82"/>
      <c r="AF249" s="63" t="str">
        <f t="shared" si="0"/>
        <v/>
      </c>
      <c r="AG249" s="82"/>
      <c r="AH249" s="82"/>
      <c r="AI249" s="82"/>
      <c r="AJ249" s="82"/>
      <c r="AK249" s="82"/>
      <c r="AL249" s="82"/>
      <c r="AM249" s="82"/>
      <c r="AN249" s="82"/>
      <c r="AO249" s="82"/>
      <c r="AP249" s="82"/>
      <c r="AQ249" s="82"/>
      <c r="AR249" s="82"/>
      <c r="AS249" s="82"/>
      <c r="AT249" s="82"/>
      <c r="AU249" s="82"/>
      <c r="AV249" s="82"/>
      <c r="AW249" s="82"/>
      <c r="AX249" s="82"/>
      <c r="AY249" s="82"/>
      <c r="AZ249" s="82"/>
      <c r="BA249" s="82"/>
      <c r="BB249" s="82"/>
      <c r="BC249" s="82"/>
      <c r="BD249" s="82"/>
      <c r="BE249" s="82"/>
      <c r="BF249" s="82"/>
      <c r="BG249" s="82"/>
      <c r="BH249" s="82"/>
      <c r="BI249" s="82"/>
      <c r="BJ249" s="82"/>
      <c r="BK249" s="82"/>
      <c r="BL249" s="82"/>
      <c r="BM249" s="82"/>
      <c r="BN249" s="82"/>
      <c r="BO249" s="82"/>
      <c r="BP249" s="82"/>
      <c r="BQ249" s="63"/>
      <c r="BR249" s="82"/>
      <c r="BS249" s="82"/>
      <c r="BT249" s="82"/>
      <c r="BU249" s="4"/>
    </row>
    <row r="250" spans="1:73" ht="12.75" x14ac:dyDescent="0.2">
      <c r="A250" s="68" t="s">
        <v>2</v>
      </c>
      <c r="B250" s="85"/>
      <c r="C250" s="85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4"/>
      <c r="O250" s="82"/>
      <c r="P250" s="82"/>
      <c r="Q250" s="82"/>
      <c r="R250" s="63"/>
      <c r="S250" s="63"/>
      <c r="T250" s="63"/>
      <c r="U250" s="63"/>
      <c r="V250" s="63"/>
      <c r="W250" s="63"/>
      <c r="X250" s="63"/>
      <c r="Y250" s="82"/>
      <c r="Z250" s="82"/>
      <c r="AA250" s="82"/>
      <c r="AB250" s="82"/>
      <c r="AC250" s="82"/>
      <c r="AD250" s="82"/>
      <c r="AE250" s="82"/>
      <c r="AF250" s="63" t="str">
        <f t="shared" si="0"/>
        <v/>
      </c>
      <c r="AG250" s="82"/>
      <c r="AH250" s="82"/>
      <c r="AI250" s="82"/>
      <c r="AJ250" s="82"/>
      <c r="AK250" s="82"/>
      <c r="AL250" s="82"/>
      <c r="AM250" s="82"/>
      <c r="AN250" s="82"/>
      <c r="AO250" s="82"/>
      <c r="AP250" s="82"/>
      <c r="AQ250" s="82"/>
      <c r="AR250" s="82"/>
      <c r="AS250" s="82"/>
      <c r="AT250" s="82"/>
      <c r="AU250" s="82"/>
      <c r="AV250" s="82"/>
      <c r="AW250" s="82"/>
      <c r="AX250" s="82"/>
      <c r="AY250" s="82"/>
      <c r="AZ250" s="82"/>
      <c r="BA250" s="82"/>
      <c r="BB250" s="82"/>
      <c r="BC250" s="82"/>
      <c r="BD250" s="82"/>
      <c r="BE250" s="82"/>
      <c r="BF250" s="82"/>
      <c r="BG250" s="82"/>
      <c r="BH250" s="82"/>
      <c r="BI250" s="82"/>
      <c r="BJ250" s="82"/>
      <c r="BK250" s="82"/>
      <c r="BL250" s="82"/>
      <c r="BM250" s="82"/>
      <c r="BN250" s="82"/>
      <c r="BO250" s="82"/>
      <c r="BP250" s="82"/>
      <c r="BQ250" s="63"/>
      <c r="BR250" s="82"/>
      <c r="BS250" s="82"/>
      <c r="BT250" s="82"/>
      <c r="BU250" s="4"/>
    </row>
    <row r="251" spans="1:73" ht="12.75" x14ac:dyDescent="0.2">
      <c r="A251" s="68" t="s">
        <v>2</v>
      </c>
      <c r="B251" s="85"/>
      <c r="C251" s="85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4"/>
      <c r="O251" s="82"/>
      <c r="P251" s="82"/>
      <c r="Q251" s="82"/>
      <c r="R251" s="63"/>
      <c r="S251" s="63"/>
      <c r="T251" s="63"/>
      <c r="U251" s="63"/>
      <c r="V251" s="63"/>
      <c r="W251" s="63"/>
      <c r="X251" s="63"/>
      <c r="Y251" s="82"/>
      <c r="Z251" s="82"/>
      <c r="AA251" s="82"/>
      <c r="AB251" s="82"/>
      <c r="AC251" s="82"/>
      <c r="AD251" s="82"/>
      <c r="AE251" s="82"/>
      <c r="AF251" s="63" t="str">
        <f t="shared" si="0"/>
        <v/>
      </c>
      <c r="AG251" s="82"/>
      <c r="AH251" s="82"/>
      <c r="AI251" s="82"/>
      <c r="AJ251" s="82"/>
      <c r="AK251" s="82"/>
      <c r="AL251" s="82"/>
      <c r="AM251" s="82"/>
      <c r="AN251" s="82"/>
      <c r="AO251" s="82"/>
      <c r="AP251" s="82"/>
      <c r="AQ251" s="82"/>
      <c r="AR251" s="82"/>
      <c r="AS251" s="82"/>
      <c r="AT251" s="82"/>
      <c r="AU251" s="82"/>
      <c r="AV251" s="82"/>
      <c r="AW251" s="82"/>
      <c r="AX251" s="82"/>
      <c r="AY251" s="82"/>
      <c r="AZ251" s="82"/>
      <c r="BA251" s="82"/>
      <c r="BB251" s="82"/>
      <c r="BC251" s="82"/>
      <c r="BD251" s="82"/>
      <c r="BE251" s="82"/>
      <c r="BF251" s="82"/>
      <c r="BG251" s="82"/>
      <c r="BH251" s="82"/>
      <c r="BI251" s="82"/>
      <c r="BJ251" s="82"/>
      <c r="BK251" s="82"/>
      <c r="BL251" s="82"/>
      <c r="BM251" s="82"/>
      <c r="BN251" s="82"/>
      <c r="BO251" s="82"/>
      <c r="BP251" s="82"/>
      <c r="BQ251" s="63"/>
      <c r="BR251" s="82"/>
      <c r="BS251" s="82"/>
      <c r="BT251" s="82"/>
      <c r="BU251" s="4"/>
    </row>
    <row r="252" spans="1:73" ht="12.75" x14ac:dyDescent="0.2">
      <c r="A252" s="68" t="s">
        <v>2</v>
      </c>
      <c r="B252" s="85"/>
      <c r="C252" s="85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4"/>
      <c r="O252" s="82"/>
      <c r="P252" s="82"/>
      <c r="Q252" s="82"/>
      <c r="R252" s="63"/>
      <c r="S252" s="63"/>
      <c r="T252" s="63"/>
      <c r="U252" s="63"/>
      <c r="V252" s="63"/>
      <c r="W252" s="63"/>
      <c r="X252" s="63"/>
      <c r="Y252" s="82"/>
      <c r="Z252" s="82"/>
      <c r="AA252" s="82"/>
      <c r="AB252" s="82"/>
      <c r="AC252" s="82"/>
      <c r="AD252" s="82"/>
      <c r="AE252" s="82"/>
      <c r="AF252" s="63" t="str">
        <f t="shared" si="0"/>
        <v/>
      </c>
      <c r="AG252" s="82"/>
      <c r="AH252" s="82"/>
      <c r="AI252" s="82"/>
      <c r="AJ252" s="82"/>
      <c r="AK252" s="82"/>
      <c r="AL252" s="82"/>
      <c r="AM252" s="82"/>
      <c r="AN252" s="82"/>
      <c r="AO252" s="82"/>
      <c r="AP252" s="82"/>
      <c r="AQ252" s="82"/>
      <c r="AR252" s="82"/>
      <c r="AS252" s="82"/>
      <c r="AT252" s="82"/>
      <c r="AU252" s="82"/>
      <c r="AV252" s="82"/>
      <c r="AW252" s="82"/>
      <c r="AX252" s="82"/>
      <c r="AY252" s="82"/>
      <c r="AZ252" s="82"/>
      <c r="BA252" s="82"/>
      <c r="BB252" s="82"/>
      <c r="BC252" s="82"/>
      <c r="BD252" s="82"/>
      <c r="BE252" s="82"/>
      <c r="BF252" s="82"/>
      <c r="BG252" s="82"/>
      <c r="BH252" s="82"/>
      <c r="BI252" s="82"/>
      <c r="BJ252" s="82"/>
      <c r="BK252" s="82"/>
      <c r="BL252" s="82"/>
      <c r="BM252" s="82"/>
      <c r="BN252" s="82"/>
      <c r="BO252" s="82"/>
      <c r="BP252" s="82"/>
      <c r="BQ252" s="63"/>
      <c r="BR252" s="82"/>
      <c r="BS252" s="82"/>
      <c r="BT252" s="82"/>
      <c r="BU252" s="4"/>
    </row>
    <row r="253" spans="1:73" ht="12.75" x14ac:dyDescent="0.2">
      <c r="A253" s="68" t="s">
        <v>2</v>
      </c>
      <c r="B253" s="85"/>
      <c r="C253" s="85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4"/>
      <c r="O253" s="82"/>
      <c r="P253" s="82"/>
      <c r="Q253" s="82"/>
      <c r="R253" s="63"/>
      <c r="S253" s="63"/>
      <c r="T253" s="63"/>
      <c r="U253" s="63"/>
      <c r="V253" s="63"/>
      <c r="W253" s="63"/>
      <c r="X253" s="63"/>
      <c r="Y253" s="82"/>
      <c r="Z253" s="82"/>
      <c r="AA253" s="82"/>
      <c r="AB253" s="82"/>
      <c r="AC253" s="82"/>
      <c r="AD253" s="82"/>
      <c r="AE253" s="82"/>
      <c r="AF253" s="63" t="str">
        <f t="shared" si="0"/>
        <v/>
      </c>
      <c r="AG253" s="82"/>
      <c r="AH253" s="82"/>
      <c r="AI253" s="82"/>
      <c r="AJ253" s="82"/>
      <c r="AK253" s="82"/>
      <c r="AL253" s="82"/>
      <c r="AM253" s="82"/>
      <c r="AN253" s="82"/>
      <c r="AO253" s="82"/>
      <c r="AP253" s="82"/>
      <c r="AQ253" s="82"/>
      <c r="AR253" s="82"/>
      <c r="AS253" s="82"/>
      <c r="AT253" s="82"/>
      <c r="AU253" s="82"/>
      <c r="AV253" s="82"/>
      <c r="AW253" s="82"/>
      <c r="AX253" s="82"/>
      <c r="AY253" s="82"/>
      <c r="AZ253" s="82"/>
      <c r="BA253" s="82"/>
      <c r="BB253" s="82"/>
      <c r="BC253" s="82"/>
      <c r="BD253" s="82"/>
      <c r="BE253" s="82"/>
      <c r="BF253" s="82"/>
      <c r="BG253" s="82"/>
      <c r="BH253" s="82"/>
      <c r="BI253" s="82"/>
      <c r="BJ253" s="82"/>
      <c r="BK253" s="82"/>
      <c r="BL253" s="82"/>
      <c r="BM253" s="82"/>
      <c r="BN253" s="82"/>
      <c r="BO253" s="82"/>
      <c r="BP253" s="82"/>
      <c r="BQ253" s="63"/>
      <c r="BR253" s="82"/>
      <c r="BS253" s="82"/>
      <c r="BT253" s="82"/>
      <c r="BU253" s="4"/>
    </row>
    <row r="254" spans="1:73" ht="12.75" x14ac:dyDescent="0.2">
      <c r="A254" s="68" t="s">
        <v>2</v>
      </c>
      <c r="B254" s="85"/>
      <c r="C254" s="85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4"/>
      <c r="O254" s="82"/>
      <c r="P254" s="82"/>
      <c r="Q254" s="82"/>
      <c r="R254" s="63"/>
      <c r="S254" s="63"/>
      <c r="T254" s="63"/>
      <c r="U254" s="63"/>
      <c r="V254" s="63"/>
      <c r="W254" s="63"/>
      <c r="X254" s="63"/>
      <c r="Y254" s="82"/>
      <c r="Z254" s="82"/>
      <c r="AA254" s="82"/>
      <c r="AB254" s="82"/>
      <c r="AC254" s="82"/>
      <c r="AD254" s="82"/>
      <c r="AE254" s="82"/>
      <c r="AF254" s="63" t="str">
        <f t="shared" si="0"/>
        <v/>
      </c>
      <c r="AG254" s="82"/>
      <c r="AH254" s="82"/>
      <c r="AI254" s="82"/>
      <c r="AJ254" s="82"/>
      <c r="AK254" s="82"/>
      <c r="AL254" s="82"/>
      <c r="AM254" s="82"/>
      <c r="AN254" s="82"/>
      <c r="AO254" s="82"/>
      <c r="AP254" s="82"/>
      <c r="AQ254" s="82"/>
      <c r="AR254" s="82"/>
      <c r="AS254" s="82"/>
      <c r="AT254" s="82"/>
      <c r="AU254" s="82"/>
      <c r="AV254" s="82"/>
      <c r="AW254" s="82"/>
      <c r="AX254" s="82"/>
      <c r="AY254" s="82"/>
      <c r="AZ254" s="82"/>
      <c r="BA254" s="82"/>
      <c r="BB254" s="82"/>
      <c r="BC254" s="82"/>
      <c r="BD254" s="82"/>
      <c r="BE254" s="82"/>
      <c r="BF254" s="82"/>
      <c r="BG254" s="82"/>
      <c r="BH254" s="82"/>
      <c r="BI254" s="82"/>
      <c r="BJ254" s="82"/>
      <c r="BK254" s="82"/>
      <c r="BL254" s="82"/>
      <c r="BM254" s="82"/>
      <c r="BN254" s="82"/>
      <c r="BO254" s="82"/>
      <c r="BP254" s="82"/>
      <c r="BQ254" s="63"/>
      <c r="BR254" s="82"/>
      <c r="BS254" s="82"/>
      <c r="BT254" s="82"/>
      <c r="BU254" s="4"/>
    </row>
    <row r="255" spans="1:73" ht="12.75" x14ac:dyDescent="0.2">
      <c r="A255" s="68" t="s">
        <v>2</v>
      </c>
      <c r="B255" s="85"/>
      <c r="C255" s="85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4"/>
      <c r="O255" s="82"/>
      <c r="P255" s="82"/>
      <c r="Q255" s="82"/>
      <c r="R255" s="63"/>
      <c r="S255" s="63"/>
      <c r="T255" s="63"/>
      <c r="U255" s="63"/>
      <c r="V255" s="63"/>
      <c r="W255" s="63"/>
      <c r="X255" s="63"/>
      <c r="Y255" s="82"/>
      <c r="Z255" s="82"/>
      <c r="AA255" s="82"/>
      <c r="AB255" s="82"/>
      <c r="AC255" s="82"/>
      <c r="AD255" s="82"/>
      <c r="AE255" s="82"/>
      <c r="AF255" s="63" t="str">
        <f t="shared" si="0"/>
        <v/>
      </c>
      <c r="AG255" s="82"/>
      <c r="AH255" s="82"/>
      <c r="AI255" s="82"/>
      <c r="AJ255" s="82"/>
      <c r="AK255" s="82"/>
      <c r="AL255" s="82"/>
      <c r="AM255" s="82"/>
      <c r="AN255" s="82"/>
      <c r="AO255" s="82"/>
      <c r="AP255" s="82"/>
      <c r="AQ255" s="82"/>
      <c r="AR255" s="82"/>
      <c r="AS255" s="82"/>
      <c r="AT255" s="82"/>
      <c r="AU255" s="82"/>
      <c r="AV255" s="82"/>
      <c r="AW255" s="82"/>
      <c r="AX255" s="82"/>
      <c r="AY255" s="82"/>
      <c r="AZ255" s="82"/>
      <c r="BA255" s="82"/>
      <c r="BB255" s="82"/>
      <c r="BC255" s="82"/>
      <c r="BD255" s="82"/>
      <c r="BE255" s="82"/>
      <c r="BF255" s="82"/>
      <c r="BG255" s="82"/>
      <c r="BH255" s="82"/>
      <c r="BI255" s="82"/>
      <c r="BJ255" s="82"/>
      <c r="BK255" s="82"/>
      <c r="BL255" s="82"/>
      <c r="BM255" s="82"/>
      <c r="BN255" s="82"/>
      <c r="BO255" s="82"/>
      <c r="BP255" s="82"/>
      <c r="BQ255" s="63"/>
      <c r="BR255" s="82"/>
      <c r="BS255" s="82"/>
      <c r="BT255" s="82"/>
      <c r="BU255" s="4"/>
    </row>
    <row r="256" spans="1:73" ht="12.75" x14ac:dyDescent="0.2">
      <c r="A256" s="1"/>
      <c r="B256" s="85"/>
      <c r="C256" s="85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4"/>
      <c r="O256" s="82"/>
      <c r="P256" s="82"/>
      <c r="Q256" s="82"/>
      <c r="R256" s="63"/>
      <c r="S256" s="63"/>
      <c r="T256" s="63"/>
      <c r="U256" s="63"/>
      <c r="V256" s="63"/>
      <c r="W256" s="63"/>
      <c r="X256" s="63"/>
      <c r="Y256" s="82"/>
      <c r="Z256" s="82"/>
      <c r="AA256" s="82"/>
      <c r="AB256" s="82"/>
      <c r="AC256" s="82"/>
      <c r="AD256" s="82"/>
      <c r="AE256" s="82"/>
      <c r="AF256" s="63" t="str">
        <f t="shared" si="0"/>
        <v/>
      </c>
      <c r="AG256" s="82"/>
      <c r="AH256" s="82"/>
      <c r="AI256" s="82"/>
      <c r="AJ256" s="82"/>
      <c r="AK256" s="82"/>
      <c r="AL256" s="82"/>
      <c r="AM256" s="82"/>
      <c r="AN256" s="82"/>
      <c r="AO256" s="82"/>
      <c r="AP256" s="82"/>
      <c r="AQ256" s="82"/>
      <c r="AR256" s="82"/>
      <c r="AS256" s="82"/>
      <c r="AT256" s="82"/>
      <c r="AU256" s="82"/>
      <c r="AV256" s="82"/>
      <c r="AW256" s="82"/>
      <c r="AX256" s="82"/>
      <c r="AY256" s="82"/>
      <c r="AZ256" s="82"/>
      <c r="BA256" s="82"/>
      <c r="BB256" s="82"/>
      <c r="BC256" s="82"/>
      <c r="BD256" s="82"/>
      <c r="BE256" s="82"/>
      <c r="BF256" s="82"/>
      <c r="BG256" s="82"/>
      <c r="BH256" s="82"/>
      <c r="BI256" s="82"/>
      <c r="BJ256" s="82"/>
      <c r="BK256" s="82"/>
      <c r="BL256" s="82"/>
      <c r="BM256" s="82"/>
      <c r="BN256" s="82"/>
      <c r="BO256" s="82"/>
      <c r="BP256" s="82"/>
      <c r="BQ256" s="63"/>
      <c r="BR256" s="82"/>
      <c r="BS256" s="82"/>
      <c r="BT256" s="82"/>
      <c r="BU256" s="4"/>
    </row>
    <row r="257" spans="1:73" ht="12.75" x14ac:dyDescent="0.2">
      <c r="A257" s="1"/>
      <c r="B257" s="85"/>
      <c r="C257" s="85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4"/>
      <c r="O257" s="82"/>
      <c r="P257" s="82"/>
      <c r="Q257" s="82"/>
      <c r="R257" s="63"/>
      <c r="S257" s="63"/>
      <c r="T257" s="63"/>
      <c r="U257" s="63"/>
      <c r="V257" s="63"/>
      <c r="W257" s="63"/>
      <c r="X257" s="63"/>
      <c r="Y257" s="82"/>
      <c r="Z257" s="82"/>
      <c r="AA257" s="82"/>
      <c r="AB257" s="82"/>
      <c r="AC257" s="82"/>
      <c r="AD257" s="82"/>
      <c r="AE257" s="82"/>
      <c r="AF257" s="63" t="str">
        <f t="shared" si="0"/>
        <v/>
      </c>
      <c r="AG257" s="82"/>
      <c r="AH257" s="82"/>
      <c r="AI257" s="82"/>
      <c r="AJ257" s="82"/>
      <c r="AK257" s="82"/>
      <c r="AL257" s="82"/>
      <c r="AM257" s="82"/>
      <c r="AN257" s="82"/>
      <c r="AO257" s="82"/>
      <c r="AP257" s="82"/>
      <c r="AQ257" s="82"/>
      <c r="AR257" s="82"/>
      <c r="AS257" s="82"/>
      <c r="AT257" s="82"/>
      <c r="AU257" s="82"/>
      <c r="AV257" s="82"/>
      <c r="AW257" s="82"/>
      <c r="AX257" s="82"/>
      <c r="AY257" s="82"/>
      <c r="AZ257" s="82"/>
      <c r="BA257" s="82"/>
      <c r="BB257" s="82"/>
      <c r="BC257" s="82"/>
      <c r="BD257" s="82"/>
      <c r="BE257" s="82"/>
      <c r="BF257" s="82"/>
      <c r="BG257" s="82"/>
      <c r="BH257" s="82"/>
      <c r="BI257" s="82"/>
      <c r="BJ257" s="82"/>
      <c r="BK257" s="82"/>
      <c r="BL257" s="82"/>
      <c r="BM257" s="82"/>
      <c r="BN257" s="82"/>
      <c r="BO257" s="82"/>
      <c r="BP257" s="82"/>
      <c r="BQ257" s="63"/>
      <c r="BR257" s="82"/>
      <c r="BS257" s="82"/>
      <c r="BT257" s="82"/>
      <c r="BU257" s="4"/>
    </row>
    <row r="258" spans="1:73" ht="12.75" x14ac:dyDescent="0.2">
      <c r="A258" s="1"/>
      <c r="B258" s="85"/>
      <c r="C258" s="85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4"/>
      <c r="O258" s="82"/>
      <c r="P258" s="82"/>
      <c r="Q258" s="82"/>
      <c r="R258" s="63"/>
      <c r="S258" s="63"/>
      <c r="T258" s="63"/>
      <c r="U258" s="63"/>
      <c r="V258" s="63"/>
      <c r="W258" s="63"/>
      <c r="X258" s="63"/>
      <c r="Y258" s="82"/>
      <c r="Z258" s="82"/>
      <c r="AA258" s="82"/>
      <c r="AB258" s="82"/>
      <c r="AC258" s="82"/>
      <c r="AD258" s="82"/>
      <c r="AE258" s="82"/>
      <c r="AF258" s="63" t="str">
        <f t="shared" si="0"/>
        <v/>
      </c>
      <c r="AG258" s="82"/>
      <c r="AH258" s="82"/>
      <c r="AI258" s="82"/>
      <c r="AJ258" s="82"/>
      <c r="AK258" s="82"/>
      <c r="AL258" s="82"/>
      <c r="AM258" s="82"/>
      <c r="AN258" s="82"/>
      <c r="AO258" s="82"/>
      <c r="AP258" s="82"/>
      <c r="AQ258" s="82"/>
      <c r="AR258" s="82"/>
      <c r="AS258" s="82"/>
      <c r="AT258" s="82"/>
      <c r="AU258" s="82"/>
      <c r="AV258" s="82"/>
      <c r="AW258" s="82"/>
      <c r="AX258" s="82"/>
      <c r="AY258" s="82"/>
      <c r="AZ258" s="82"/>
      <c r="BA258" s="82"/>
      <c r="BB258" s="82"/>
      <c r="BC258" s="82"/>
      <c r="BD258" s="82"/>
      <c r="BE258" s="82"/>
      <c r="BF258" s="82"/>
      <c r="BG258" s="82"/>
      <c r="BH258" s="82"/>
      <c r="BI258" s="82"/>
      <c r="BJ258" s="82"/>
      <c r="BK258" s="82"/>
      <c r="BL258" s="82"/>
      <c r="BM258" s="82"/>
      <c r="BN258" s="82"/>
      <c r="BO258" s="82"/>
      <c r="BP258" s="82"/>
      <c r="BQ258" s="63"/>
      <c r="BR258" s="82"/>
      <c r="BS258" s="82"/>
      <c r="BT258" s="82"/>
      <c r="BU258" s="4"/>
    </row>
    <row r="259" spans="1:73" ht="12.75" x14ac:dyDescent="0.2">
      <c r="A259" s="1"/>
      <c r="B259" s="85"/>
      <c r="C259" s="85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4"/>
      <c r="O259" s="82"/>
      <c r="P259" s="82"/>
      <c r="Q259" s="82"/>
      <c r="R259" s="63"/>
      <c r="S259" s="63"/>
      <c r="T259" s="63"/>
      <c r="U259" s="63"/>
      <c r="V259" s="63"/>
      <c r="W259" s="63"/>
      <c r="X259" s="63"/>
      <c r="Y259" s="82"/>
      <c r="Z259" s="82"/>
      <c r="AA259" s="82"/>
      <c r="AB259" s="82"/>
      <c r="AC259" s="82"/>
      <c r="AD259" s="82"/>
      <c r="AE259" s="82"/>
      <c r="AF259" s="63" t="str">
        <f t="shared" si="0"/>
        <v/>
      </c>
      <c r="AG259" s="82"/>
      <c r="AH259" s="82"/>
      <c r="AI259" s="82"/>
      <c r="AJ259" s="82"/>
      <c r="AK259" s="82"/>
      <c r="AL259" s="82"/>
      <c r="AM259" s="82"/>
      <c r="AN259" s="82"/>
      <c r="AO259" s="82"/>
      <c r="AP259" s="82"/>
      <c r="AQ259" s="82"/>
      <c r="AR259" s="82"/>
      <c r="AS259" s="82"/>
      <c r="AT259" s="82"/>
      <c r="AU259" s="82"/>
      <c r="AV259" s="82"/>
      <c r="AW259" s="82"/>
      <c r="AX259" s="82"/>
      <c r="AY259" s="82"/>
      <c r="AZ259" s="82"/>
      <c r="BA259" s="82"/>
      <c r="BB259" s="82"/>
      <c r="BC259" s="82"/>
      <c r="BD259" s="82"/>
      <c r="BE259" s="82"/>
      <c r="BF259" s="82"/>
      <c r="BG259" s="82"/>
      <c r="BH259" s="82"/>
      <c r="BI259" s="82"/>
      <c r="BJ259" s="82"/>
      <c r="BK259" s="82"/>
      <c r="BL259" s="82"/>
      <c r="BM259" s="82"/>
      <c r="BN259" s="82"/>
      <c r="BO259" s="82"/>
      <c r="BP259" s="82"/>
      <c r="BQ259" s="63"/>
      <c r="BR259" s="82"/>
      <c r="BS259" s="82"/>
      <c r="BT259" s="82"/>
      <c r="BU259" s="4"/>
    </row>
    <row r="260" spans="1:73" ht="12.75" x14ac:dyDescent="0.2">
      <c r="A260" s="1"/>
      <c r="B260" s="85"/>
      <c r="C260" s="85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4"/>
      <c r="O260" s="82"/>
      <c r="P260" s="82"/>
      <c r="Q260" s="82"/>
      <c r="R260" s="63"/>
      <c r="S260" s="63"/>
      <c r="T260" s="63"/>
      <c r="U260" s="63"/>
      <c r="V260" s="63"/>
      <c r="W260" s="63"/>
      <c r="X260" s="63"/>
      <c r="Y260" s="82"/>
      <c r="Z260" s="82"/>
      <c r="AA260" s="82"/>
      <c r="AB260" s="82"/>
      <c r="AC260" s="82"/>
      <c r="AD260" s="82"/>
      <c r="AE260" s="82"/>
      <c r="AF260" s="63" t="str">
        <f t="shared" si="0"/>
        <v/>
      </c>
      <c r="AG260" s="82"/>
      <c r="AH260" s="82"/>
      <c r="AI260" s="82"/>
      <c r="AJ260" s="82"/>
      <c r="AK260" s="82"/>
      <c r="AL260" s="82"/>
      <c r="AM260" s="82"/>
      <c r="AN260" s="82"/>
      <c r="AO260" s="82"/>
      <c r="AP260" s="82"/>
      <c r="AQ260" s="82"/>
      <c r="AR260" s="82"/>
      <c r="AS260" s="82"/>
      <c r="AT260" s="82"/>
      <c r="AU260" s="82"/>
      <c r="AV260" s="82"/>
      <c r="AW260" s="82"/>
      <c r="AX260" s="82"/>
      <c r="AY260" s="82"/>
      <c r="AZ260" s="82"/>
      <c r="BA260" s="82"/>
      <c r="BB260" s="82"/>
      <c r="BC260" s="82"/>
      <c r="BD260" s="82"/>
      <c r="BE260" s="82"/>
      <c r="BF260" s="82"/>
      <c r="BG260" s="82"/>
      <c r="BH260" s="82"/>
      <c r="BI260" s="82"/>
      <c r="BJ260" s="82"/>
      <c r="BK260" s="82"/>
      <c r="BL260" s="82"/>
      <c r="BM260" s="82"/>
      <c r="BN260" s="82"/>
      <c r="BO260" s="82"/>
      <c r="BP260" s="82"/>
      <c r="BQ260" s="63"/>
      <c r="BR260" s="82"/>
      <c r="BS260" s="82"/>
      <c r="BT260" s="82"/>
      <c r="BU260" s="4"/>
    </row>
    <row r="261" spans="1:73" ht="12.75" x14ac:dyDescent="0.2">
      <c r="A261" s="1"/>
      <c r="B261" s="85"/>
      <c r="C261" s="85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4"/>
      <c r="O261" s="82"/>
      <c r="P261" s="82"/>
      <c r="Q261" s="82"/>
      <c r="R261" s="63"/>
      <c r="S261" s="63"/>
      <c r="T261" s="63"/>
      <c r="U261" s="63"/>
      <c r="V261" s="63"/>
      <c r="W261" s="63"/>
      <c r="X261" s="63"/>
      <c r="Y261" s="82"/>
      <c r="Z261" s="82"/>
      <c r="AA261" s="82"/>
      <c r="AB261" s="82"/>
      <c r="AC261" s="82"/>
      <c r="AD261" s="82"/>
      <c r="AE261" s="82"/>
      <c r="AF261" s="63" t="str">
        <f t="shared" si="0"/>
        <v/>
      </c>
      <c r="AG261" s="82"/>
      <c r="AH261" s="82"/>
      <c r="AI261" s="82"/>
      <c r="AJ261" s="82"/>
      <c r="AK261" s="82"/>
      <c r="AL261" s="82"/>
      <c r="AM261" s="82"/>
      <c r="AN261" s="82"/>
      <c r="AO261" s="82"/>
      <c r="AP261" s="82"/>
      <c r="AQ261" s="82"/>
      <c r="AR261" s="82"/>
      <c r="AS261" s="82"/>
      <c r="AT261" s="82"/>
      <c r="AU261" s="82"/>
      <c r="AV261" s="82"/>
      <c r="AW261" s="82"/>
      <c r="AX261" s="82"/>
      <c r="AY261" s="82"/>
      <c r="AZ261" s="82"/>
      <c r="BA261" s="82"/>
      <c r="BB261" s="82"/>
      <c r="BC261" s="82"/>
      <c r="BD261" s="82"/>
      <c r="BE261" s="82"/>
      <c r="BF261" s="82"/>
      <c r="BG261" s="82"/>
      <c r="BH261" s="82"/>
      <c r="BI261" s="82"/>
      <c r="BJ261" s="82"/>
      <c r="BK261" s="82"/>
      <c r="BL261" s="82"/>
      <c r="BM261" s="82"/>
      <c r="BN261" s="82"/>
      <c r="BO261" s="82"/>
      <c r="BP261" s="82"/>
      <c r="BQ261" s="63"/>
      <c r="BR261" s="82"/>
      <c r="BS261" s="82"/>
      <c r="BT261" s="82"/>
      <c r="BU261" s="4"/>
    </row>
    <row r="262" spans="1:73" ht="12.75" x14ac:dyDescent="0.2">
      <c r="A262" s="1"/>
      <c r="B262" s="85"/>
      <c r="C262" s="85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4"/>
      <c r="O262" s="82"/>
      <c r="P262" s="82"/>
      <c r="Q262" s="82"/>
      <c r="R262" s="63"/>
      <c r="S262" s="63"/>
      <c r="T262" s="63"/>
      <c r="U262" s="63"/>
      <c r="V262" s="63"/>
      <c r="W262" s="63"/>
      <c r="X262" s="63"/>
      <c r="Y262" s="82"/>
      <c r="Z262" s="82"/>
      <c r="AA262" s="82"/>
      <c r="AB262" s="82"/>
      <c r="AC262" s="82"/>
      <c r="AD262" s="82"/>
      <c r="AE262" s="82"/>
      <c r="AF262" s="63" t="str">
        <f t="shared" si="0"/>
        <v/>
      </c>
      <c r="AG262" s="82"/>
      <c r="AH262" s="82"/>
      <c r="AI262" s="82"/>
      <c r="AJ262" s="82"/>
      <c r="AK262" s="82"/>
      <c r="AL262" s="82"/>
      <c r="AM262" s="82"/>
      <c r="AN262" s="82"/>
      <c r="AO262" s="82"/>
      <c r="AP262" s="82"/>
      <c r="AQ262" s="82"/>
      <c r="AR262" s="82"/>
      <c r="AS262" s="82"/>
      <c r="AT262" s="82"/>
      <c r="AU262" s="82"/>
      <c r="AV262" s="82"/>
      <c r="AW262" s="82"/>
      <c r="AX262" s="82"/>
      <c r="AY262" s="82"/>
      <c r="AZ262" s="82"/>
      <c r="BA262" s="82"/>
      <c r="BB262" s="82"/>
      <c r="BC262" s="82"/>
      <c r="BD262" s="82"/>
      <c r="BE262" s="82"/>
      <c r="BF262" s="82"/>
      <c r="BG262" s="82"/>
      <c r="BH262" s="82"/>
      <c r="BI262" s="82"/>
      <c r="BJ262" s="82"/>
      <c r="BK262" s="82"/>
      <c r="BL262" s="82"/>
      <c r="BM262" s="82"/>
      <c r="BN262" s="82"/>
      <c r="BO262" s="82"/>
      <c r="BP262" s="82"/>
      <c r="BQ262" s="63"/>
      <c r="BR262" s="82"/>
      <c r="BS262" s="82"/>
      <c r="BT262" s="82"/>
      <c r="BU262" s="4"/>
    </row>
    <row r="263" spans="1:73" ht="12.75" x14ac:dyDescent="0.2">
      <c r="A263" s="1"/>
      <c r="B263" s="85"/>
      <c r="C263" s="85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4"/>
      <c r="O263" s="82"/>
      <c r="P263" s="82"/>
      <c r="Q263" s="82"/>
      <c r="R263" s="63"/>
      <c r="S263" s="63"/>
      <c r="T263" s="63"/>
      <c r="U263" s="63"/>
      <c r="V263" s="63"/>
      <c r="W263" s="63"/>
      <c r="X263" s="63"/>
      <c r="Y263" s="82"/>
      <c r="Z263" s="82"/>
      <c r="AA263" s="82"/>
      <c r="AB263" s="82"/>
      <c r="AC263" s="82"/>
      <c r="AD263" s="82"/>
      <c r="AE263" s="82"/>
      <c r="AF263" s="63" t="str">
        <f t="shared" si="0"/>
        <v/>
      </c>
      <c r="AG263" s="82"/>
      <c r="AH263" s="82"/>
      <c r="AI263" s="82"/>
      <c r="AJ263" s="82"/>
      <c r="AK263" s="82"/>
      <c r="AL263" s="82"/>
      <c r="AM263" s="82"/>
      <c r="AN263" s="82"/>
      <c r="AO263" s="82"/>
      <c r="AP263" s="82"/>
      <c r="AQ263" s="82"/>
      <c r="AR263" s="82"/>
      <c r="AS263" s="82"/>
      <c r="AT263" s="82"/>
      <c r="AU263" s="82"/>
      <c r="AV263" s="82"/>
      <c r="AW263" s="82"/>
      <c r="AX263" s="82"/>
      <c r="AY263" s="82"/>
      <c r="AZ263" s="82"/>
      <c r="BA263" s="82"/>
      <c r="BB263" s="82"/>
      <c r="BC263" s="82"/>
      <c r="BD263" s="82"/>
      <c r="BE263" s="82"/>
      <c r="BF263" s="82"/>
      <c r="BG263" s="82"/>
      <c r="BH263" s="82"/>
      <c r="BI263" s="82"/>
      <c r="BJ263" s="82"/>
      <c r="BK263" s="82"/>
      <c r="BL263" s="82"/>
      <c r="BM263" s="82"/>
      <c r="BN263" s="82"/>
      <c r="BO263" s="82"/>
      <c r="BP263" s="82"/>
      <c r="BQ263" s="63"/>
      <c r="BR263" s="82"/>
      <c r="BS263" s="82"/>
      <c r="BT263" s="82"/>
      <c r="BU263" s="4"/>
    </row>
    <row r="264" spans="1:73" ht="12.75" x14ac:dyDescent="0.2">
      <c r="A264" s="1"/>
      <c r="B264" s="85"/>
      <c r="C264" s="85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4"/>
      <c r="O264" s="82"/>
      <c r="P264" s="82"/>
      <c r="Q264" s="82"/>
      <c r="R264" s="63"/>
      <c r="S264" s="63"/>
      <c r="T264" s="63"/>
      <c r="U264" s="63"/>
      <c r="V264" s="63"/>
      <c r="W264" s="63"/>
      <c r="X264" s="63"/>
      <c r="Y264" s="82"/>
      <c r="Z264" s="82"/>
      <c r="AA264" s="82"/>
      <c r="AB264" s="82"/>
      <c r="AC264" s="82"/>
      <c r="AD264" s="82"/>
      <c r="AE264" s="82"/>
      <c r="AF264" s="63" t="str">
        <f t="shared" si="0"/>
        <v/>
      </c>
      <c r="AG264" s="82"/>
      <c r="AH264" s="82"/>
      <c r="AI264" s="82"/>
      <c r="AJ264" s="82"/>
      <c r="AK264" s="82"/>
      <c r="AL264" s="82"/>
      <c r="AM264" s="82"/>
      <c r="AN264" s="82"/>
      <c r="AO264" s="82"/>
      <c r="AP264" s="82"/>
      <c r="AQ264" s="82"/>
      <c r="AR264" s="82"/>
      <c r="AS264" s="82"/>
      <c r="AT264" s="82"/>
      <c r="AU264" s="82"/>
      <c r="AV264" s="82"/>
      <c r="AW264" s="82"/>
      <c r="AX264" s="82"/>
      <c r="AY264" s="82"/>
      <c r="AZ264" s="82"/>
      <c r="BA264" s="82"/>
      <c r="BB264" s="82"/>
      <c r="BC264" s="82"/>
      <c r="BD264" s="82"/>
      <c r="BE264" s="82"/>
      <c r="BF264" s="82"/>
      <c r="BG264" s="82"/>
      <c r="BH264" s="82"/>
      <c r="BI264" s="82"/>
      <c r="BJ264" s="82"/>
      <c r="BK264" s="82"/>
      <c r="BL264" s="82"/>
      <c r="BM264" s="82"/>
      <c r="BN264" s="82"/>
      <c r="BO264" s="82"/>
      <c r="BP264" s="82"/>
      <c r="BQ264" s="63"/>
      <c r="BR264" s="82"/>
      <c r="BS264" s="82"/>
      <c r="BT264" s="82"/>
      <c r="BU264" s="4"/>
    </row>
    <row r="265" spans="1:73" ht="12.75" x14ac:dyDescent="0.2">
      <c r="A265" s="1"/>
      <c r="B265" s="85"/>
      <c r="C265" s="85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4"/>
      <c r="O265" s="82"/>
      <c r="P265" s="82"/>
      <c r="Q265" s="82"/>
      <c r="R265" s="63"/>
      <c r="S265" s="63"/>
      <c r="T265" s="63"/>
      <c r="U265" s="63"/>
      <c r="V265" s="63"/>
      <c r="W265" s="63"/>
      <c r="X265" s="63"/>
      <c r="Y265" s="82"/>
      <c r="Z265" s="82"/>
      <c r="AA265" s="82"/>
      <c r="AB265" s="82"/>
      <c r="AC265" s="82"/>
      <c r="AD265" s="82"/>
      <c r="AE265" s="82"/>
      <c r="AF265" s="63" t="str">
        <f t="shared" si="0"/>
        <v/>
      </c>
      <c r="AG265" s="82"/>
      <c r="AH265" s="82"/>
      <c r="AI265" s="82"/>
      <c r="AJ265" s="82"/>
      <c r="AK265" s="82"/>
      <c r="AL265" s="82"/>
      <c r="AM265" s="82"/>
      <c r="AN265" s="82"/>
      <c r="AO265" s="82"/>
      <c r="AP265" s="82"/>
      <c r="AQ265" s="82"/>
      <c r="AR265" s="82"/>
      <c r="AS265" s="82"/>
      <c r="AT265" s="82"/>
      <c r="AU265" s="82"/>
      <c r="AV265" s="82"/>
      <c r="AW265" s="82"/>
      <c r="AX265" s="82"/>
      <c r="AY265" s="82"/>
      <c r="AZ265" s="82"/>
      <c r="BA265" s="82"/>
      <c r="BB265" s="82"/>
      <c r="BC265" s="82"/>
      <c r="BD265" s="82"/>
      <c r="BE265" s="82"/>
      <c r="BF265" s="82"/>
      <c r="BG265" s="82"/>
      <c r="BH265" s="82"/>
      <c r="BI265" s="82"/>
      <c r="BJ265" s="82"/>
      <c r="BK265" s="82"/>
      <c r="BL265" s="82"/>
      <c r="BM265" s="82"/>
      <c r="BN265" s="82"/>
      <c r="BO265" s="82"/>
      <c r="BP265" s="82"/>
      <c r="BQ265" s="63"/>
      <c r="BR265" s="82"/>
      <c r="BS265" s="82"/>
      <c r="BT265" s="82"/>
      <c r="BU265" s="4"/>
    </row>
    <row r="266" spans="1:73" ht="12.75" x14ac:dyDescent="0.2">
      <c r="A266" s="1"/>
      <c r="B266" s="85"/>
      <c r="C266" s="85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4"/>
      <c r="O266" s="82"/>
      <c r="P266" s="82"/>
      <c r="Q266" s="82"/>
      <c r="R266" s="63"/>
      <c r="S266" s="63"/>
      <c r="T266" s="63"/>
      <c r="U266" s="63"/>
      <c r="V266" s="63"/>
      <c r="W266" s="63"/>
      <c r="X266" s="63"/>
      <c r="Y266" s="82"/>
      <c r="Z266" s="82"/>
      <c r="AA266" s="82"/>
      <c r="AB266" s="82"/>
      <c r="AC266" s="82"/>
      <c r="AD266" s="82"/>
      <c r="AE266" s="82"/>
      <c r="AF266" s="63" t="str">
        <f t="shared" ref="AF266:AF520" si="1">IF(OR(AD266="",AE266=""),"",ROUND(AD266/((AE266/100)^2),2))</f>
        <v/>
      </c>
      <c r="AG266" s="82"/>
      <c r="AH266" s="82"/>
      <c r="AI266" s="82"/>
      <c r="AJ266" s="82"/>
      <c r="AK266" s="82"/>
      <c r="AL266" s="82"/>
      <c r="AM266" s="82"/>
      <c r="AN266" s="82"/>
      <c r="AO266" s="82"/>
      <c r="AP266" s="82"/>
      <c r="AQ266" s="82"/>
      <c r="AR266" s="82"/>
      <c r="AS266" s="82"/>
      <c r="AT266" s="82"/>
      <c r="AU266" s="82"/>
      <c r="AV266" s="82"/>
      <c r="AW266" s="82"/>
      <c r="AX266" s="82"/>
      <c r="AY266" s="82"/>
      <c r="AZ266" s="82"/>
      <c r="BA266" s="82"/>
      <c r="BB266" s="82"/>
      <c r="BC266" s="82"/>
      <c r="BD266" s="82"/>
      <c r="BE266" s="82"/>
      <c r="BF266" s="82"/>
      <c r="BG266" s="82"/>
      <c r="BH266" s="82"/>
      <c r="BI266" s="82"/>
      <c r="BJ266" s="82"/>
      <c r="BK266" s="82"/>
      <c r="BL266" s="82"/>
      <c r="BM266" s="82"/>
      <c r="BN266" s="82"/>
      <c r="BO266" s="82"/>
      <c r="BP266" s="82"/>
      <c r="BQ266" s="63"/>
      <c r="BR266" s="82"/>
      <c r="BS266" s="82"/>
      <c r="BT266" s="82"/>
      <c r="BU266" s="4"/>
    </row>
    <row r="267" spans="1:73" ht="12.75" x14ac:dyDescent="0.2">
      <c r="A267" s="1"/>
      <c r="B267" s="85"/>
      <c r="C267" s="85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4"/>
      <c r="O267" s="82"/>
      <c r="P267" s="82"/>
      <c r="Q267" s="82"/>
      <c r="R267" s="63"/>
      <c r="S267" s="63"/>
      <c r="T267" s="63"/>
      <c r="U267" s="63"/>
      <c r="V267" s="63"/>
      <c r="W267" s="63"/>
      <c r="X267" s="63"/>
      <c r="Y267" s="82"/>
      <c r="Z267" s="82"/>
      <c r="AA267" s="82"/>
      <c r="AB267" s="82"/>
      <c r="AC267" s="82"/>
      <c r="AD267" s="82"/>
      <c r="AE267" s="82"/>
      <c r="AF267" s="63" t="str">
        <f t="shared" si="1"/>
        <v/>
      </c>
      <c r="AG267" s="82"/>
      <c r="AH267" s="82"/>
      <c r="AI267" s="82"/>
      <c r="AJ267" s="82"/>
      <c r="AK267" s="82"/>
      <c r="AL267" s="82"/>
      <c r="AM267" s="82"/>
      <c r="AN267" s="82"/>
      <c r="AO267" s="82"/>
      <c r="AP267" s="82"/>
      <c r="AQ267" s="82"/>
      <c r="AR267" s="82"/>
      <c r="AS267" s="82"/>
      <c r="AT267" s="82"/>
      <c r="AU267" s="82"/>
      <c r="AV267" s="82"/>
      <c r="AW267" s="82"/>
      <c r="AX267" s="82"/>
      <c r="AY267" s="82"/>
      <c r="AZ267" s="82"/>
      <c r="BA267" s="82"/>
      <c r="BB267" s="82"/>
      <c r="BC267" s="82"/>
      <c r="BD267" s="82"/>
      <c r="BE267" s="82"/>
      <c r="BF267" s="82"/>
      <c r="BG267" s="82"/>
      <c r="BH267" s="82"/>
      <c r="BI267" s="82"/>
      <c r="BJ267" s="82"/>
      <c r="BK267" s="82"/>
      <c r="BL267" s="82"/>
      <c r="BM267" s="82"/>
      <c r="BN267" s="82"/>
      <c r="BO267" s="82"/>
      <c r="BP267" s="82"/>
      <c r="BQ267" s="63"/>
      <c r="BR267" s="82"/>
      <c r="BS267" s="82"/>
      <c r="BT267" s="82"/>
      <c r="BU267" s="4"/>
    </row>
    <row r="268" spans="1:73" ht="12.75" x14ac:dyDescent="0.2">
      <c r="A268" s="1"/>
      <c r="B268" s="85"/>
      <c r="C268" s="85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4"/>
      <c r="O268" s="82"/>
      <c r="P268" s="82"/>
      <c r="Q268" s="82"/>
      <c r="R268" s="63"/>
      <c r="S268" s="63"/>
      <c r="T268" s="63"/>
      <c r="U268" s="63"/>
      <c r="V268" s="63"/>
      <c r="W268" s="63"/>
      <c r="X268" s="63"/>
      <c r="Y268" s="82"/>
      <c r="Z268" s="82"/>
      <c r="AA268" s="82"/>
      <c r="AB268" s="82"/>
      <c r="AC268" s="82"/>
      <c r="AD268" s="82"/>
      <c r="AE268" s="82"/>
      <c r="AF268" s="63" t="str">
        <f t="shared" si="1"/>
        <v/>
      </c>
      <c r="AG268" s="82"/>
      <c r="AH268" s="82"/>
      <c r="AI268" s="82"/>
      <c r="AJ268" s="82"/>
      <c r="AK268" s="82"/>
      <c r="AL268" s="82"/>
      <c r="AM268" s="82"/>
      <c r="AN268" s="82"/>
      <c r="AO268" s="82"/>
      <c r="AP268" s="82"/>
      <c r="AQ268" s="82"/>
      <c r="AR268" s="82"/>
      <c r="AS268" s="82"/>
      <c r="AT268" s="82"/>
      <c r="AU268" s="82"/>
      <c r="AV268" s="82"/>
      <c r="AW268" s="82"/>
      <c r="AX268" s="82"/>
      <c r="AY268" s="82"/>
      <c r="AZ268" s="82"/>
      <c r="BA268" s="82"/>
      <c r="BB268" s="82"/>
      <c r="BC268" s="82"/>
      <c r="BD268" s="82"/>
      <c r="BE268" s="82"/>
      <c r="BF268" s="82"/>
      <c r="BG268" s="82"/>
      <c r="BH268" s="82"/>
      <c r="BI268" s="82"/>
      <c r="BJ268" s="82"/>
      <c r="BK268" s="82"/>
      <c r="BL268" s="82"/>
      <c r="BM268" s="82"/>
      <c r="BN268" s="82"/>
      <c r="BO268" s="82"/>
      <c r="BP268" s="82"/>
      <c r="BQ268" s="63"/>
      <c r="BR268" s="82"/>
      <c r="BS268" s="82"/>
      <c r="BT268" s="82"/>
      <c r="BU268" s="4"/>
    </row>
    <row r="269" spans="1:73" ht="12.75" x14ac:dyDescent="0.2">
      <c r="A269" s="1"/>
      <c r="B269" s="85"/>
      <c r="C269" s="85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4"/>
      <c r="O269" s="82"/>
      <c r="P269" s="82"/>
      <c r="Q269" s="82"/>
      <c r="R269" s="63"/>
      <c r="S269" s="63"/>
      <c r="T269" s="63"/>
      <c r="U269" s="63"/>
      <c r="V269" s="63"/>
      <c r="W269" s="63"/>
      <c r="X269" s="63"/>
      <c r="Y269" s="82"/>
      <c r="Z269" s="82"/>
      <c r="AA269" s="82"/>
      <c r="AB269" s="82"/>
      <c r="AC269" s="82"/>
      <c r="AD269" s="82"/>
      <c r="AE269" s="82"/>
      <c r="AF269" s="63" t="str">
        <f t="shared" si="1"/>
        <v/>
      </c>
      <c r="AG269" s="82"/>
      <c r="AH269" s="82"/>
      <c r="AI269" s="82"/>
      <c r="AJ269" s="82"/>
      <c r="AK269" s="82"/>
      <c r="AL269" s="82"/>
      <c r="AM269" s="82"/>
      <c r="AN269" s="82"/>
      <c r="AO269" s="82"/>
      <c r="AP269" s="82"/>
      <c r="AQ269" s="82"/>
      <c r="AR269" s="82"/>
      <c r="AS269" s="82"/>
      <c r="AT269" s="82"/>
      <c r="AU269" s="82"/>
      <c r="AV269" s="82"/>
      <c r="AW269" s="82"/>
      <c r="AX269" s="82"/>
      <c r="AY269" s="82"/>
      <c r="AZ269" s="82"/>
      <c r="BA269" s="82"/>
      <c r="BB269" s="82"/>
      <c r="BC269" s="82"/>
      <c r="BD269" s="82"/>
      <c r="BE269" s="82"/>
      <c r="BF269" s="82"/>
      <c r="BG269" s="82"/>
      <c r="BH269" s="82"/>
      <c r="BI269" s="82"/>
      <c r="BJ269" s="82"/>
      <c r="BK269" s="82"/>
      <c r="BL269" s="82"/>
      <c r="BM269" s="82"/>
      <c r="BN269" s="82"/>
      <c r="BO269" s="82"/>
      <c r="BP269" s="82"/>
      <c r="BQ269" s="63"/>
      <c r="BR269" s="82"/>
      <c r="BS269" s="82"/>
      <c r="BT269" s="82"/>
      <c r="BU269" s="4"/>
    </row>
    <row r="270" spans="1:73" ht="12.75" x14ac:dyDescent="0.2">
      <c r="A270" s="1"/>
      <c r="B270" s="85"/>
      <c r="C270" s="85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4"/>
      <c r="O270" s="82"/>
      <c r="P270" s="82"/>
      <c r="Q270" s="82"/>
      <c r="R270" s="63"/>
      <c r="S270" s="63"/>
      <c r="T270" s="63"/>
      <c r="U270" s="63"/>
      <c r="V270" s="63"/>
      <c r="W270" s="63"/>
      <c r="X270" s="63"/>
      <c r="Y270" s="82"/>
      <c r="Z270" s="82"/>
      <c r="AA270" s="82"/>
      <c r="AB270" s="82"/>
      <c r="AC270" s="82"/>
      <c r="AD270" s="82"/>
      <c r="AE270" s="82"/>
      <c r="AF270" s="63" t="str">
        <f t="shared" si="1"/>
        <v/>
      </c>
      <c r="AG270" s="82"/>
      <c r="AH270" s="82"/>
      <c r="AI270" s="82"/>
      <c r="AJ270" s="82"/>
      <c r="AK270" s="82"/>
      <c r="AL270" s="82"/>
      <c r="AM270" s="82"/>
      <c r="AN270" s="82"/>
      <c r="AO270" s="82"/>
      <c r="AP270" s="82"/>
      <c r="AQ270" s="82"/>
      <c r="AR270" s="82"/>
      <c r="AS270" s="82"/>
      <c r="AT270" s="82"/>
      <c r="AU270" s="82"/>
      <c r="AV270" s="82"/>
      <c r="AW270" s="82"/>
      <c r="AX270" s="82"/>
      <c r="AY270" s="82"/>
      <c r="AZ270" s="82"/>
      <c r="BA270" s="82"/>
      <c r="BB270" s="82"/>
      <c r="BC270" s="82"/>
      <c r="BD270" s="82"/>
      <c r="BE270" s="82"/>
      <c r="BF270" s="82"/>
      <c r="BG270" s="82"/>
      <c r="BH270" s="82"/>
      <c r="BI270" s="82"/>
      <c r="BJ270" s="82"/>
      <c r="BK270" s="82"/>
      <c r="BL270" s="82"/>
      <c r="BM270" s="82"/>
      <c r="BN270" s="82"/>
      <c r="BO270" s="82"/>
      <c r="BP270" s="82"/>
      <c r="BQ270" s="63"/>
      <c r="BR270" s="82"/>
      <c r="BS270" s="82"/>
      <c r="BT270" s="82"/>
      <c r="BU270" s="4"/>
    </row>
    <row r="271" spans="1:73" ht="12.75" x14ac:dyDescent="0.2">
      <c r="A271" s="1"/>
      <c r="B271" s="85"/>
      <c r="C271" s="85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4"/>
      <c r="O271" s="82"/>
      <c r="P271" s="82"/>
      <c r="Q271" s="82"/>
      <c r="R271" s="63"/>
      <c r="S271" s="63"/>
      <c r="T271" s="63"/>
      <c r="U271" s="63"/>
      <c r="V271" s="63"/>
      <c r="W271" s="63"/>
      <c r="X271" s="63"/>
      <c r="Y271" s="82"/>
      <c r="Z271" s="82"/>
      <c r="AA271" s="82"/>
      <c r="AB271" s="82"/>
      <c r="AC271" s="82"/>
      <c r="AD271" s="82"/>
      <c r="AE271" s="82"/>
      <c r="AF271" s="63" t="str">
        <f t="shared" si="1"/>
        <v/>
      </c>
      <c r="AG271" s="82"/>
      <c r="AH271" s="82"/>
      <c r="AI271" s="82"/>
      <c r="AJ271" s="82"/>
      <c r="AK271" s="82"/>
      <c r="AL271" s="82"/>
      <c r="AM271" s="82"/>
      <c r="AN271" s="82"/>
      <c r="AO271" s="82"/>
      <c r="AP271" s="82"/>
      <c r="AQ271" s="82"/>
      <c r="AR271" s="82"/>
      <c r="AS271" s="82"/>
      <c r="AT271" s="82"/>
      <c r="AU271" s="82"/>
      <c r="AV271" s="82"/>
      <c r="AW271" s="82"/>
      <c r="AX271" s="82"/>
      <c r="AY271" s="82"/>
      <c r="AZ271" s="82"/>
      <c r="BA271" s="82"/>
      <c r="BB271" s="82"/>
      <c r="BC271" s="82"/>
      <c r="BD271" s="82"/>
      <c r="BE271" s="82"/>
      <c r="BF271" s="82"/>
      <c r="BG271" s="82"/>
      <c r="BH271" s="82"/>
      <c r="BI271" s="82"/>
      <c r="BJ271" s="82"/>
      <c r="BK271" s="82"/>
      <c r="BL271" s="82"/>
      <c r="BM271" s="82"/>
      <c r="BN271" s="82"/>
      <c r="BO271" s="82"/>
      <c r="BP271" s="82"/>
      <c r="BQ271" s="63"/>
      <c r="BR271" s="82"/>
      <c r="BS271" s="82"/>
      <c r="BT271" s="82"/>
      <c r="BU271" s="4"/>
    </row>
    <row r="272" spans="1:73" ht="12.75" x14ac:dyDescent="0.2">
      <c r="A272" s="1"/>
      <c r="B272" s="85"/>
      <c r="C272" s="85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4"/>
      <c r="O272" s="82"/>
      <c r="P272" s="82"/>
      <c r="Q272" s="82"/>
      <c r="R272" s="63"/>
      <c r="S272" s="63"/>
      <c r="T272" s="63"/>
      <c r="U272" s="63"/>
      <c r="V272" s="63"/>
      <c r="W272" s="63"/>
      <c r="X272" s="63"/>
      <c r="Y272" s="82"/>
      <c r="Z272" s="82"/>
      <c r="AA272" s="82"/>
      <c r="AB272" s="82"/>
      <c r="AC272" s="82"/>
      <c r="AD272" s="82"/>
      <c r="AE272" s="82"/>
      <c r="AF272" s="63" t="str">
        <f t="shared" si="1"/>
        <v/>
      </c>
      <c r="AG272" s="82"/>
      <c r="AH272" s="82"/>
      <c r="AI272" s="82"/>
      <c r="AJ272" s="82"/>
      <c r="AK272" s="82"/>
      <c r="AL272" s="82"/>
      <c r="AM272" s="82"/>
      <c r="AN272" s="82"/>
      <c r="AO272" s="82"/>
      <c r="AP272" s="82"/>
      <c r="AQ272" s="82"/>
      <c r="AR272" s="82"/>
      <c r="AS272" s="82"/>
      <c r="AT272" s="82"/>
      <c r="AU272" s="82"/>
      <c r="AV272" s="82"/>
      <c r="AW272" s="82"/>
      <c r="AX272" s="82"/>
      <c r="AY272" s="82"/>
      <c r="AZ272" s="82"/>
      <c r="BA272" s="82"/>
      <c r="BB272" s="82"/>
      <c r="BC272" s="82"/>
      <c r="BD272" s="82"/>
      <c r="BE272" s="82"/>
      <c r="BF272" s="82"/>
      <c r="BG272" s="82"/>
      <c r="BH272" s="82"/>
      <c r="BI272" s="82"/>
      <c r="BJ272" s="82"/>
      <c r="BK272" s="82"/>
      <c r="BL272" s="82"/>
      <c r="BM272" s="82"/>
      <c r="BN272" s="82"/>
      <c r="BO272" s="82"/>
      <c r="BP272" s="82"/>
      <c r="BQ272" s="63"/>
      <c r="BR272" s="82"/>
      <c r="BS272" s="82"/>
      <c r="BT272" s="82"/>
      <c r="BU272" s="4"/>
    </row>
    <row r="273" spans="1:73" ht="12.75" x14ac:dyDescent="0.2">
      <c r="A273" s="1"/>
      <c r="B273" s="85"/>
      <c r="C273" s="85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4"/>
      <c r="O273" s="82"/>
      <c r="P273" s="82"/>
      <c r="Q273" s="82"/>
      <c r="R273" s="63"/>
      <c r="S273" s="63"/>
      <c r="T273" s="63"/>
      <c r="U273" s="63"/>
      <c r="V273" s="63"/>
      <c r="W273" s="63"/>
      <c r="X273" s="63"/>
      <c r="Y273" s="82"/>
      <c r="Z273" s="82"/>
      <c r="AA273" s="82"/>
      <c r="AB273" s="82"/>
      <c r="AC273" s="82"/>
      <c r="AD273" s="82"/>
      <c r="AE273" s="82"/>
      <c r="AF273" s="63" t="str">
        <f t="shared" si="1"/>
        <v/>
      </c>
      <c r="AG273" s="82"/>
      <c r="AH273" s="82"/>
      <c r="AI273" s="82"/>
      <c r="AJ273" s="82"/>
      <c r="AK273" s="82"/>
      <c r="AL273" s="82"/>
      <c r="AM273" s="82"/>
      <c r="AN273" s="82"/>
      <c r="AO273" s="82"/>
      <c r="AP273" s="82"/>
      <c r="AQ273" s="82"/>
      <c r="AR273" s="82"/>
      <c r="AS273" s="82"/>
      <c r="AT273" s="82"/>
      <c r="AU273" s="82"/>
      <c r="AV273" s="82"/>
      <c r="AW273" s="82"/>
      <c r="AX273" s="82"/>
      <c r="AY273" s="82"/>
      <c r="AZ273" s="82"/>
      <c r="BA273" s="82"/>
      <c r="BB273" s="82"/>
      <c r="BC273" s="82"/>
      <c r="BD273" s="82"/>
      <c r="BE273" s="82"/>
      <c r="BF273" s="82"/>
      <c r="BG273" s="82"/>
      <c r="BH273" s="82"/>
      <c r="BI273" s="82"/>
      <c r="BJ273" s="82"/>
      <c r="BK273" s="82"/>
      <c r="BL273" s="82"/>
      <c r="BM273" s="82"/>
      <c r="BN273" s="82"/>
      <c r="BO273" s="82"/>
      <c r="BP273" s="82"/>
      <c r="BQ273" s="63"/>
      <c r="BR273" s="82"/>
      <c r="BS273" s="82"/>
      <c r="BT273" s="82"/>
      <c r="BU273" s="4"/>
    </row>
    <row r="274" spans="1:73" ht="12.75" x14ac:dyDescent="0.2">
      <c r="A274" s="1"/>
      <c r="B274" s="85"/>
      <c r="C274" s="85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4"/>
      <c r="O274" s="82"/>
      <c r="P274" s="82"/>
      <c r="Q274" s="82"/>
      <c r="R274" s="63"/>
      <c r="S274" s="63"/>
      <c r="T274" s="63"/>
      <c r="U274" s="63"/>
      <c r="V274" s="63"/>
      <c r="W274" s="63"/>
      <c r="X274" s="63"/>
      <c r="Y274" s="82"/>
      <c r="Z274" s="82"/>
      <c r="AA274" s="82"/>
      <c r="AB274" s="82"/>
      <c r="AC274" s="82"/>
      <c r="AD274" s="82"/>
      <c r="AE274" s="82"/>
      <c r="AF274" s="63" t="str">
        <f t="shared" si="1"/>
        <v/>
      </c>
      <c r="AG274" s="82"/>
      <c r="AH274" s="82"/>
      <c r="AI274" s="82"/>
      <c r="AJ274" s="82"/>
      <c r="AK274" s="82"/>
      <c r="AL274" s="82"/>
      <c r="AM274" s="82"/>
      <c r="AN274" s="82"/>
      <c r="AO274" s="82"/>
      <c r="AP274" s="82"/>
      <c r="AQ274" s="82"/>
      <c r="AR274" s="82"/>
      <c r="AS274" s="82"/>
      <c r="AT274" s="82"/>
      <c r="AU274" s="82"/>
      <c r="AV274" s="82"/>
      <c r="AW274" s="82"/>
      <c r="AX274" s="82"/>
      <c r="AY274" s="82"/>
      <c r="AZ274" s="82"/>
      <c r="BA274" s="82"/>
      <c r="BB274" s="82"/>
      <c r="BC274" s="82"/>
      <c r="BD274" s="82"/>
      <c r="BE274" s="82"/>
      <c r="BF274" s="82"/>
      <c r="BG274" s="82"/>
      <c r="BH274" s="82"/>
      <c r="BI274" s="82"/>
      <c r="BJ274" s="82"/>
      <c r="BK274" s="82"/>
      <c r="BL274" s="82"/>
      <c r="BM274" s="82"/>
      <c r="BN274" s="82"/>
      <c r="BO274" s="82"/>
      <c r="BP274" s="82"/>
      <c r="BQ274" s="63"/>
      <c r="BR274" s="82"/>
      <c r="BS274" s="82"/>
      <c r="BT274" s="82"/>
      <c r="BU274" s="4"/>
    </row>
    <row r="275" spans="1:73" ht="12.75" x14ac:dyDescent="0.2">
      <c r="A275" s="1"/>
      <c r="B275" s="85"/>
      <c r="C275" s="85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4"/>
      <c r="O275" s="82"/>
      <c r="P275" s="82"/>
      <c r="Q275" s="82"/>
      <c r="R275" s="63"/>
      <c r="S275" s="63"/>
      <c r="T275" s="63"/>
      <c r="U275" s="63"/>
      <c r="V275" s="63"/>
      <c r="W275" s="63"/>
      <c r="X275" s="63"/>
      <c r="Y275" s="82"/>
      <c r="Z275" s="82"/>
      <c r="AA275" s="82"/>
      <c r="AB275" s="82"/>
      <c r="AC275" s="82"/>
      <c r="AD275" s="82"/>
      <c r="AE275" s="82"/>
      <c r="AF275" s="63" t="str">
        <f t="shared" si="1"/>
        <v/>
      </c>
      <c r="AG275" s="82"/>
      <c r="AH275" s="82"/>
      <c r="AI275" s="82"/>
      <c r="AJ275" s="82"/>
      <c r="AK275" s="82"/>
      <c r="AL275" s="82"/>
      <c r="AM275" s="82"/>
      <c r="AN275" s="82"/>
      <c r="AO275" s="82"/>
      <c r="AP275" s="82"/>
      <c r="AQ275" s="82"/>
      <c r="AR275" s="82"/>
      <c r="AS275" s="82"/>
      <c r="AT275" s="82"/>
      <c r="AU275" s="82"/>
      <c r="AV275" s="82"/>
      <c r="AW275" s="82"/>
      <c r="AX275" s="82"/>
      <c r="AY275" s="82"/>
      <c r="AZ275" s="82"/>
      <c r="BA275" s="82"/>
      <c r="BB275" s="82"/>
      <c r="BC275" s="82"/>
      <c r="BD275" s="82"/>
      <c r="BE275" s="82"/>
      <c r="BF275" s="82"/>
      <c r="BG275" s="82"/>
      <c r="BH275" s="82"/>
      <c r="BI275" s="82"/>
      <c r="BJ275" s="82"/>
      <c r="BK275" s="82"/>
      <c r="BL275" s="82"/>
      <c r="BM275" s="82"/>
      <c r="BN275" s="82"/>
      <c r="BO275" s="82"/>
      <c r="BP275" s="82"/>
      <c r="BQ275" s="63"/>
      <c r="BR275" s="82"/>
      <c r="BS275" s="82"/>
      <c r="BT275" s="82"/>
      <c r="BU275" s="4"/>
    </row>
    <row r="276" spans="1:73" ht="12.75" x14ac:dyDescent="0.2">
      <c r="A276" s="1"/>
      <c r="B276" s="85"/>
      <c r="C276" s="85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4"/>
      <c r="O276" s="82"/>
      <c r="P276" s="82"/>
      <c r="Q276" s="82"/>
      <c r="R276" s="63"/>
      <c r="S276" s="63"/>
      <c r="T276" s="63"/>
      <c r="U276" s="63"/>
      <c r="V276" s="63"/>
      <c r="W276" s="63"/>
      <c r="X276" s="63"/>
      <c r="Y276" s="82"/>
      <c r="Z276" s="82"/>
      <c r="AA276" s="82"/>
      <c r="AB276" s="82"/>
      <c r="AC276" s="82"/>
      <c r="AD276" s="82"/>
      <c r="AE276" s="82"/>
      <c r="AF276" s="63" t="str">
        <f t="shared" si="1"/>
        <v/>
      </c>
      <c r="AG276" s="82"/>
      <c r="AH276" s="82"/>
      <c r="AI276" s="82"/>
      <c r="AJ276" s="82"/>
      <c r="AK276" s="82"/>
      <c r="AL276" s="82"/>
      <c r="AM276" s="82"/>
      <c r="AN276" s="82"/>
      <c r="AO276" s="82"/>
      <c r="AP276" s="82"/>
      <c r="AQ276" s="82"/>
      <c r="AR276" s="82"/>
      <c r="AS276" s="82"/>
      <c r="AT276" s="82"/>
      <c r="AU276" s="82"/>
      <c r="AV276" s="82"/>
      <c r="AW276" s="82"/>
      <c r="AX276" s="82"/>
      <c r="AY276" s="82"/>
      <c r="AZ276" s="82"/>
      <c r="BA276" s="82"/>
      <c r="BB276" s="82"/>
      <c r="BC276" s="82"/>
      <c r="BD276" s="82"/>
      <c r="BE276" s="82"/>
      <c r="BF276" s="82"/>
      <c r="BG276" s="82"/>
      <c r="BH276" s="82"/>
      <c r="BI276" s="82"/>
      <c r="BJ276" s="82"/>
      <c r="BK276" s="82"/>
      <c r="BL276" s="82"/>
      <c r="BM276" s="82"/>
      <c r="BN276" s="82"/>
      <c r="BO276" s="82"/>
      <c r="BP276" s="82"/>
      <c r="BQ276" s="63"/>
      <c r="BR276" s="82"/>
      <c r="BS276" s="82"/>
      <c r="BT276" s="82"/>
      <c r="BU276" s="4"/>
    </row>
    <row r="277" spans="1:73" ht="12.75" x14ac:dyDescent="0.2">
      <c r="A277" s="1"/>
      <c r="B277" s="85"/>
      <c r="C277" s="85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4"/>
      <c r="O277" s="82"/>
      <c r="P277" s="82"/>
      <c r="Q277" s="82"/>
      <c r="R277" s="63"/>
      <c r="S277" s="63"/>
      <c r="T277" s="63"/>
      <c r="U277" s="63"/>
      <c r="V277" s="63"/>
      <c r="W277" s="63"/>
      <c r="X277" s="63"/>
      <c r="Y277" s="82"/>
      <c r="Z277" s="82"/>
      <c r="AA277" s="82"/>
      <c r="AB277" s="82"/>
      <c r="AC277" s="82"/>
      <c r="AD277" s="82"/>
      <c r="AE277" s="82"/>
      <c r="AF277" s="63" t="str">
        <f t="shared" si="1"/>
        <v/>
      </c>
      <c r="AG277" s="82"/>
      <c r="AH277" s="82"/>
      <c r="AI277" s="82"/>
      <c r="AJ277" s="82"/>
      <c r="AK277" s="82"/>
      <c r="AL277" s="82"/>
      <c r="AM277" s="82"/>
      <c r="AN277" s="82"/>
      <c r="AO277" s="82"/>
      <c r="AP277" s="82"/>
      <c r="AQ277" s="82"/>
      <c r="AR277" s="82"/>
      <c r="AS277" s="82"/>
      <c r="AT277" s="82"/>
      <c r="AU277" s="82"/>
      <c r="AV277" s="82"/>
      <c r="AW277" s="82"/>
      <c r="AX277" s="82"/>
      <c r="AY277" s="82"/>
      <c r="AZ277" s="82"/>
      <c r="BA277" s="82"/>
      <c r="BB277" s="82"/>
      <c r="BC277" s="82"/>
      <c r="BD277" s="82"/>
      <c r="BE277" s="82"/>
      <c r="BF277" s="82"/>
      <c r="BG277" s="82"/>
      <c r="BH277" s="82"/>
      <c r="BI277" s="82"/>
      <c r="BJ277" s="82"/>
      <c r="BK277" s="82"/>
      <c r="BL277" s="82"/>
      <c r="BM277" s="82"/>
      <c r="BN277" s="82"/>
      <c r="BO277" s="82"/>
      <c r="BP277" s="82"/>
      <c r="BQ277" s="63"/>
      <c r="BR277" s="82"/>
      <c r="BS277" s="82"/>
      <c r="BT277" s="82"/>
      <c r="BU277" s="4"/>
    </row>
    <row r="278" spans="1:73" ht="12.75" x14ac:dyDescent="0.2">
      <c r="A278" s="1"/>
      <c r="B278" s="85"/>
      <c r="C278" s="85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4"/>
      <c r="O278" s="82"/>
      <c r="P278" s="82"/>
      <c r="Q278" s="82"/>
      <c r="R278" s="63"/>
      <c r="S278" s="63"/>
      <c r="T278" s="63"/>
      <c r="U278" s="63"/>
      <c r="V278" s="63"/>
      <c r="W278" s="63"/>
      <c r="X278" s="63"/>
      <c r="Y278" s="82"/>
      <c r="Z278" s="82"/>
      <c r="AA278" s="82"/>
      <c r="AB278" s="82"/>
      <c r="AC278" s="82"/>
      <c r="AD278" s="82"/>
      <c r="AE278" s="82"/>
      <c r="AF278" s="63" t="str">
        <f t="shared" si="1"/>
        <v/>
      </c>
      <c r="AG278" s="82"/>
      <c r="AH278" s="82"/>
      <c r="AI278" s="82"/>
      <c r="AJ278" s="82"/>
      <c r="AK278" s="82"/>
      <c r="AL278" s="82"/>
      <c r="AM278" s="82"/>
      <c r="AN278" s="82"/>
      <c r="AO278" s="82"/>
      <c r="AP278" s="82"/>
      <c r="AQ278" s="82"/>
      <c r="AR278" s="82"/>
      <c r="AS278" s="82"/>
      <c r="AT278" s="82"/>
      <c r="AU278" s="82"/>
      <c r="AV278" s="82"/>
      <c r="AW278" s="82"/>
      <c r="AX278" s="82"/>
      <c r="AY278" s="82"/>
      <c r="AZ278" s="82"/>
      <c r="BA278" s="82"/>
      <c r="BB278" s="82"/>
      <c r="BC278" s="82"/>
      <c r="BD278" s="82"/>
      <c r="BE278" s="82"/>
      <c r="BF278" s="82"/>
      <c r="BG278" s="82"/>
      <c r="BH278" s="82"/>
      <c r="BI278" s="82"/>
      <c r="BJ278" s="82"/>
      <c r="BK278" s="82"/>
      <c r="BL278" s="82"/>
      <c r="BM278" s="82"/>
      <c r="BN278" s="82"/>
      <c r="BO278" s="82"/>
      <c r="BP278" s="82"/>
      <c r="BQ278" s="63"/>
      <c r="BR278" s="82"/>
      <c r="BS278" s="82"/>
      <c r="BT278" s="82"/>
      <c r="BU278" s="4"/>
    </row>
    <row r="279" spans="1:73" ht="12.75" x14ac:dyDescent="0.2">
      <c r="A279" s="1"/>
      <c r="B279" s="85"/>
      <c r="C279" s="85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4"/>
      <c r="O279" s="82"/>
      <c r="P279" s="82"/>
      <c r="Q279" s="82"/>
      <c r="R279" s="63"/>
      <c r="S279" s="63"/>
      <c r="T279" s="63"/>
      <c r="U279" s="63"/>
      <c r="V279" s="63"/>
      <c r="W279" s="63"/>
      <c r="X279" s="63"/>
      <c r="Y279" s="82"/>
      <c r="Z279" s="82"/>
      <c r="AA279" s="82"/>
      <c r="AB279" s="82"/>
      <c r="AC279" s="82"/>
      <c r="AD279" s="82"/>
      <c r="AE279" s="82"/>
      <c r="AF279" s="63" t="str">
        <f t="shared" si="1"/>
        <v/>
      </c>
      <c r="AG279" s="82"/>
      <c r="AH279" s="82"/>
      <c r="AI279" s="82"/>
      <c r="AJ279" s="82"/>
      <c r="AK279" s="82"/>
      <c r="AL279" s="82"/>
      <c r="AM279" s="82"/>
      <c r="AN279" s="82"/>
      <c r="AO279" s="82"/>
      <c r="AP279" s="82"/>
      <c r="AQ279" s="82"/>
      <c r="AR279" s="82"/>
      <c r="AS279" s="82"/>
      <c r="AT279" s="82"/>
      <c r="AU279" s="82"/>
      <c r="AV279" s="82"/>
      <c r="AW279" s="82"/>
      <c r="AX279" s="82"/>
      <c r="AY279" s="82"/>
      <c r="AZ279" s="82"/>
      <c r="BA279" s="82"/>
      <c r="BB279" s="82"/>
      <c r="BC279" s="82"/>
      <c r="BD279" s="82"/>
      <c r="BE279" s="82"/>
      <c r="BF279" s="82"/>
      <c r="BG279" s="82"/>
      <c r="BH279" s="82"/>
      <c r="BI279" s="82"/>
      <c r="BJ279" s="82"/>
      <c r="BK279" s="82"/>
      <c r="BL279" s="82"/>
      <c r="BM279" s="82"/>
      <c r="BN279" s="82"/>
      <c r="BO279" s="82"/>
      <c r="BP279" s="82"/>
      <c r="BQ279" s="63"/>
      <c r="BR279" s="82"/>
      <c r="BS279" s="82"/>
      <c r="BT279" s="82"/>
      <c r="BU279" s="4"/>
    </row>
    <row r="280" spans="1:73" ht="12.75" x14ac:dyDescent="0.2">
      <c r="A280" s="1"/>
      <c r="B280" s="85"/>
      <c r="C280" s="85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4"/>
      <c r="O280" s="82"/>
      <c r="P280" s="82"/>
      <c r="Q280" s="82"/>
      <c r="R280" s="63"/>
      <c r="S280" s="63"/>
      <c r="T280" s="63"/>
      <c r="U280" s="63"/>
      <c r="V280" s="63"/>
      <c r="W280" s="63"/>
      <c r="X280" s="63"/>
      <c r="Y280" s="82"/>
      <c r="Z280" s="82"/>
      <c r="AA280" s="82"/>
      <c r="AB280" s="82"/>
      <c r="AC280" s="82"/>
      <c r="AD280" s="82"/>
      <c r="AE280" s="82"/>
      <c r="AF280" s="63" t="str">
        <f t="shared" si="1"/>
        <v/>
      </c>
      <c r="AG280" s="82"/>
      <c r="AH280" s="82"/>
      <c r="AI280" s="82"/>
      <c r="AJ280" s="82"/>
      <c r="AK280" s="82"/>
      <c r="AL280" s="82"/>
      <c r="AM280" s="82"/>
      <c r="AN280" s="82"/>
      <c r="AO280" s="82"/>
      <c r="AP280" s="82"/>
      <c r="AQ280" s="82"/>
      <c r="AR280" s="82"/>
      <c r="AS280" s="82"/>
      <c r="AT280" s="82"/>
      <c r="AU280" s="82"/>
      <c r="AV280" s="82"/>
      <c r="AW280" s="82"/>
      <c r="AX280" s="82"/>
      <c r="AY280" s="82"/>
      <c r="AZ280" s="82"/>
      <c r="BA280" s="82"/>
      <c r="BB280" s="82"/>
      <c r="BC280" s="82"/>
      <c r="BD280" s="82"/>
      <c r="BE280" s="82"/>
      <c r="BF280" s="82"/>
      <c r="BG280" s="82"/>
      <c r="BH280" s="82"/>
      <c r="BI280" s="82"/>
      <c r="BJ280" s="82"/>
      <c r="BK280" s="82"/>
      <c r="BL280" s="82"/>
      <c r="BM280" s="82"/>
      <c r="BN280" s="82"/>
      <c r="BO280" s="82"/>
      <c r="BP280" s="82"/>
      <c r="BQ280" s="63"/>
      <c r="BR280" s="82"/>
      <c r="BS280" s="82"/>
      <c r="BT280" s="82"/>
      <c r="BU280" s="4"/>
    </row>
    <row r="281" spans="1:73" ht="12.75" x14ac:dyDescent="0.2">
      <c r="A281" s="1"/>
      <c r="B281" s="85"/>
      <c r="C281" s="85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4"/>
      <c r="O281" s="82"/>
      <c r="P281" s="82"/>
      <c r="Q281" s="82"/>
      <c r="R281" s="63"/>
      <c r="S281" s="63"/>
      <c r="T281" s="63"/>
      <c r="U281" s="63"/>
      <c r="V281" s="63"/>
      <c r="W281" s="63"/>
      <c r="X281" s="63"/>
      <c r="Y281" s="82"/>
      <c r="Z281" s="82"/>
      <c r="AA281" s="82"/>
      <c r="AB281" s="82"/>
      <c r="AC281" s="82"/>
      <c r="AD281" s="82"/>
      <c r="AE281" s="82"/>
      <c r="AF281" s="63" t="str">
        <f t="shared" si="1"/>
        <v/>
      </c>
      <c r="AG281" s="82"/>
      <c r="AH281" s="82"/>
      <c r="AI281" s="82"/>
      <c r="AJ281" s="82"/>
      <c r="AK281" s="82"/>
      <c r="AL281" s="82"/>
      <c r="AM281" s="82"/>
      <c r="AN281" s="82"/>
      <c r="AO281" s="82"/>
      <c r="AP281" s="82"/>
      <c r="AQ281" s="82"/>
      <c r="AR281" s="82"/>
      <c r="AS281" s="82"/>
      <c r="AT281" s="82"/>
      <c r="AU281" s="82"/>
      <c r="AV281" s="82"/>
      <c r="AW281" s="82"/>
      <c r="AX281" s="82"/>
      <c r="AY281" s="82"/>
      <c r="AZ281" s="82"/>
      <c r="BA281" s="82"/>
      <c r="BB281" s="82"/>
      <c r="BC281" s="82"/>
      <c r="BD281" s="82"/>
      <c r="BE281" s="82"/>
      <c r="BF281" s="82"/>
      <c r="BG281" s="82"/>
      <c r="BH281" s="82"/>
      <c r="BI281" s="82"/>
      <c r="BJ281" s="82"/>
      <c r="BK281" s="82"/>
      <c r="BL281" s="82"/>
      <c r="BM281" s="82"/>
      <c r="BN281" s="82"/>
      <c r="BO281" s="82"/>
      <c r="BP281" s="82"/>
      <c r="BQ281" s="63"/>
      <c r="BR281" s="82"/>
      <c r="BS281" s="82"/>
      <c r="BT281" s="82"/>
      <c r="BU281" s="4"/>
    </row>
    <row r="282" spans="1:73" ht="12.75" x14ac:dyDescent="0.2">
      <c r="A282" s="1"/>
      <c r="B282" s="85"/>
      <c r="C282" s="85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4"/>
      <c r="O282" s="82"/>
      <c r="P282" s="82"/>
      <c r="Q282" s="82"/>
      <c r="R282" s="63"/>
      <c r="S282" s="63"/>
      <c r="T282" s="63"/>
      <c r="U282" s="63"/>
      <c r="V282" s="63"/>
      <c r="W282" s="63"/>
      <c r="X282" s="63"/>
      <c r="Y282" s="82"/>
      <c r="Z282" s="82"/>
      <c r="AA282" s="82"/>
      <c r="AB282" s="82"/>
      <c r="AC282" s="82"/>
      <c r="AD282" s="82"/>
      <c r="AE282" s="82"/>
      <c r="AF282" s="63" t="str">
        <f t="shared" si="1"/>
        <v/>
      </c>
      <c r="AG282" s="82"/>
      <c r="AH282" s="82"/>
      <c r="AI282" s="82"/>
      <c r="AJ282" s="82"/>
      <c r="AK282" s="82"/>
      <c r="AL282" s="82"/>
      <c r="AM282" s="82"/>
      <c r="AN282" s="82"/>
      <c r="AO282" s="82"/>
      <c r="AP282" s="82"/>
      <c r="AQ282" s="82"/>
      <c r="AR282" s="82"/>
      <c r="AS282" s="82"/>
      <c r="AT282" s="82"/>
      <c r="AU282" s="82"/>
      <c r="AV282" s="82"/>
      <c r="AW282" s="82"/>
      <c r="AX282" s="82"/>
      <c r="AY282" s="82"/>
      <c r="AZ282" s="82"/>
      <c r="BA282" s="82"/>
      <c r="BB282" s="82"/>
      <c r="BC282" s="82"/>
      <c r="BD282" s="82"/>
      <c r="BE282" s="82"/>
      <c r="BF282" s="82"/>
      <c r="BG282" s="82"/>
      <c r="BH282" s="82"/>
      <c r="BI282" s="82"/>
      <c r="BJ282" s="82"/>
      <c r="BK282" s="82"/>
      <c r="BL282" s="82"/>
      <c r="BM282" s="82"/>
      <c r="BN282" s="82"/>
      <c r="BO282" s="82"/>
      <c r="BP282" s="82"/>
      <c r="BQ282" s="63"/>
      <c r="BR282" s="82"/>
      <c r="BS282" s="82"/>
      <c r="BT282" s="82"/>
      <c r="BU282" s="4"/>
    </row>
    <row r="283" spans="1:73" ht="12.75" x14ac:dyDescent="0.2">
      <c r="A283" s="1"/>
      <c r="B283" s="85"/>
      <c r="C283" s="85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4"/>
      <c r="O283" s="82"/>
      <c r="P283" s="82"/>
      <c r="Q283" s="82"/>
      <c r="R283" s="63"/>
      <c r="S283" s="63"/>
      <c r="T283" s="63"/>
      <c r="U283" s="63"/>
      <c r="V283" s="63"/>
      <c r="W283" s="63"/>
      <c r="X283" s="63"/>
      <c r="Y283" s="82"/>
      <c r="Z283" s="82"/>
      <c r="AA283" s="82"/>
      <c r="AB283" s="82"/>
      <c r="AC283" s="82"/>
      <c r="AD283" s="82"/>
      <c r="AE283" s="82"/>
      <c r="AF283" s="63" t="str">
        <f t="shared" si="1"/>
        <v/>
      </c>
      <c r="AG283" s="82"/>
      <c r="AH283" s="82"/>
      <c r="AI283" s="82"/>
      <c r="AJ283" s="82"/>
      <c r="AK283" s="82"/>
      <c r="AL283" s="82"/>
      <c r="AM283" s="82"/>
      <c r="AN283" s="82"/>
      <c r="AO283" s="82"/>
      <c r="AP283" s="82"/>
      <c r="AQ283" s="82"/>
      <c r="AR283" s="82"/>
      <c r="AS283" s="82"/>
      <c r="AT283" s="82"/>
      <c r="AU283" s="82"/>
      <c r="AV283" s="82"/>
      <c r="AW283" s="82"/>
      <c r="AX283" s="82"/>
      <c r="AY283" s="82"/>
      <c r="AZ283" s="82"/>
      <c r="BA283" s="82"/>
      <c r="BB283" s="82"/>
      <c r="BC283" s="82"/>
      <c r="BD283" s="82"/>
      <c r="BE283" s="82"/>
      <c r="BF283" s="82"/>
      <c r="BG283" s="82"/>
      <c r="BH283" s="82"/>
      <c r="BI283" s="82"/>
      <c r="BJ283" s="82"/>
      <c r="BK283" s="82"/>
      <c r="BL283" s="82"/>
      <c r="BM283" s="82"/>
      <c r="BN283" s="82"/>
      <c r="BO283" s="82"/>
      <c r="BP283" s="82"/>
      <c r="BQ283" s="63"/>
      <c r="BR283" s="82"/>
      <c r="BS283" s="82"/>
      <c r="BT283" s="82"/>
      <c r="BU283" s="4"/>
    </row>
    <row r="284" spans="1:73" ht="12.75" x14ac:dyDescent="0.2">
      <c r="A284" s="1"/>
      <c r="B284" s="85"/>
      <c r="C284" s="85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4"/>
      <c r="O284" s="82"/>
      <c r="P284" s="82"/>
      <c r="Q284" s="82"/>
      <c r="R284" s="63"/>
      <c r="S284" s="63"/>
      <c r="T284" s="63"/>
      <c r="U284" s="63"/>
      <c r="V284" s="63"/>
      <c r="W284" s="63"/>
      <c r="X284" s="63"/>
      <c r="Y284" s="82"/>
      <c r="Z284" s="82"/>
      <c r="AA284" s="82"/>
      <c r="AB284" s="82"/>
      <c r="AC284" s="82"/>
      <c r="AD284" s="82"/>
      <c r="AE284" s="82"/>
      <c r="AF284" s="63" t="str">
        <f t="shared" si="1"/>
        <v/>
      </c>
      <c r="AG284" s="82"/>
      <c r="AH284" s="82"/>
      <c r="AI284" s="82"/>
      <c r="AJ284" s="82"/>
      <c r="AK284" s="82"/>
      <c r="AL284" s="82"/>
      <c r="AM284" s="82"/>
      <c r="AN284" s="82"/>
      <c r="AO284" s="82"/>
      <c r="AP284" s="82"/>
      <c r="AQ284" s="82"/>
      <c r="AR284" s="82"/>
      <c r="AS284" s="82"/>
      <c r="AT284" s="82"/>
      <c r="AU284" s="82"/>
      <c r="AV284" s="82"/>
      <c r="AW284" s="82"/>
      <c r="AX284" s="82"/>
      <c r="AY284" s="82"/>
      <c r="AZ284" s="82"/>
      <c r="BA284" s="82"/>
      <c r="BB284" s="82"/>
      <c r="BC284" s="82"/>
      <c r="BD284" s="82"/>
      <c r="BE284" s="82"/>
      <c r="BF284" s="82"/>
      <c r="BG284" s="82"/>
      <c r="BH284" s="82"/>
      <c r="BI284" s="82"/>
      <c r="BJ284" s="82"/>
      <c r="BK284" s="82"/>
      <c r="BL284" s="82"/>
      <c r="BM284" s="82"/>
      <c r="BN284" s="82"/>
      <c r="BO284" s="82"/>
      <c r="BP284" s="82"/>
      <c r="BQ284" s="63"/>
      <c r="BR284" s="82"/>
      <c r="BS284" s="82"/>
      <c r="BT284" s="82"/>
      <c r="BU284" s="4"/>
    </row>
    <row r="285" spans="1:73" ht="12.75" x14ac:dyDescent="0.2">
      <c r="A285" s="1"/>
      <c r="B285" s="85"/>
      <c r="C285" s="85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4"/>
      <c r="O285" s="82"/>
      <c r="P285" s="82"/>
      <c r="Q285" s="82"/>
      <c r="R285" s="63"/>
      <c r="S285" s="63"/>
      <c r="T285" s="63"/>
      <c r="U285" s="63"/>
      <c r="V285" s="63"/>
      <c r="W285" s="63"/>
      <c r="X285" s="63"/>
      <c r="Y285" s="82"/>
      <c r="Z285" s="82"/>
      <c r="AA285" s="82"/>
      <c r="AB285" s="82"/>
      <c r="AC285" s="82"/>
      <c r="AD285" s="82"/>
      <c r="AE285" s="82"/>
      <c r="AF285" s="63" t="str">
        <f t="shared" si="1"/>
        <v/>
      </c>
      <c r="AG285" s="82"/>
      <c r="AH285" s="82"/>
      <c r="AI285" s="82"/>
      <c r="AJ285" s="82"/>
      <c r="AK285" s="82"/>
      <c r="AL285" s="82"/>
      <c r="AM285" s="82"/>
      <c r="AN285" s="82"/>
      <c r="AO285" s="82"/>
      <c r="AP285" s="82"/>
      <c r="AQ285" s="82"/>
      <c r="AR285" s="82"/>
      <c r="AS285" s="82"/>
      <c r="AT285" s="82"/>
      <c r="AU285" s="82"/>
      <c r="AV285" s="82"/>
      <c r="AW285" s="82"/>
      <c r="AX285" s="82"/>
      <c r="AY285" s="82"/>
      <c r="AZ285" s="82"/>
      <c r="BA285" s="82"/>
      <c r="BB285" s="82"/>
      <c r="BC285" s="82"/>
      <c r="BD285" s="82"/>
      <c r="BE285" s="82"/>
      <c r="BF285" s="82"/>
      <c r="BG285" s="82"/>
      <c r="BH285" s="82"/>
      <c r="BI285" s="82"/>
      <c r="BJ285" s="82"/>
      <c r="BK285" s="82"/>
      <c r="BL285" s="82"/>
      <c r="BM285" s="82"/>
      <c r="BN285" s="82"/>
      <c r="BO285" s="82"/>
      <c r="BP285" s="82"/>
      <c r="BQ285" s="63"/>
      <c r="BR285" s="82"/>
      <c r="BS285" s="82"/>
      <c r="BT285" s="82"/>
      <c r="BU285" s="4"/>
    </row>
    <row r="286" spans="1:73" ht="12.75" x14ac:dyDescent="0.2">
      <c r="A286" s="1"/>
      <c r="B286" s="85"/>
      <c r="C286" s="85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4"/>
      <c r="O286" s="82"/>
      <c r="P286" s="82"/>
      <c r="Q286" s="82"/>
      <c r="R286" s="63"/>
      <c r="S286" s="63"/>
      <c r="T286" s="63"/>
      <c r="U286" s="63"/>
      <c r="V286" s="63"/>
      <c r="W286" s="63"/>
      <c r="X286" s="63"/>
      <c r="Y286" s="82"/>
      <c r="Z286" s="82"/>
      <c r="AA286" s="82"/>
      <c r="AB286" s="82"/>
      <c r="AC286" s="82"/>
      <c r="AD286" s="82"/>
      <c r="AE286" s="82"/>
      <c r="AF286" s="63" t="str">
        <f t="shared" si="1"/>
        <v/>
      </c>
      <c r="AG286" s="82"/>
      <c r="AH286" s="82"/>
      <c r="AI286" s="82"/>
      <c r="AJ286" s="82"/>
      <c r="AK286" s="82"/>
      <c r="AL286" s="82"/>
      <c r="AM286" s="82"/>
      <c r="AN286" s="82"/>
      <c r="AO286" s="82"/>
      <c r="AP286" s="82"/>
      <c r="AQ286" s="82"/>
      <c r="AR286" s="82"/>
      <c r="AS286" s="82"/>
      <c r="AT286" s="82"/>
      <c r="AU286" s="82"/>
      <c r="AV286" s="82"/>
      <c r="AW286" s="82"/>
      <c r="AX286" s="82"/>
      <c r="AY286" s="82"/>
      <c r="AZ286" s="82"/>
      <c r="BA286" s="82"/>
      <c r="BB286" s="82"/>
      <c r="BC286" s="82"/>
      <c r="BD286" s="82"/>
      <c r="BE286" s="82"/>
      <c r="BF286" s="82"/>
      <c r="BG286" s="82"/>
      <c r="BH286" s="82"/>
      <c r="BI286" s="82"/>
      <c r="BJ286" s="82"/>
      <c r="BK286" s="82"/>
      <c r="BL286" s="82"/>
      <c r="BM286" s="82"/>
      <c r="BN286" s="82"/>
      <c r="BO286" s="82"/>
      <c r="BP286" s="82"/>
      <c r="BQ286" s="63"/>
      <c r="BR286" s="82"/>
      <c r="BS286" s="82"/>
      <c r="BT286" s="82"/>
      <c r="BU286" s="4"/>
    </row>
    <row r="287" spans="1:73" ht="12.75" x14ac:dyDescent="0.2">
      <c r="A287" s="1"/>
      <c r="B287" s="85"/>
      <c r="C287" s="85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4"/>
      <c r="O287" s="82"/>
      <c r="P287" s="82"/>
      <c r="Q287" s="82"/>
      <c r="R287" s="63"/>
      <c r="S287" s="63"/>
      <c r="T287" s="63"/>
      <c r="U287" s="63"/>
      <c r="V287" s="63"/>
      <c r="W287" s="63"/>
      <c r="X287" s="63"/>
      <c r="Y287" s="82"/>
      <c r="Z287" s="82"/>
      <c r="AA287" s="82"/>
      <c r="AB287" s="82"/>
      <c r="AC287" s="82"/>
      <c r="AD287" s="82"/>
      <c r="AE287" s="82"/>
      <c r="AF287" s="63" t="str">
        <f t="shared" si="1"/>
        <v/>
      </c>
      <c r="AG287" s="82"/>
      <c r="AH287" s="82"/>
      <c r="AI287" s="82"/>
      <c r="AJ287" s="82"/>
      <c r="AK287" s="82"/>
      <c r="AL287" s="82"/>
      <c r="AM287" s="82"/>
      <c r="AN287" s="82"/>
      <c r="AO287" s="82"/>
      <c r="AP287" s="82"/>
      <c r="AQ287" s="82"/>
      <c r="AR287" s="82"/>
      <c r="AS287" s="82"/>
      <c r="AT287" s="82"/>
      <c r="AU287" s="82"/>
      <c r="AV287" s="82"/>
      <c r="AW287" s="82"/>
      <c r="AX287" s="82"/>
      <c r="AY287" s="82"/>
      <c r="AZ287" s="82"/>
      <c r="BA287" s="82"/>
      <c r="BB287" s="82"/>
      <c r="BC287" s="82"/>
      <c r="BD287" s="82"/>
      <c r="BE287" s="82"/>
      <c r="BF287" s="82"/>
      <c r="BG287" s="82"/>
      <c r="BH287" s="82"/>
      <c r="BI287" s="82"/>
      <c r="BJ287" s="82"/>
      <c r="BK287" s="82"/>
      <c r="BL287" s="82"/>
      <c r="BM287" s="82"/>
      <c r="BN287" s="82"/>
      <c r="BO287" s="82"/>
      <c r="BP287" s="82"/>
      <c r="BQ287" s="63"/>
      <c r="BR287" s="82"/>
      <c r="BS287" s="82"/>
      <c r="BT287" s="82"/>
      <c r="BU287" s="4"/>
    </row>
    <row r="288" spans="1:73" ht="12.75" x14ac:dyDescent="0.2">
      <c r="A288" s="1"/>
      <c r="B288" s="85"/>
      <c r="C288" s="85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4"/>
      <c r="O288" s="82"/>
      <c r="P288" s="82"/>
      <c r="Q288" s="82"/>
      <c r="R288" s="63"/>
      <c r="S288" s="63"/>
      <c r="T288" s="63"/>
      <c r="U288" s="63"/>
      <c r="V288" s="63"/>
      <c r="W288" s="63"/>
      <c r="X288" s="63"/>
      <c r="Y288" s="82"/>
      <c r="Z288" s="82"/>
      <c r="AA288" s="82"/>
      <c r="AB288" s="82"/>
      <c r="AC288" s="82"/>
      <c r="AD288" s="82"/>
      <c r="AE288" s="82"/>
      <c r="AF288" s="63" t="str">
        <f t="shared" si="1"/>
        <v/>
      </c>
      <c r="AG288" s="82"/>
      <c r="AH288" s="82"/>
      <c r="AI288" s="82"/>
      <c r="AJ288" s="82"/>
      <c r="AK288" s="82"/>
      <c r="AL288" s="82"/>
      <c r="AM288" s="82"/>
      <c r="AN288" s="82"/>
      <c r="AO288" s="82"/>
      <c r="AP288" s="82"/>
      <c r="AQ288" s="82"/>
      <c r="AR288" s="82"/>
      <c r="AS288" s="82"/>
      <c r="AT288" s="82"/>
      <c r="AU288" s="82"/>
      <c r="AV288" s="82"/>
      <c r="AW288" s="82"/>
      <c r="AX288" s="82"/>
      <c r="AY288" s="82"/>
      <c r="AZ288" s="82"/>
      <c r="BA288" s="82"/>
      <c r="BB288" s="82"/>
      <c r="BC288" s="82"/>
      <c r="BD288" s="82"/>
      <c r="BE288" s="82"/>
      <c r="BF288" s="82"/>
      <c r="BG288" s="82"/>
      <c r="BH288" s="82"/>
      <c r="BI288" s="82"/>
      <c r="BJ288" s="82"/>
      <c r="BK288" s="82"/>
      <c r="BL288" s="82"/>
      <c r="BM288" s="82"/>
      <c r="BN288" s="82"/>
      <c r="BO288" s="82"/>
      <c r="BP288" s="82"/>
      <c r="BQ288" s="63"/>
      <c r="BR288" s="82"/>
      <c r="BS288" s="82"/>
      <c r="BT288" s="82"/>
      <c r="BU288" s="4"/>
    </row>
    <row r="289" spans="1:73" ht="12.75" x14ac:dyDescent="0.2">
      <c r="A289" s="1"/>
      <c r="B289" s="85"/>
      <c r="C289" s="85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4"/>
      <c r="O289" s="82"/>
      <c r="P289" s="82"/>
      <c r="Q289" s="82"/>
      <c r="R289" s="63"/>
      <c r="S289" s="63"/>
      <c r="T289" s="63"/>
      <c r="U289" s="63"/>
      <c r="V289" s="63"/>
      <c r="W289" s="63"/>
      <c r="X289" s="63"/>
      <c r="Y289" s="82"/>
      <c r="Z289" s="82"/>
      <c r="AA289" s="82"/>
      <c r="AB289" s="82"/>
      <c r="AC289" s="82"/>
      <c r="AD289" s="82"/>
      <c r="AE289" s="82"/>
      <c r="AF289" s="63" t="str">
        <f t="shared" si="1"/>
        <v/>
      </c>
      <c r="AG289" s="82"/>
      <c r="AH289" s="82"/>
      <c r="AI289" s="82"/>
      <c r="AJ289" s="82"/>
      <c r="AK289" s="82"/>
      <c r="AL289" s="82"/>
      <c r="AM289" s="82"/>
      <c r="AN289" s="82"/>
      <c r="AO289" s="82"/>
      <c r="AP289" s="82"/>
      <c r="AQ289" s="82"/>
      <c r="AR289" s="82"/>
      <c r="AS289" s="82"/>
      <c r="AT289" s="82"/>
      <c r="AU289" s="82"/>
      <c r="AV289" s="82"/>
      <c r="AW289" s="82"/>
      <c r="AX289" s="82"/>
      <c r="AY289" s="82"/>
      <c r="AZ289" s="82"/>
      <c r="BA289" s="82"/>
      <c r="BB289" s="82"/>
      <c r="BC289" s="82"/>
      <c r="BD289" s="82"/>
      <c r="BE289" s="82"/>
      <c r="BF289" s="82"/>
      <c r="BG289" s="82"/>
      <c r="BH289" s="82"/>
      <c r="BI289" s="82"/>
      <c r="BJ289" s="82"/>
      <c r="BK289" s="82"/>
      <c r="BL289" s="82"/>
      <c r="BM289" s="82"/>
      <c r="BN289" s="82"/>
      <c r="BO289" s="82"/>
      <c r="BP289" s="82"/>
      <c r="BQ289" s="63"/>
      <c r="BR289" s="82"/>
      <c r="BS289" s="82"/>
      <c r="BT289" s="82"/>
      <c r="BU289" s="4"/>
    </row>
    <row r="290" spans="1:73" ht="12.75" x14ac:dyDescent="0.2">
      <c r="A290" s="1"/>
      <c r="B290" s="85"/>
      <c r="C290" s="85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4"/>
      <c r="O290" s="82"/>
      <c r="P290" s="82"/>
      <c r="Q290" s="82"/>
      <c r="R290" s="63"/>
      <c r="S290" s="63"/>
      <c r="T290" s="63"/>
      <c r="U290" s="63"/>
      <c r="V290" s="63"/>
      <c r="W290" s="63"/>
      <c r="X290" s="63"/>
      <c r="Y290" s="82"/>
      <c r="Z290" s="82"/>
      <c r="AA290" s="82"/>
      <c r="AB290" s="82"/>
      <c r="AC290" s="82"/>
      <c r="AD290" s="82"/>
      <c r="AE290" s="82"/>
      <c r="AF290" s="63" t="str">
        <f t="shared" si="1"/>
        <v/>
      </c>
      <c r="AG290" s="82"/>
      <c r="AH290" s="82"/>
      <c r="AI290" s="82"/>
      <c r="AJ290" s="82"/>
      <c r="AK290" s="82"/>
      <c r="AL290" s="82"/>
      <c r="AM290" s="82"/>
      <c r="AN290" s="82"/>
      <c r="AO290" s="82"/>
      <c r="AP290" s="82"/>
      <c r="AQ290" s="82"/>
      <c r="AR290" s="82"/>
      <c r="AS290" s="82"/>
      <c r="AT290" s="82"/>
      <c r="AU290" s="82"/>
      <c r="AV290" s="82"/>
      <c r="AW290" s="82"/>
      <c r="AX290" s="82"/>
      <c r="AY290" s="82"/>
      <c r="AZ290" s="82"/>
      <c r="BA290" s="82"/>
      <c r="BB290" s="82"/>
      <c r="BC290" s="82"/>
      <c r="BD290" s="82"/>
      <c r="BE290" s="82"/>
      <c r="BF290" s="82"/>
      <c r="BG290" s="82"/>
      <c r="BH290" s="82"/>
      <c r="BI290" s="82"/>
      <c r="BJ290" s="82"/>
      <c r="BK290" s="82"/>
      <c r="BL290" s="82"/>
      <c r="BM290" s="82"/>
      <c r="BN290" s="82"/>
      <c r="BO290" s="82"/>
      <c r="BP290" s="82"/>
      <c r="BQ290" s="63"/>
      <c r="BR290" s="82"/>
      <c r="BS290" s="82"/>
      <c r="BT290" s="82"/>
      <c r="BU290" s="4"/>
    </row>
    <row r="291" spans="1:73" ht="12.75" x14ac:dyDescent="0.2">
      <c r="A291" s="1"/>
      <c r="B291" s="85"/>
      <c r="C291" s="85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4"/>
      <c r="O291" s="82"/>
      <c r="P291" s="82"/>
      <c r="Q291" s="82"/>
      <c r="R291" s="63"/>
      <c r="S291" s="63"/>
      <c r="T291" s="63"/>
      <c r="U291" s="63"/>
      <c r="V291" s="63"/>
      <c r="W291" s="63"/>
      <c r="X291" s="63"/>
      <c r="Y291" s="82"/>
      <c r="Z291" s="82"/>
      <c r="AA291" s="82"/>
      <c r="AB291" s="82"/>
      <c r="AC291" s="82"/>
      <c r="AD291" s="82"/>
      <c r="AE291" s="82"/>
      <c r="AF291" s="63" t="str">
        <f t="shared" si="1"/>
        <v/>
      </c>
      <c r="AG291" s="82"/>
      <c r="AH291" s="82"/>
      <c r="AI291" s="82"/>
      <c r="AJ291" s="82"/>
      <c r="AK291" s="82"/>
      <c r="AL291" s="82"/>
      <c r="AM291" s="82"/>
      <c r="AN291" s="82"/>
      <c r="AO291" s="82"/>
      <c r="AP291" s="82"/>
      <c r="AQ291" s="82"/>
      <c r="AR291" s="82"/>
      <c r="AS291" s="82"/>
      <c r="AT291" s="82"/>
      <c r="AU291" s="82"/>
      <c r="AV291" s="82"/>
      <c r="AW291" s="82"/>
      <c r="AX291" s="82"/>
      <c r="AY291" s="82"/>
      <c r="AZ291" s="82"/>
      <c r="BA291" s="82"/>
      <c r="BB291" s="82"/>
      <c r="BC291" s="82"/>
      <c r="BD291" s="82"/>
      <c r="BE291" s="82"/>
      <c r="BF291" s="82"/>
      <c r="BG291" s="82"/>
      <c r="BH291" s="82"/>
      <c r="BI291" s="82"/>
      <c r="BJ291" s="82"/>
      <c r="BK291" s="82"/>
      <c r="BL291" s="82"/>
      <c r="BM291" s="82"/>
      <c r="BN291" s="82"/>
      <c r="BO291" s="82"/>
      <c r="BP291" s="82"/>
      <c r="BQ291" s="63"/>
      <c r="BR291" s="82"/>
      <c r="BS291" s="82"/>
      <c r="BT291" s="82"/>
      <c r="BU291" s="4"/>
    </row>
    <row r="292" spans="1:73" ht="12.75" x14ac:dyDescent="0.2">
      <c r="A292" s="1"/>
      <c r="B292" s="85"/>
      <c r="C292" s="85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4"/>
      <c r="O292" s="82"/>
      <c r="P292" s="82"/>
      <c r="Q292" s="82"/>
      <c r="R292" s="63"/>
      <c r="S292" s="63"/>
      <c r="T292" s="63"/>
      <c r="U292" s="63"/>
      <c r="V292" s="63"/>
      <c r="W292" s="63"/>
      <c r="X292" s="63"/>
      <c r="Y292" s="82"/>
      <c r="Z292" s="82"/>
      <c r="AA292" s="82"/>
      <c r="AB292" s="82"/>
      <c r="AC292" s="82"/>
      <c r="AD292" s="82"/>
      <c r="AE292" s="82"/>
      <c r="AF292" s="63" t="str">
        <f t="shared" si="1"/>
        <v/>
      </c>
      <c r="AG292" s="82"/>
      <c r="AH292" s="82"/>
      <c r="AI292" s="82"/>
      <c r="AJ292" s="82"/>
      <c r="AK292" s="82"/>
      <c r="AL292" s="82"/>
      <c r="AM292" s="82"/>
      <c r="AN292" s="82"/>
      <c r="AO292" s="82"/>
      <c r="AP292" s="82"/>
      <c r="AQ292" s="82"/>
      <c r="AR292" s="82"/>
      <c r="AS292" s="82"/>
      <c r="AT292" s="82"/>
      <c r="AU292" s="82"/>
      <c r="AV292" s="82"/>
      <c r="AW292" s="82"/>
      <c r="AX292" s="82"/>
      <c r="AY292" s="82"/>
      <c r="AZ292" s="82"/>
      <c r="BA292" s="82"/>
      <c r="BB292" s="82"/>
      <c r="BC292" s="82"/>
      <c r="BD292" s="82"/>
      <c r="BE292" s="82"/>
      <c r="BF292" s="82"/>
      <c r="BG292" s="82"/>
      <c r="BH292" s="82"/>
      <c r="BI292" s="82"/>
      <c r="BJ292" s="82"/>
      <c r="BK292" s="82"/>
      <c r="BL292" s="82"/>
      <c r="BM292" s="82"/>
      <c r="BN292" s="82"/>
      <c r="BO292" s="82"/>
      <c r="BP292" s="82"/>
      <c r="BQ292" s="63"/>
      <c r="BR292" s="82"/>
      <c r="BS292" s="82"/>
      <c r="BT292" s="82"/>
      <c r="BU292" s="4"/>
    </row>
    <row r="293" spans="1:73" ht="12.75" x14ac:dyDescent="0.2">
      <c r="A293" s="1"/>
      <c r="B293" s="85"/>
      <c r="C293" s="85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4"/>
      <c r="O293" s="82"/>
      <c r="P293" s="82"/>
      <c r="Q293" s="82"/>
      <c r="R293" s="63"/>
      <c r="S293" s="63"/>
      <c r="T293" s="63"/>
      <c r="U293" s="63"/>
      <c r="V293" s="63"/>
      <c r="W293" s="63"/>
      <c r="X293" s="63"/>
      <c r="Y293" s="82"/>
      <c r="Z293" s="82"/>
      <c r="AA293" s="82"/>
      <c r="AB293" s="82"/>
      <c r="AC293" s="82"/>
      <c r="AD293" s="82"/>
      <c r="AE293" s="82"/>
      <c r="AF293" s="63" t="str">
        <f t="shared" si="1"/>
        <v/>
      </c>
      <c r="AG293" s="82"/>
      <c r="AH293" s="82"/>
      <c r="AI293" s="82"/>
      <c r="AJ293" s="82"/>
      <c r="AK293" s="82"/>
      <c r="AL293" s="82"/>
      <c r="AM293" s="82"/>
      <c r="AN293" s="82"/>
      <c r="AO293" s="82"/>
      <c r="AP293" s="82"/>
      <c r="AQ293" s="82"/>
      <c r="AR293" s="82"/>
      <c r="AS293" s="82"/>
      <c r="AT293" s="82"/>
      <c r="AU293" s="82"/>
      <c r="AV293" s="82"/>
      <c r="AW293" s="82"/>
      <c r="AX293" s="82"/>
      <c r="AY293" s="82"/>
      <c r="AZ293" s="82"/>
      <c r="BA293" s="82"/>
      <c r="BB293" s="82"/>
      <c r="BC293" s="82"/>
      <c r="BD293" s="82"/>
      <c r="BE293" s="82"/>
      <c r="BF293" s="82"/>
      <c r="BG293" s="82"/>
      <c r="BH293" s="82"/>
      <c r="BI293" s="82"/>
      <c r="BJ293" s="82"/>
      <c r="BK293" s="82"/>
      <c r="BL293" s="82"/>
      <c r="BM293" s="82"/>
      <c r="BN293" s="82"/>
      <c r="BO293" s="82"/>
      <c r="BP293" s="82"/>
      <c r="BQ293" s="63"/>
      <c r="BR293" s="82"/>
      <c r="BS293" s="82"/>
      <c r="BT293" s="82"/>
      <c r="BU293" s="4"/>
    </row>
    <row r="294" spans="1:73" ht="12.75" x14ac:dyDescent="0.2">
      <c r="A294" s="1"/>
      <c r="B294" s="85"/>
      <c r="C294" s="85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4"/>
      <c r="O294" s="82"/>
      <c r="P294" s="82"/>
      <c r="Q294" s="82"/>
      <c r="R294" s="63"/>
      <c r="S294" s="63"/>
      <c r="T294" s="63"/>
      <c r="U294" s="63"/>
      <c r="V294" s="63"/>
      <c r="W294" s="63"/>
      <c r="X294" s="63"/>
      <c r="Y294" s="82"/>
      <c r="Z294" s="82"/>
      <c r="AA294" s="82"/>
      <c r="AB294" s="82"/>
      <c r="AC294" s="82"/>
      <c r="AD294" s="82"/>
      <c r="AE294" s="82"/>
      <c r="AF294" s="63" t="str">
        <f t="shared" si="1"/>
        <v/>
      </c>
      <c r="AG294" s="82"/>
      <c r="AH294" s="82"/>
      <c r="AI294" s="82"/>
      <c r="AJ294" s="82"/>
      <c r="AK294" s="82"/>
      <c r="AL294" s="82"/>
      <c r="AM294" s="82"/>
      <c r="AN294" s="82"/>
      <c r="AO294" s="82"/>
      <c r="AP294" s="82"/>
      <c r="AQ294" s="82"/>
      <c r="AR294" s="82"/>
      <c r="AS294" s="82"/>
      <c r="AT294" s="82"/>
      <c r="AU294" s="82"/>
      <c r="AV294" s="82"/>
      <c r="AW294" s="82"/>
      <c r="AX294" s="82"/>
      <c r="AY294" s="82"/>
      <c r="AZ294" s="82"/>
      <c r="BA294" s="82"/>
      <c r="BB294" s="82"/>
      <c r="BC294" s="82"/>
      <c r="BD294" s="82"/>
      <c r="BE294" s="82"/>
      <c r="BF294" s="82"/>
      <c r="BG294" s="82"/>
      <c r="BH294" s="82"/>
      <c r="BI294" s="82"/>
      <c r="BJ294" s="82"/>
      <c r="BK294" s="82"/>
      <c r="BL294" s="82"/>
      <c r="BM294" s="82"/>
      <c r="BN294" s="82"/>
      <c r="BO294" s="82"/>
      <c r="BP294" s="82"/>
      <c r="BQ294" s="63"/>
      <c r="BR294" s="82"/>
      <c r="BS294" s="82"/>
      <c r="BT294" s="82"/>
      <c r="BU294" s="4"/>
    </row>
    <row r="295" spans="1:73" ht="12.75" x14ac:dyDescent="0.2">
      <c r="A295" s="1"/>
      <c r="B295" s="85"/>
      <c r="C295" s="85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4"/>
      <c r="O295" s="82"/>
      <c r="P295" s="82"/>
      <c r="Q295" s="82"/>
      <c r="R295" s="63"/>
      <c r="S295" s="63"/>
      <c r="T295" s="63"/>
      <c r="U295" s="63"/>
      <c r="V295" s="63"/>
      <c r="W295" s="63"/>
      <c r="X295" s="63"/>
      <c r="Y295" s="82"/>
      <c r="Z295" s="82"/>
      <c r="AA295" s="82"/>
      <c r="AB295" s="82"/>
      <c r="AC295" s="82"/>
      <c r="AD295" s="82"/>
      <c r="AE295" s="82"/>
      <c r="AF295" s="63" t="str">
        <f t="shared" si="1"/>
        <v/>
      </c>
      <c r="AG295" s="82"/>
      <c r="AH295" s="82"/>
      <c r="AI295" s="82"/>
      <c r="AJ295" s="82"/>
      <c r="AK295" s="82"/>
      <c r="AL295" s="82"/>
      <c r="AM295" s="82"/>
      <c r="AN295" s="82"/>
      <c r="AO295" s="82"/>
      <c r="AP295" s="82"/>
      <c r="AQ295" s="82"/>
      <c r="AR295" s="82"/>
      <c r="AS295" s="82"/>
      <c r="AT295" s="82"/>
      <c r="AU295" s="82"/>
      <c r="AV295" s="82"/>
      <c r="AW295" s="82"/>
      <c r="AX295" s="82"/>
      <c r="AY295" s="82"/>
      <c r="AZ295" s="82"/>
      <c r="BA295" s="82"/>
      <c r="BB295" s="82"/>
      <c r="BC295" s="82"/>
      <c r="BD295" s="82"/>
      <c r="BE295" s="82"/>
      <c r="BF295" s="82"/>
      <c r="BG295" s="82"/>
      <c r="BH295" s="82"/>
      <c r="BI295" s="82"/>
      <c r="BJ295" s="82"/>
      <c r="BK295" s="82"/>
      <c r="BL295" s="82"/>
      <c r="BM295" s="82"/>
      <c r="BN295" s="82"/>
      <c r="BO295" s="82"/>
      <c r="BP295" s="82"/>
      <c r="BQ295" s="63"/>
      <c r="BR295" s="82"/>
      <c r="BS295" s="82"/>
      <c r="BT295" s="82"/>
      <c r="BU295" s="4"/>
    </row>
    <row r="296" spans="1:73" ht="12.75" x14ac:dyDescent="0.2">
      <c r="A296" s="1"/>
      <c r="B296" s="85"/>
      <c r="C296" s="85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4"/>
      <c r="O296" s="82"/>
      <c r="P296" s="82"/>
      <c r="Q296" s="82"/>
      <c r="R296" s="63"/>
      <c r="S296" s="63"/>
      <c r="T296" s="63"/>
      <c r="U296" s="63"/>
      <c r="V296" s="63"/>
      <c r="W296" s="63"/>
      <c r="X296" s="63"/>
      <c r="Y296" s="82"/>
      <c r="Z296" s="82"/>
      <c r="AA296" s="82"/>
      <c r="AB296" s="82"/>
      <c r="AC296" s="82"/>
      <c r="AD296" s="82"/>
      <c r="AE296" s="82"/>
      <c r="AF296" s="63" t="str">
        <f t="shared" si="1"/>
        <v/>
      </c>
      <c r="AG296" s="82"/>
      <c r="AH296" s="82"/>
      <c r="AI296" s="82"/>
      <c r="AJ296" s="82"/>
      <c r="AK296" s="82"/>
      <c r="AL296" s="82"/>
      <c r="AM296" s="82"/>
      <c r="AN296" s="82"/>
      <c r="AO296" s="82"/>
      <c r="AP296" s="82"/>
      <c r="AQ296" s="82"/>
      <c r="AR296" s="82"/>
      <c r="AS296" s="82"/>
      <c r="AT296" s="82"/>
      <c r="AU296" s="82"/>
      <c r="AV296" s="82"/>
      <c r="AW296" s="82"/>
      <c r="AX296" s="82"/>
      <c r="AY296" s="82"/>
      <c r="AZ296" s="82"/>
      <c r="BA296" s="82"/>
      <c r="BB296" s="82"/>
      <c r="BC296" s="82"/>
      <c r="BD296" s="82"/>
      <c r="BE296" s="82"/>
      <c r="BF296" s="82"/>
      <c r="BG296" s="82"/>
      <c r="BH296" s="82"/>
      <c r="BI296" s="82"/>
      <c r="BJ296" s="82"/>
      <c r="BK296" s="82"/>
      <c r="BL296" s="82"/>
      <c r="BM296" s="82"/>
      <c r="BN296" s="82"/>
      <c r="BO296" s="82"/>
      <c r="BP296" s="82"/>
      <c r="BQ296" s="63"/>
      <c r="BR296" s="82"/>
      <c r="BS296" s="82"/>
      <c r="BT296" s="82"/>
      <c r="BU296" s="4"/>
    </row>
    <row r="297" spans="1:73" ht="12.75" x14ac:dyDescent="0.2">
      <c r="A297" s="1"/>
      <c r="B297" s="85"/>
      <c r="C297" s="85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4"/>
      <c r="O297" s="82"/>
      <c r="P297" s="82"/>
      <c r="Q297" s="82"/>
      <c r="R297" s="63"/>
      <c r="S297" s="63"/>
      <c r="T297" s="63"/>
      <c r="U297" s="63"/>
      <c r="V297" s="63"/>
      <c r="W297" s="63"/>
      <c r="X297" s="63"/>
      <c r="Y297" s="82"/>
      <c r="Z297" s="82"/>
      <c r="AA297" s="82"/>
      <c r="AB297" s="82"/>
      <c r="AC297" s="82"/>
      <c r="AD297" s="82"/>
      <c r="AE297" s="82"/>
      <c r="AF297" s="63" t="str">
        <f t="shared" si="1"/>
        <v/>
      </c>
      <c r="AG297" s="82"/>
      <c r="AH297" s="82"/>
      <c r="AI297" s="82"/>
      <c r="AJ297" s="82"/>
      <c r="AK297" s="82"/>
      <c r="AL297" s="82"/>
      <c r="AM297" s="82"/>
      <c r="AN297" s="82"/>
      <c r="AO297" s="82"/>
      <c r="AP297" s="82"/>
      <c r="AQ297" s="82"/>
      <c r="AR297" s="82"/>
      <c r="AS297" s="82"/>
      <c r="AT297" s="82"/>
      <c r="AU297" s="82"/>
      <c r="AV297" s="82"/>
      <c r="AW297" s="82"/>
      <c r="AX297" s="82"/>
      <c r="AY297" s="82"/>
      <c r="AZ297" s="82"/>
      <c r="BA297" s="82"/>
      <c r="BB297" s="82"/>
      <c r="BC297" s="82"/>
      <c r="BD297" s="82"/>
      <c r="BE297" s="82"/>
      <c r="BF297" s="82"/>
      <c r="BG297" s="82"/>
      <c r="BH297" s="82"/>
      <c r="BI297" s="82"/>
      <c r="BJ297" s="82"/>
      <c r="BK297" s="82"/>
      <c r="BL297" s="82"/>
      <c r="BM297" s="82"/>
      <c r="BN297" s="82"/>
      <c r="BO297" s="82"/>
      <c r="BP297" s="82"/>
      <c r="BQ297" s="63"/>
      <c r="BR297" s="82"/>
      <c r="BS297" s="82"/>
      <c r="BT297" s="82"/>
      <c r="BU297" s="4"/>
    </row>
    <row r="298" spans="1:73" ht="12.75" x14ac:dyDescent="0.2">
      <c r="A298" s="1"/>
      <c r="B298" s="85"/>
      <c r="C298" s="85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4"/>
      <c r="O298" s="82"/>
      <c r="P298" s="82"/>
      <c r="Q298" s="82"/>
      <c r="R298" s="63"/>
      <c r="S298" s="63"/>
      <c r="T298" s="63"/>
      <c r="U298" s="63"/>
      <c r="V298" s="63"/>
      <c r="W298" s="63"/>
      <c r="X298" s="63"/>
      <c r="Y298" s="82"/>
      <c r="Z298" s="82"/>
      <c r="AA298" s="82"/>
      <c r="AB298" s="82"/>
      <c r="AC298" s="82"/>
      <c r="AD298" s="82"/>
      <c r="AE298" s="82"/>
      <c r="AF298" s="63" t="str">
        <f t="shared" si="1"/>
        <v/>
      </c>
      <c r="AG298" s="82"/>
      <c r="AH298" s="82"/>
      <c r="AI298" s="82"/>
      <c r="AJ298" s="82"/>
      <c r="AK298" s="82"/>
      <c r="AL298" s="82"/>
      <c r="AM298" s="82"/>
      <c r="AN298" s="82"/>
      <c r="AO298" s="82"/>
      <c r="AP298" s="82"/>
      <c r="AQ298" s="82"/>
      <c r="AR298" s="82"/>
      <c r="AS298" s="82"/>
      <c r="AT298" s="82"/>
      <c r="AU298" s="82"/>
      <c r="AV298" s="82"/>
      <c r="AW298" s="82"/>
      <c r="AX298" s="82"/>
      <c r="AY298" s="82"/>
      <c r="AZ298" s="82"/>
      <c r="BA298" s="82"/>
      <c r="BB298" s="82"/>
      <c r="BC298" s="82"/>
      <c r="BD298" s="82"/>
      <c r="BE298" s="82"/>
      <c r="BF298" s="82"/>
      <c r="BG298" s="82"/>
      <c r="BH298" s="82"/>
      <c r="BI298" s="82"/>
      <c r="BJ298" s="82"/>
      <c r="BK298" s="82"/>
      <c r="BL298" s="82"/>
      <c r="BM298" s="82"/>
      <c r="BN298" s="82"/>
      <c r="BO298" s="82"/>
      <c r="BP298" s="82"/>
      <c r="BQ298" s="63"/>
      <c r="BR298" s="82"/>
      <c r="BS298" s="82"/>
      <c r="BT298" s="82"/>
      <c r="BU298" s="4"/>
    </row>
    <row r="299" spans="1:73" ht="12.75" x14ac:dyDescent="0.2">
      <c r="A299" s="1"/>
      <c r="B299" s="85"/>
      <c r="C299" s="85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4"/>
      <c r="O299" s="82"/>
      <c r="P299" s="82"/>
      <c r="Q299" s="82"/>
      <c r="R299" s="63"/>
      <c r="S299" s="63"/>
      <c r="T299" s="63"/>
      <c r="U299" s="63"/>
      <c r="V299" s="63"/>
      <c r="W299" s="63"/>
      <c r="X299" s="63"/>
      <c r="Y299" s="82"/>
      <c r="Z299" s="82"/>
      <c r="AA299" s="82"/>
      <c r="AB299" s="82"/>
      <c r="AC299" s="82"/>
      <c r="AD299" s="82"/>
      <c r="AE299" s="82"/>
      <c r="AF299" s="63" t="str">
        <f t="shared" si="1"/>
        <v/>
      </c>
      <c r="AG299" s="82"/>
      <c r="AH299" s="82"/>
      <c r="AI299" s="82"/>
      <c r="AJ299" s="82"/>
      <c r="AK299" s="82"/>
      <c r="AL299" s="82"/>
      <c r="AM299" s="82"/>
      <c r="AN299" s="82"/>
      <c r="AO299" s="82"/>
      <c r="AP299" s="82"/>
      <c r="AQ299" s="82"/>
      <c r="AR299" s="82"/>
      <c r="AS299" s="82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  <c r="BF299" s="82"/>
      <c r="BG299" s="82"/>
      <c r="BH299" s="82"/>
      <c r="BI299" s="82"/>
      <c r="BJ299" s="82"/>
      <c r="BK299" s="82"/>
      <c r="BL299" s="82"/>
      <c r="BM299" s="82"/>
      <c r="BN299" s="82"/>
      <c r="BO299" s="82"/>
      <c r="BP299" s="82"/>
      <c r="BQ299" s="63"/>
      <c r="BR299" s="82"/>
      <c r="BS299" s="82"/>
      <c r="BT299" s="82"/>
      <c r="BU299" s="4"/>
    </row>
    <row r="300" spans="1:73" ht="12.75" x14ac:dyDescent="0.2">
      <c r="A300" s="1"/>
      <c r="B300" s="85"/>
      <c r="C300" s="85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4"/>
      <c r="O300" s="82"/>
      <c r="P300" s="82"/>
      <c r="Q300" s="82"/>
      <c r="R300" s="63"/>
      <c r="S300" s="63"/>
      <c r="T300" s="63"/>
      <c r="U300" s="63"/>
      <c r="V300" s="63"/>
      <c r="W300" s="63"/>
      <c r="X300" s="63"/>
      <c r="Y300" s="82"/>
      <c r="Z300" s="82"/>
      <c r="AA300" s="82"/>
      <c r="AB300" s="82"/>
      <c r="AC300" s="82"/>
      <c r="AD300" s="82"/>
      <c r="AE300" s="82"/>
      <c r="AF300" s="63" t="str">
        <f t="shared" si="1"/>
        <v/>
      </c>
      <c r="AG300" s="82"/>
      <c r="AH300" s="82"/>
      <c r="AI300" s="82"/>
      <c r="AJ300" s="82"/>
      <c r="AK300" s="82"/>
      <c r="AL300" s="82"/>
      <c r="AM300" s="82"/>
      <c r="AN300" s="82"/>
      <c r="AO300" s="82"/>
      <c r="AP300" s="82"/>
      <c r="AQ300" s="82"/>
      <c r="AR300" s="82"/>
      <c r="AS300" s="82"/>
      <c r="AT300" s="82"/>
      <c r="AU300" s="82"/>
      <c r="AV300" s="82"/>
      <c r="AW300" s="82"/>
      <c r="AX300" s="82"/>
      <c r="AY300" s="82"/>
      <c r="AZ300" s="82"/>
      <c r="BA300" s="82"/>
      <c r="BB300" s="82"/>
      <c r="BC300" s="82"/>
      <c r="BD300" s="82"/>
      <c r="BE300" s="82"/>
      <c r="BF300" s="82"/>
      <c r="BG300" s="82"/>
      <c r="BH300" s="82"/>
      <c r="BI300" s="82"/>
      <c r="BJ300" s="82"/>
      <c r="BK300" s="82"/>
      <c r="BL300" s="82"/>
      <c r="BM300" s="82"/>
      <c r="BN300" s="82"/>
      <c r="BO300" s="82"/>
      <c r="BP300" s="82"/>
      <c r="BQ300" s="63"/>
      <c r="BR300" s="82"/>
      <c r="BS300" s="82"/>
      <c r="BT300" s="82"/>
      <c r="BU300" s="4"/>
    </row>
    <row r="301" spans="1:73" ht="12.75" x14ac:dyDescent="0.2">
      <c r="A301" s="1"/>
      <c r="B301" s="85"/>
      <c r="C301" s="85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4"/>
      <c r="O301" s="82"/>
      <c r="P301" s="82"/>
      <c r="Q301" s="82"/>
      <c r="R301" s="63"/>
      <c r="S301" s="63"/>
      <c r="T301" s="63"/>
      <c r="U301" s="63"/>
      <c r="V301" s="63"/>
      <c r="W301" s="63"/>
      <c r="X301" s="63"/>
      <c r="Y301" s="82"/>
      <c r="Z301" s="82"/>
      <c r="AA301" s="82"/>
      <c r="AB301" s="82"/>
      <c r="AC301" s="82"/>
      <c r="AD301" s="82"/>
      <c r="AE301" s="82"/>
      <c r="AF301" s="63" t="str">
        <f t="shared" si="1"/>
        <v/>
      </c>
      <c r="AG301" s="82"/>
      <c r="AH301" s="82"/>
      <c r="AI301" s="82"/>
      <c r="AJ301" s="82"/>
      <c r="AK301" s="82"/>
      <c r="AL301" s="82"/>
      <c r="AM301" s="82"/>
      <c r="AN301" s="82"/>
      <c r="AO301" s="82"/>
      <c r="AP301" s="82"/>
      <c r="AQ301" s="82"/>
      <c r="AR301" s="82"/>
      <c r="AS301" s="82"/>
      <c r="AT301" s="82"/>
      <c r="AU301" s="82"/>
      <c r="AV301" s="82"/>
      <c r="AW301" s="82"/>
      <c r="AX301" s="82"/>
      <c r="AY301" s="82"/>
      <c r="AZ301" s="82"/>
      <c r="BA301" s="82"/>
      <c r="BB301" s="82"/>
      <c r="BC301" s="82"/>
      <c r="BD301" s="82"/>
      <c r="BE301" s="82"/>
      <c r="BF301" s="82"/>
      <c r="BG301" s="82"/>
      <c r="BH301" s="82"/>
      <c r="BI301" s="82"/>
      <c r="BJ301" s="82"/>
      <c r="BK301" s="82"/>
      <c r="BL301" s="82"/>
      <c r="BM301" s="82"/>
      <c r="BN301" s="82"/>
      <c r="BO301" s="82"/>
      <c r="BP301" s="82"/>
      <c r="BQ301" s="63"/>
      <c r="BR301" s="82"/>
      <c r="BS301" s="82"/>
      <c r="BT301" s="82"/>
      <c r="BU301" s="4"/>
    </row>
    <row r="302" spans="1:73" ht="12.75" x14ac:dyDescent="0.2">
      <c r="A302" s="1"/>
      <c r="B302" s="85"/>
      <c r="C302" s="85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4"/>
      <c r="O302" s="82"/>
      <c r="P302" s="82"/>
      <c r="Q302" s="82"/>
      <c r="R302" s="63"/>
      <c r="S302" s="63"/>
      <c r="T302" s="63"/>
      <c r="U302" s="63"/>
      <c r="V302" s="63"/>
      <c r="W302" s="63"/>
      <c r="X302" s="63"/>
      <c r="Y302" s="82"/>
      <c r="Z302" s="82"/>
      <c r="AA302" s="82"/>
      <c r="AB302" s="82"/>
      <c r="AC302" s="82"/>
      <c r="AD302" s="82"/>
      <c r="AE302" s="82"/>
      <c r="AF302" s="63" t="str">
        <f t="shared" si="1"/>
        <v/>
      </c>
      <c r="AG302" s="82"/>
      <c r="AH302" s="82"/>
      <c r="AI302" s="82"/>
      <c r="AJ302" s="82"/>
      <c r="AK302" s="82"/>
      <c r="AL302" s="82"/>
      <c r="AM302" s="82"/>
      <c r="AN302" s="82"/>
      <c r="AO302" s="82"/>
      <c r="AP302" s="82"/>
      <c r="AQ302" s="82"/>
      <c r="AR302" s="82"/>
      <c r="AS302" s="82"/>
      <c r="AT302" s="82"/>
      <c r="AU302" s="82"/>
      <c r="AV302" s="82"/>
      <c r="AW302" s="82"/>
      <c r="AX302" s="82"/>
      <c r="AY302" s="82"/>
      <c r="AZ302" s="82"/>
      <c r="BA302" s="82"/>
      <c r="BB302" s="82"/>
      <c r="BC302" s="82"/>
      <c r="BD302" s="82"/>
      <c r="BE302" s="82"/>
      <c r="BF302" s="82"/>
      <c r="BG302" s="82"/>
      <c r="BH302" s="82"/>
      <c r="BI302" s="82"/>
      <c r="BJ302" s="82"/>
      <c r="BK302" s="82"/>
      <c r="BL302" s="82"/>
      <c r="BM302" s="82"/>
      <c r="BN302" s="82"/>
      <c r="BO302" s="82"/>
      <c r="BP302" s="82"/>
      <c r="BQ302" s="63"/>
      <c r="BR302" s="82"/>
      <c r="BS302" s="82"/>
      <c r="BT302" s="82"/>
      <c r="BU302" s="4"/>
    </row>
    <row r="303" spans="1:73" ht="12.75" x14ac:dyDescent="0.2">
      <c r="A303" s="1"/>
      <c r="B303" s="85"/>
      <c r="C303" s="85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4"/>
      <c r="O303" s="82"/>
      <c r="P303" s="82"/>
      <c r="Q303" s="82"/>
      <c r="R303" s="63"/>
      <c r="S303" s="63"/>
      <c r="T303" s="63"/>
      <c r="U303" s="63"/>
      <c r="V303" s="63"/>
      <c r="W303" s="63"/>
      <c r="X303" s="63"/>
      <c r="Y303" s="82"/>
      <c r="Z303" s="82"/>
      <c r="AA303" s="82"/>
      <c r="AB303" s="82"/>
      <c r="AC303" s="82"/>
      <c r="AD303" s="82"/>
      <c r="AE303" s="82"/>
      <c r="AF303" s="63" t="str">
        <f t="shared" si="1"/>
        <v/>
      </c>
      <c r="AG303" s="82"/>
      <c r="AH303" s="82"/>
      <c r="AI303" s="82"/>
      <c r="AJ303" s="82"/>
      <c r="AK303" s="82"/>
      <c r="AL303" s="82"/>
      <c r="AM303" s="82"/>
      <c r="AN303" s="82"/>
      <c r="AO303" s="82"/>
      <c r="AP303" s="82"/>
      <c r="AQ303" s="82"/>
      <c r="AR303" s="82"/>
      <c r="AS303" s="82"/>
      <c r="AT303" s="82"/>
      <c r="AU303" s="82"/>
      <c r="AV303" s="82"/>
      <c r="AW303" s="82"/>
      <c r="AX303" s="82"/>
      <c r="AY303" s="82"/>
      <c r="AZ303" s="82"/>
      <c r="BA303" s="82"/>
      <c r="BB303" s="82"/>
      <c r="BC303" s="82"/>
      <c r="BD303" s="82"/>
      <c r="BE303" s="82"/>
      <c r="BF303" s="82"/>
      <c r="BG303" s="82"/>
      <c r="BH303" s="82"/>
      <c r="BI303" s="82"/>
      <c r="BJ303" s="82"/>
      <c r="BK303" s="82"/>
      <c r="BL303" s="82"/>
      <c r="BM303" s="82"/>
      <c r="BN303" s="82"/>
      <c r="BO303" s="82"/>
      <c r="BP303" s="82"/>
      <c r="BQ303" s="63"/>
      <c r="BR303" s="82"/>
      <c r="BS303" s="82"/>
      <c r="BT303" s="82"/>
      <c r="BU303" s="4"/>
    </row>
    <row r="304" spans="1:73" ht="12.75" x14ac:dyDescent="0.2">
      <c r="A304" s="1"/>
      <c r="B304" s="85"/>
      <c r="C304" s="85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4"/>
      <c r="O304" s="82"/>
      <c r="P304" s="82"/>
      <c r="Q304" s="82"/>
      <c r="R304" s="63"/>
      <c r="S304" s="63"/>
      <c r="T304" s="63"/>
      <c r="U304" s="63"/>
      <c r="V304" s="63"/>
      <c r="W304" s="63"/>
      <c r="X304" s="63"/>
      <c r="Y304" s="82"/>
      <c r="Z304" s="82"/>
      <c r="AA304" s="82"/>
      <c r="AB304" s="82"/>
      <c r="AC304" s="82"/>
      <c r="AD304" s="82"/>
      <c r="AE304" s="82"/>
      <c r="AF304" s="63" t="str">
        <f t="shared" si="1"/>
        <v/>
      </c>
      <c r="AG304" s="82"/>
      <c r="AH304" s="82"/>
      <c r="AI304" s="82"/>
      <c r="AJ304" s="82"/>
      <c r="AK304" s="82"/>
      <c r="AL304" s="82"/>
      <c r="AM304" s="82"/>
      <c r="AN304" s="82"/>
      <c r="AO304" s="82"/>
      <c r="AP304" s="82"/>
      <c r="AQ304" s="82"/>
      <c r="AR304" s="82"/>
      <c r="AS304" s="82"/>
      <c r="AT304" s="82"/>
      <c r="AU304" s="82"/>
      <c r="AV304" s="82"/>
      <c r="AW304" s="82"/>
      <c r="AX304" s="82"/>
      <c r="AY304" s="82"/>
      <c r="AZ304" s="82"/>
      <c r="BA304" s="82"/>
      <c r="BB304" s="82"/>
      <c r="BC304" s="82"/>
      <c r="BD304" s="82"/>
      <c r="BE304" s="82"/>
      <c r="BF304" s="82"/>
      <c r="BG304" s="82"/>
      <c r="BH304" s="82"/>
      <c r="BI304" s="82"/>
      <c r="BJ304" s="82"/>
      <c r="BK304" s="82"/>
      <c r="BL304" s="82"/>
      <c r="BM304" s="82"/>
      <c r="BN304" s="82"/>
      <c r="BO304" s="82"/>
      <c r="BP304" s="82"/>
      <c r="BQ304" s="63"/>
      <c r="BR304" s="82"/>
      <c r="BS304" s="82"/>
      <c r="BT304" s="82"/>
      <c r="BU304" s="4"/>
    </row>
    <row r="305" spans="1:73" ht="12.75" x14ac:dyDescent="0.2">
      <c r="A305" s="1"/>
      <c r="B305" s="85"/>
      <c r="C305" s="85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4"/>
      <c r="O305" s="82"/>
      <c r="P305" s="82"/>
      <c r="Q305" s="82"/>
      <c r="R305" s="63"/>
      <c r="S305" s="63"/>
      <c r="T305" s="63"/>
      <c r="U305" s="63"/>
      <c r="V305" s="63"/>
      <c r="W305" s="63"/>
      <c r="X305" s="63"/>
      <c r="Y305" s="82"/>
      <c r="Z305" s="82"/>
      <c r="AA305" s="82"/>
      <c r="AB305" s="82"/>
      <c r="AC305" s="82"/>
      <c r="AD305" s="82"/>
      <c r="AE305" s="82"/>
      <c r="AF305" s="63" t="str">
        <f t="shared" si="1"/>
        <v/>
      </c>
      <c r="AG305" s="82"/>
      <c r="AH305" s="82"/>
      <c r="AI305" s="82"/>
      <c r="AJ305" s="82"/>
      <c r="AK305" s="82"/>
      <c r="AL305" s="82"/>
      <c r="AM305" s="82"/>
      <c r="AN305" s="82"/>
      <c r="AO305" s="82"/>
      <c r="AP305" s="82"/>
      <c r="AQ305" s="82"/>
      <c r="AR305" s="82"/>
      <c r="AS305" s="82"/>
      <c r="AT305" s="82"/>
      <c r="AU305" s="82"/>
      <c r="AV305" s="82"/>
      <c r="AW305" s="82"/>
      <c r="AX305" s="82"/>
      <c r="AY305" s="82"/>
      <c r="AZ305" s="82"/>
      <c r="BA305" s="82"/>
      <c r="BB305" s="82"/>
      <c r="BC305" s="82"/>
      <c r="BD305" s="82"/>
      <c r="BE305" s="82"/>
      <c r="BF305" s="82"/>
      <c r="BG305" s="82"/>
      <c r="BH305" s="82"/>
      <c r="BI305" s="82"/>
      <c r="BJ305" s="82"/>
      <c r="BK305" s="82"/>
      <c r="BL305" s="82"/>
      <c r="BM305" s="82"/>
      <c r="BN305" s="82"/>
      <c r="BO305" s="82"/>
      <c r="BP305" s="82"/>
      <c r="BQ305" s="63"/>
      <c r="BR305" s="82"/>
      <c r="BS305" s="82"/>
      <c r="BT305" s="82"/>
      <c r="BU305" s="4"/>
    </row>
    <row r="306" spans="1:73" ht="12.75" x14ac:dyDescent="0.2">
      <c r="A306" s="1"/>
      <c r="B306" s="85"/>
      <c r="C306" s="85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4"/>
      <c r="O306" s="82"/>
      <c r="P306" s="82"/>
      <c r="Q306" s="82"/>
      <c r="R306" s="63"/>
      <c r="S306" s="63"/>
      <c r="T306" s="63"/>
      <c r="U306" s="63"/>
      <c r="V306" s="63"/>
      <c r="W306" s="63"/>
      <c r="X306" s="63"/>
      <c r="Y306" s="82"/>
      <c r="Z306" s="82"/>
      <c r="AA306" s="82"/>
      <c r="AB306" s="82"/>
      <c r="AC306" s="82"/>
      <c r="AD306" s="82"/>
      <c r="AE306" s="82"/>
      <c r="AF306" s="63" t="str">
        <f t="shared" si="1"/>
        <v/>
      </c>
      <c r="AG306" s="82"/>
      <c r="AH306" s="82"/>
      <c r="AI306" s="82"/>
      <c r="AJ306" s="82"/>
      <c r="AK306" s="82"/>
      <c r="AL306" s="82"/>
      <c r="AM306" s="82"/>
      <c r="AN306" s="82"/>
      <c r="AO306" s="82"/>
      <c r="AP306" s="82"/>
      <c r="AQ306" s="82"/>
      <c r="AR306" s="82"/>
      <c r="AS306" s="82"/>
      <c r="AT306" s="82"/>
      <c r="AU306" s="82"/>
      <c r="AV306" s="82"/>
      <c r="AW306" s="82"/>
      <c r="AX306" s="82"/>
      <c r="AY306" s="82"/>
      <c r="AZ306" s="82"/>
      <c r="BA306" s="82"/>
      <c r="BB306" s="82"/>
      <c r="BC306" s="82"/>
      <c r="BD306" s="82"/>
      <c r="BE306" s="82"/>
      <c r="BF306" s="82"/>
      <c r="BG306" s="82"/>
      <c r="BH306" s="82"/>
      <c r="BI306" s="82"/>
      <c r="BJ306" s="82"/>
      <c r="BK306" s="82"/>
      <c r="BL306" s="82"/>
      <c r="BM306" s="82"/>
      <c r="BN306" s="82"/>
      <c r="BO306" s="82"/>
      <c r="BP306" s="82"/>
      <c r="BQ306" s="63"/>
      <c r="BR306" s="82"/>
      <c r="BS306" s="82"/>
      <c r="BT306" s="82"/>
      <c r="BU306" s="4"/>
    </row>
    <row r="307" spans="1:73" ht="12.75" x14ac:dyDescent="0.2">
      <c r="A307" s="1"/>
      <c r="B307" s="85"/>
      <c r="C307" s="85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4"/>
      <c r="O307" s="82"/>
      <c r="P307" s="82"/>
      <c r="Q307" s="82"/>
      <c r="R307" s="63"/>
      <c r="S307" s="63"/>
      <c r="T307" s="63"/>
      <c r="U307" s="63"/>
      <c r="V307" s="63"/>
      <c r="W307" s="63"/>
      <c r="X307" s="63"/>
      <c r="Y307" s="82"/>
      <c r="Z307" s="82"/>
      <c r="AA307" s="82"/>
      <c r="AB307" s="82"/>
      <c r="AC307" s="82"/>
      <c r="AD307" s="82"/>
      <c r="AE307" s="82"/>
      <c r="AF307" s="63" t="str">
        <f t="shared" si="1"/>
        <v/>
      </c>
      <c r="AG307" s="82"/>
      <c r="AH307" s="82"/>
      <c r="AI307" s="82"/>
      <c r="AJ307" s="82"/>
      <c r="AK307" s="82"/>
      <c r="AL307" s="82"/>
      <c r="AM307" s="82"/>
      <c r="AN307" s="82"/>
      <c r="AO307" s="82"/>
      <c r="AP307" s="82"/>
      <c r="AQ307" s="82"/>
      <c r="AR307" s="82"/>
      <c r="AS307" s="82"/>
      <c r="AT307" s="82"/>
      <c r="AU307" s="82"/>
      <c r="AV307" s="82"/>
      <c r="AW307" s="82"/>
      <c r="AX307" s="82"/>
      <c r="AY307" s="82"/>
      <c r="AZ307" s="82"/>
      <c r="BA307" s="82"/>
      <c r="BB307" s="82"/>
      <c r="BC307" s="82"/>
      <c r="BD307" s="82"/>
      <c r="BE307" s="82"/>
      <c r="BF307" s="82"/>
      <c r="BG307" s="82"/>
      <c r="BH307" s="82"/>
      <c r="BI307" s="82"/>
      <c r="BJ307" s="82"/>
      <c r="BK307" s="82"/>
      <c r="BL307" s="82"/>
      <c r="BM307" s="82"/>
      <c r="BN307" s="82"/>
      <c r="BO307" s="82"/>
      <c r="BP307" s="82"/>
      <c r="BQ307" s="63"/>
      <c r="BR307" s="82"/>
      <c r="BS307" s="82"/>
      <c r="BT307" s="82"/>
      <c r="BU307" s="4"/>
    </row>
    <row r="308" spans="1:73" ht="12.75" x14ac:dyDescent="0.2">
      <c r="A308" s="1"/>
      <c r="B308" s="85"/>
      <c r="C308" s="85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4"/>
      <c r="O308" s="82"/>
      <c r="P308" s="82"/>
      <c r="Q308" s="82"/>
      <c r="R308" s="63"/>
      <c r="S308" s="63"/>
      <c r="T308" s="63"/>
      <c r="U308" s="63"/>
      <c r="V308" s="63"/>
      <c r="W308" s="63"/>
      <c r="X308" s="63"/>
      <c r="Y308" s="82"/>
      <c r="Z308" s="82"/>
      <c r="AA308" s="82"/>
      <c r="AB308" s="82"/>
      <c r="AC308" s="82"/>
      <c r="AD308" s="82"/>
      <c r="AE308" s="82"/>
      <c r="AF308" s="63" t="str">
        <f t="shared" si="1"/>
        <v/>
      </c>
      <c r="AG308" s="82"/>
      <c r="AH308" s="82"/>
      <c r="AI308" s="82"/>
      <c r="AJ308" s="82"/>
      <c r="AK308" s="82"/>
      <c r="AL308" s="82"/>
      <c r="AM308" s="82"/>
      <c r="AN308" s="82"/>
      <c r="AO308" s="82"/>
      <c r="AP308" s="82"/>
      <c r="AQ308" s="82"/>
      <c r="AR308" s="82"/>
      <c r="AS308" s="82"/>
      <c r="AT308" s="82"/>
      <c r="AU308" s="82"/>
      <c r="AV308" s="82"/>
      <c r="AW308" s="82"/>
      <c r="AX308" s="82"/>
      <c r="AY308" s="82"/>
      <c r="AZ308" s="82"/>
      <c r="BA308" s="82"/>
      <c r="BB308" s="82"/>
      <c r="BC308" s="82"/>
      <c r="BD308" s="82"/>
      <c r="BE308" s="82"/>
      <c r="BF308" s="82"/>
      <c r="BG308" s="82"/>
      <c r="BH308" s="82"/>
      <c r="BI308" s="82"/>
      <c r="BJ308" s="82"/>
      <c r="BK308" s="82"/>
      <c r="BL308" s="82"/>
      <c r="BM308" s="82"/>
      <c r="BN308" s="82"/>
      <c r="BO308" s="82"/>
      <c r="BP308" s="82"/>
      <c r="BQ308" s="63"/>
      <c r="BR308" s="82"/>
      <c r="BS308" s="82"/>
      <c r="BT308" s="82"/>
      <c r="BU308" s="4"/>
    </row>
    <row r="309" spans="1:73" ht="12.75" x14ac:dyDescent="0.2">
      <c r="A309" s="1"/>
      <c r="B309" s="85"/>
      <c r="C309" s="85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4"/>
      <c r="O309" s="82"/>
      <c r="P309" s="82"/>
      <c r="Q309" s="82"/>
      <c r="R309" s="63"/>
      <c r="S309" s="63"/>
      <c r="T309" s="63"/>
      <c r="U309" s="63"/>
      <c r="V309" s="63"/>
      <c r="W309" s="63"/>
      <c r="X309" s="63"/>
      <c r="Y309" s="82"/>
      <c r="Z309" s="82"/>
      <c r="AA309" s="82"/>
      <c r="AB309" s="82"/>
      <c r="AC309" s="82"/>
      <c r="AD309" s="82"/>
      <c r="AE309" s="82"/>
      <c r="AF309" s="63" t="str">
        <f t="shared" si="1"/>
        <v/>
      </c>
      <c r="AG309" s="82"/>
      <c r="AH309" s="82"/>
      <c r="AI309" s="82"/>
      <c r="AJ309" s="82"/>
      <c r="AK309" s="82"/>
      <c r="AL309" s="82"/>
      <c r="AM309" s="82"/>
      <c r="AN309" s="82"/>
      <c r="AO309" s="82"/>
      <c r="AP309" s="82"/>
      <c r="AQ309" s="82"/>
      <c r="AR309" s="82"/>
      <c r="AS309" s="82"/>
      <c r="AT309" s="82"/>
      <c r="AU309" s="82"/>
      <c r="AV309" s="82"/>
      <c r="AW309" s="82"/>
      <c r="AX309" s="82"/>
      <c r="AY309" s="82"/>
      <c r="AZ309" s="82"/>
      <c r="BA309" s="82"/>
      <c r="BB309" s="82"/>
      <c r="BC309" s="82"/>
      <c r="BD309" s="82"/>
      <c r="BE309" s="82"/>
      <c r="BF309" s="82"/>
      <c r="BG309" s="82"/>
      <c r="BH309" s="82"/>
      <c r="BI309" s="82"/>
      <c r="BJ309" s="82"/>
      <c r="BK309" s="82"/>
      <c r="BL309" s="82"/>
      <c r="BM309" s="82"/>
      <c r="BN309" s="82"/>
      <c r="BO309" s="82"/>
      <c r="BP309" s="82"/>
      <c r="BQ309" s="63"/>
      <c r="BR309" s="82"/>
      <c r="BS309" s="82"/>
      <c r="BT309" s="82"/>
      <c r="BU309" s="4"/>
    </row>
    <row r="310" spans="1:73" ht="12.75" x14ac:dyDescent="0.2">
      <c r="A310" s="1"/>
      <c r="B310" s="85"/>
      <c r="C310" s="85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4"/>
      <c r="O310" s="82"/>
      <c r="P310" s="82"/>
      <c r="Q310" s="82"/>
      <c r="R310" s="63"/>
      <c r="S310" s="63"/>
      <c r="T310" s="63"/>
      <c r="U310" s="63"/>
      <c r="V310" s="63"/>
      <c r="W310" s="63"/>
      <c r="X310" s="63"/>
      <c r="Y310" s="82"/>
      <c r="Z310" s="82"/>
      <c r="AA310" s="82"/>
      <c r="AB310" s="82"/>
      <c r="AC310" s="82"/>
      <c r="AD310" s="82"/>
      <c r="AE310" s="82"/>
      <c r="AF310" s="63" t="str">
        <f t="shared" si="1"/>
        <v/>
      </c>
      <c r="AG310" s="82"/>
      <c r="AH310" s="82"/>
      <c r="AI310" s="82"/>
      <c r="AJ310" s="82"/>
      <c r="AK310" s="82"/>
      <c r="AL310" s="82"/>
      <c r="AM310" s="82"/>
      <c r="AN310" s="82"/>
      <c r="AO310" s="82"/>
      <c r="AP310" s="82"/>
      <c r="AQ310" s="82"/>
      <c r="AR310" s="82"/>
      <c r="AS310" s="82"/>
      <c r="AT310" s="82"/>
      <c r="AU310" s="82"/>
      <c r="AV310" s="82"/>
      <c r="AW310" s="82"/>
      <c r="AX310" s="82"/>
      <c r="AY310" s="82"/>
      <c r="AZ310" s="82"/>
      <c r="BA310" s="82"/>
      <c r="BB310" s="82"/>
      <c r="BC310" s="82"/>
      <c r="BD310" s="82"/>
      <c r="BE310" s="82"/>
      <c r="BF310" s="82"/>
      <c r="BG310" s="82"/>
      <c r="BH310" s="82"/>
      <c r="BI310" s="82"/>
      <c r="BJ310" s="82"/>
      <c r="BK310" s="82"/>
      <c r="BL310" s="82"/>
      <c r="BM310" s="82"/>
      <c r="BN310" s="82"/>
      <c r="BO310" s="82"/>
      <c r="BP310" s="82"/>
      <c r="BQ310" s="63"/>
      <c r="BR310" s="82"/>
      <c r="BS310" s="82"/>
      <c r="BT310" s="82"/>
      <c r="BU310" s="4"/>
    </row>
    <row r="311" spans="1:73" ht="12.75" x14ac:dyDescent="0.2">
      <c r="A311" s="1"/>
      <c r="B311" s="85"/>
      <c r="C311" s="85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4"/>
      <c r="O311" s="82"/>
      <c r="P311" s="82"/>
      <c r="Q311" s="82"/>
      <c r="R311" s="63"/>
      <c r="S311" s="63"/>
      <c r="T311" s="63"/>
      <c r="U311" s="63"/>
      <c r="V311" s="63"/>
      <c r="W311" s="63"/>
      <c r="X311" s="63"/>
      <c r="Y311" s="82"/>
      <c r="Z311" s="82"/>
      <c r="AA311" s="82"/>
      <c r="AB311" s="82"/>
      <c r="AC311" s="82"/>
      <c r="AD311" s="82"/>
      <c r="AE311" s="82"/>
      <c r="AF311" s="63" t="str">
        <f t="shared" si="1"/>
        <v/>
      </c>
      <c r="AG311" s="82"/>
      <c r="AH311" s="82"/>
      <c r="AI311" s="82"/>
      <c r="AJ311" s="82"/>
      <c r="AK311" s="82"/>
      <c r="AL311" s="82"/>
      <c r="AM311" s="82"/>
      <c r="AN311" s="82"/>
      <c r="AO311" s="82"/>
      <c r="AP311" s="82"/>
      <c r="AQ311" s="82"/>
      <c r="AR311" s="82"/>
      <c r="AS311" s="82"/>
      <c r="AT311" s="82"/>
      <c r="AU311" s="82"/>
      <c r="AV311" s="82"/>
      <c r="AW311" s="82"/>
      <c r="AX311" s="82"/>
      <c r="AY311" s="82"/>
      <c r="AZ311" s="82"/>
      <c r="BA311" s="82"/>
      <c r="BB311" s="82"/>
      <c r="BC311" s="82"/>
      <c r="BD311" s="82"/>
      <c r="BE311" s="82"/>
      <c r="BF311" s="82"/>
      <c r="BG311" s="82"/>
      <c r="BH311" s="82"/>
      <c r="BI311" s="82"/>
      <c r="BJ311" s="82"/>
      <c r="BK311" s="82"/>
      <c r="BL311" s="82"/>
      <c r="BM311" s="82"/>
      <c r="BN311" s="82"/>
      <c r="BO311" s="82"/>
      <c r="BP311" s="82"/>
      <c r="BQ311" s="63"/>
      <c r="BR311" s="82"/>
      <c r="BS311" s="82"/>
      <c r="BT311" s="82"/>
      <c r="BU311" s="4"/>
    </row>
    <row r="312" spans="1:73" ht="12.75" x14ac:dyDescent="0.2">
      <c r="A312" s="1"/>
      <c r="B312" s="85"/>
      <c r="C312" s="85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4"/>
      <c r="O312" s="82"/>
      <c r="P312" s="82"/>
      <c r="Q312" s="82"/>
      <c r="R312" s="63"/>
      <c r="S312" s="63"/>
      <c r="T312" s="63"/>
      <c r="U312" s="63"/>
      <c r="V312" s="63"/>
      <c r="W312" s="63"/>
      <c r="X312" s="63"/>
      <c r="Y312" s="82"/>
      <c r="Z312" s="82"/>
      <c r="AA312" s="82"/>
      <c r="AB312" s="82"/>
      <c r="AC312" s="82"/>
      <c r="AD312" s="82"/>
      <c r="AE312" s="82"/>
      <c r="AF312" s="63" t="str">
        <f t="shared" si="1"/>
        <v/>
      </c>
      <c r="AG312" s="82"/>
      <c r="AH312" s="82"/>
      <c r="AI312" s="82"/>
      <c r="AJ312" s="82"/>
      <c r="AK312" s="82"/>
      <c r="AL312" s="82"/>
      <c r="AM312" s="82"/>
      <c r="AN312" s="82"/>
      <c r="AO312" s="82"/>
      <c r="AP312" s="82"/>
      <c r="AQ312" s="82"/>
      <c r="AR312" s="82"/>
      <c r="AS312" s="82"/>
      <c r="AT312" s="82"/>
      <c r="AU312" s="82"/>
      <c r="AV312" s="82"/>
      <c r="AW312" s="82"/>
      <c r="AX312" s="82"/>
      <c r="AY312" s="82"/>
      <c r="AZ312" s="82"/>
      <c r="BA312" s="82"/>
      <c r="BB312" s="82"/>
      <c r="BC312" s="82"/>
      <c r="BD312" s="82"/>
      <c r="BE312" s="82"/>
      <c r="BF312" s="82"/>
      <c r="BG312" s="82"/>
      <c r="BH312" s="82"/>
      <c r="BI312" s="82"/>
      <c r="BJ312" s="82"/>
      <c r="BK312" s="82"/>
      <c r="BL312" s="82"/>
      <c r="BM312" s="82"/>
      <c r="BN312" s="82"/>
      <c r="BO312" s="82"/>
      <c r="BP312" s="82"/>
      <c r="BQ312" s="63"/>
      <c r="BR312" s="82"/>
      <c r="BS312" s="82"/>
      <c r="BT312" s="82"/>
      <c r="BU312" s="4"/>
    </row>
    <row r="313" spans="1:73" ht="12.75" x14ac:dyDescent="0.2">
      <c r="A313" s="1"/>
      <c r="B313" s="85"/>
      <c r="C313" s="85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4"/>
      <c r="O313" s="82"/>
      <c r="P313" s="82"/>
      <c r="Q313" s="82"/>
      <c r="R313" s="63"/>
      <c r="S313" s="63"/>
      <c r="T313" s="63"/>
      <c r="U313" s="63"/>
      <c r="V313" s="63"/>
      <c r="W313" s="63"/>
      <c r="X313" s="63"/>
      <c r="Y313" s="82"/>
      <c r="Z313" s="82"/>
      <c r="AA313" s="82"/>
      <c r="AB313" s="82"/>
      <c r="AC313" s="82"/>
      <c r="AD313" s="82"/>
      <c r="AE313" s="82"/>
      <c r="AF313" s="63" t="str">
        <f t="shared" si="1"/>
        <v/>
      </c>
      <c r="AG313" s="82"/>
      <c r="AH313" s="82"/>
      <c r="AI313" s="82"/>
      <c r="AJ313" s="82"/>
      <c r="AK313" s="82"/>
      <c r="AL313" s="82"/>
      <c r="AM313" s="82"/>
      <c r="AN313" s="82"/>
      <c r="AO313" s="82"/>
      <c r="AP313" s="82"/>
      <c r="AQ313" s="82"/>
      <c r="AR313" s="82"/>
      <c r="AS313" s="82"/>
      <c r="AT313" s="82"/>
      <c r="AU313" s="82"/>
      <c r="AV313" s="82"/>
      <c r="AW313" s="82"/>
      <c r="AX313" s="82"/>
      <c r="AY313" s="82"/>
      <c r="AZ313" s="82"/>
      <c r="BA313" s="82"/>
      <c r="BB313" s="82"/>
      <c r="BC313" s="82"/>
      <c r="BD313" s="82"/>
      <c r="BE313" s="82"/>
      <c r="BF313" s="82"/>
      <c r="BG313" s="82"/>
      <c r="BH313" s="82"/>
      <c r="BI313" s="82"/>
      <c r="BJ313" s="82"/>
      <c r="BK313" s="82"/>
      <c r="BL313" s="82"/>
      <c r="BM313" s="82"/>
      <c r="BN313" s="82"/>
      <c r="BO313" s="82"/>
      <c r="BP313" s="82"/>
      <c r="BQ313" s="63"/>
      <c r="BR313" s="82"/>
      <c r="BS313" s="82"/>
      <c r="BT313" s="82"/>
      <c r="BU313" s="4"/>
    </row>
    <row r="314" spans="1:73" ht="12.75" x14ac:dyDescent="0.2">
      <c r="A314" s="1"/>
      <c r="B314" s="85"/>
      <c r="C314" s="85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4"/>
      <c r="O314" s="82"/>
      <c r="P314" s="82"/>
      <c r="Q314" s="82"/>
      <c r="R314" s="63"/>
      <c r="S314" s="63"/>
      <c r="T314" s="63"/>
      <c r="U314" s="63"/>
      <c r="V314" s="63"/>
      <c r="W314" s="63"/>
      <c r="X314" s="63"/>
      <c r="Y314" s="82"/>
      <c r="Z314" s="82"/>
      <c r="AA314" s="82"/>
      <c r="AB314" s="82"/>
      <c r="AC314" s="82"/>
      <c r="AD314" s="82"/>
      <c r="AE314" s="82"/>
      <c r="AF314" s="63" t="str">
        <f t="shared" si="1"/>
        <v/>
      </c>
      <c r="AG314" s="82"/>
      <c r="AH314" s="82"/>
      <c r="AI314" s="82"/>
      <c r="AJ314" s="82"/>
      <c r="AK314" s="82"/>
      <c r="AL314" s="82"/>
      <c r="AM314" s="82"/>
      <c r="AN314" s="82"/>
      <c r="AO314" s="82"/>
      <c r="AP314" s="82"/>
      <c r="AQ314" s="82"/>
      <c r="AR314" s="82"/>
      <c r="AS314" s="82"/>
      <c r="AT314" s="82"/>
      <c r="AU314" s="82"/>
      <c r="AV314" s="82"/>
      <c r="AW314" s="82"/>
      <c r="AX314" s="82"/>
      <c r="AY314" s="82"/>
      <c r="AZ314" s="82"/>
      <c r="BA314" s="82"/>
      <c r="BB314" s="82"/>
      <c r="BC314" s="82"/>
      <c r="BD314" s="82"/>
      <c r="BE314" s="82"/>
      <c r="BF314" s="82"/>
      <c r="BG314" s="82"/>
      <c r="BH314" s="82"/>
      <c r="BI314" s="82"/>
      <c r="BJ314" s="82"/>
      <c r="BK314" s="82"/>
      <c r="BL314" s="82"/>
      <c r="BM314" s="82"/>
      <c r="BN314" s="82"/>
      <c r="BO314" s="82"/>
      <c r="BP314" s="82"/>
      <c r="BQ314" s="63"/>
      <c r="BR314" s="82"/>
      <c r="BS314" s="82"/>
      <c r="BT314" s="82"/>
      <c r="BU314" s="4"/>
    </row>
    <row r="315" spans="1:73" ht="12.75" x14ac:dyDescent="0.2">
      <c r="A315" s="1"/>
      <c r="B315" s="85"/>
      <c r="C315" s="85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4"/>
      <c r="O315" s="82"/>
      <c r="P315" s="82"/>
      <c r="Q315" s="82"/>
      <c r="R315" s="63"/>
      <c r="S315" s="63"/>
      <c r="T315" s="63"/>
      <c r="U315" s="63"/>
      <c r="V315" s="63"/>
      <c r="W315" s="63"/>
      <c r="X315" s="63"/>
      <c r="Y315" s="82"/>
      <c r="Z315" s="82"/>
      <c r="AA315" s="82"/>
      <c r="AB315" s="82"/>
      <c r="AC315" s="82"/>
      <c r="AD315" s="82"/>
      <c r="AE315" s="82"/>
      <c r="AF315" s="63" t="str">
        <f t="shared" si="1"/>
        <v/>
      </c>
      <c r="AG315" s="82"/>
      <c r="AH315" s="82"/>
      <c r="AI315" s="82"/>
      <c r="AJ315" s="82"/>
      <c r="AK315" s="82"/>
      <c r="AL315" s="82"/>
      <c r="AM315" s="82"/>
      <c r="AN315" s="82"/>
      <c r="AO315" s="82"/>
      <c r="AP315" s="82"/>
      <c r="AQ315" s="82"/>
      <c r="AR315" s="82"/>
      <c r="AS315" s="82"/>
      <c r="AT315" s="82"/>
      <c r="AU315" s="82"/>
      <c r="AV315" s="82"/>
      <c r="AW315" s="82"/>
      <c r="AX315" s="82"/>
      <c r="AY315" s="82"/>
      <c r="AZ315" s="82"/>
      <c r="BA315" s="82"/>
      <c r="BB315" s="82"/>
      <c r="BC315" s="82"/>
      <c r="BD315" s="82"/>
      <c r="BE315" s="82"/>
      <c r="BF315" s="82"/>
      <c r="BG315" s="82"/>
      <c r="BH315" s="82"/>
      <c r="BI315" s="82"/>
      <c r="BJ315" s="82"/>
      <c r="BK315" s="82"/>
      <c r="BL315" s="82"/>
      <c r="BM315" s="82"/>
      <c r="BN315" s="82"/>
      <c r="BO315" s="82"/>
      <c r="BP315" s="82"/>
      <c r="BQ315" s="63"/>
      <c r="BR315" s="82"/>
      <c r="BS315" s="82"/>
      <c r="BT315" s="82"/>
      <c r="BU315" s="4"/>
    </row>
    <row r="316" spans="1:73" ht="12.75" x14ac:dyDescent="0.2">
      <c r="A316" s="1"/>
      <c r="B316" s="85"/>
      <c r="C316" s="85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4"/>
      <c r="O316" s="82"/>
      <c r="P316" s="82"/>
      <c r="Q316" s="82"/>
      <c r="R316" s="63"/>
      <c r="S316" s="63"/>
      <c r="T316" s="63"/>
      <c r="U316" s="63"/>
      <c r="V316" s="63"/>
      <c r="W316" s="63"/>
      <c r="X316" s="63"/>
      <c r="Y316" s="82"/>
      <c r="Z316" s="82"/>
      <c r="AA316" s="82"/>
      <c r="AB316" s="82"/>
      <c r="AC316" s="82"/>
      <c r="AD316" s="82"/>
      <c r="AE316" s="82"/>
      <c r="AF316" s="63" t="str">
        <f t="shared" si="1"/>
        <v/>
      </c>
      <c r="AG316" s="82"/>
      <c r="AH316" s="82"/>
      <c r="AI316" s="82"/>
      <c r="AJ316" s="82"/>
      <c r="AK316" s="82"/>
      <c r="AL316" s="82"/>
      <c r="AM316" s="82"/>
      <c r="AN316" s="82"/>
      <c r="AO316" s="82"/>
      <c r="AP316" s="82"/>
      <c r="AQ316" s="82"/>
      <c r="AR316" s="82"/>
      <c r="AS316" s="82"/>
      <c r="AT316" s="82"/>
      <c r="AU316" s="82"/>
      <c r="AV316" s="82"/>
      <c r="AW316" s="82"/>
      <c r="AX316" s="82"/>
      <c r="AY316" s="82"/>
      <c r="AZ316" s="82"/>
      <c r="BA316" s="82"/>
      <c r="BB316" s="82"/>
      <c r="BC316" s="82"/>
      <c r="BD316" s="82"/>
      <c r="BE316" s="82"/>
      <c r="BF316" s="82"/>
      <c r="BG316" s="82"/>
      <c r="BH316" s="82"/>
      <c r="BI316" s="82"/>
      <c r="BJ316" s="82"/>
      <c r="BK316" s="82"/>
      <c r="BL316" s="82"/>
      <c r="BM316" s="82"/>
      <c r="BN316" s="82"/>
      <c r="BO316" s="82"/>
      <c r="BP316" s="82"/>
      <c r="BQ316" s="63"/>
      <c r="BR316" s="82"/>
      <c r="BS316" s="82"/>
      <c r="BT316" s="82"/>
      <c r="BU316" s="4"/>
    </row>
    <row r="317" spans="1:73" ht="12.75" x14ac:dyDescent="0.2">
      <c r="A317" s="1"/>
      <c r="B317" s="85"/>
      <c r="C317" s="85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4"/>
      <c r="O317" s="82"/>
      <c r="P317" s="82"/>
      <c r="Q317" s="82"/>
      <c r="R317" s="63"/>
      <c r="S317" s="63"/>
      <c r="T317" s="63"/>
      <c r="U317" s="63"/>
      <c r="V317" s="63"/>
      <c r="W317" s="63"/>
      <c r="X317" s="63"/>
      <c r="Y317" s="82"/>
      <c r="Z317" s="82"/>
      <c r="AA317" s="82"/>
      <c r="AB317" s="82"/>
      <c r="AC317" s="82"/>
      <c r="AD317" s="82"/>
      <c r="AE317" s="82"/>
      <c r="AF317" s="63" t="str">
        <f t="shared" si="1"/>
        <v/>
      </c>
      <c r="AG317" s="82"/>
      <c r="AH317" s="82"/>
      <c r="AI317" s="82"/>
      <c r="AJ317" s="82"/>
      <c r="AK317" s="82"/>
      <c r="AL317" s="82"/>
      <c r="AM317" s="82"/>
      <c r="AN317" s="82"/>
      <c r="AO317" s="82"/>
      <c r="AP317" s="82"/>
      <c r="AQ317" s="82"/>
      <c r="AR317" s="82"/>
      <c r="AS317" s="82"/>
      <c r="AT317" s="82"/>
      <c r="AU317" s="82"/>
      <c r="AV317" s="82"/>
      <c r="AW317" s="82"/>
      <c r="AX317" s="82"/>
      <c r="AY317" s="82"/>
      <c r="AZ317" s="82"/>
      <c r="BA317" s="82"/>
      <c r="BB317" s="82"/>
      <c r="BC317" s="82"/>
      <c r="BD317" s="82"/>
      <c r="BE317" s="82"/>
      <c r="BF317" s="82"/>
      <c r="BG317" s="82"/>
      <c r="BH317" s="82"/>
      <c r="BI317" s="82"/>
      <c r="BJ317" s="82"/>
      <c r="BK317" s="82"/>
      <c r="BL317" s="82"/>
      <c r="BM317" s="82"/>
      <c r="BN317" s="82"/>
      <c r="BO317" s="82"/>
      <c r="BP317" s="82"/>
      <c r="BQ317" s="63"/>
      <c r="BR317" s="82"/>
      <c r="BS317" s="82"/>
      <c r="BT317" s="82"/>
      <c r="BU317" s="4"/>
    </row>
    <row r="318" spans="1:73" ht="12.75" x14ac:dyDescent="0.2">
      <c r="A318" s="1"/>
      <c r="B318" s="85"/>
      <c r="C318" s="85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4"/>
      <c r="O318" s="82"/>
      <c r="P318" s="82"/>
      <c r="Q318" s="82"/>
      <c r="R318" s="63"/>
      <c r="S318" s="63"/>
      <c r="T318" s="63"/>
      <c r="U318" s="63"/>
      <c r="V318" s="63"/>
      <c r="W318" s="63"/>
      <c r="X318" s="63"/>
      <c r="Y318" s="82"/>
      <c r="Z318" s="82"/>
      <c r="AA318" s="82"/>
      <c r="AB318" s="82"/>
      <c r="AC318" s="82"/>
      <c r="AD318" s="82"/>
      <c r="AE318" s="82"/>
      <c r="AF318" s="63" t="str">
        <f t="shared" si="1"/>
        <v/>
      </c>
      <c r="AG318" s="82"/>
      <c r="AH318" s="82"/>
      <c r="AI318" s="82"/>
      <c r="AJ318" s="82"/>
      <c r="AK318" s="82"/>
      <c r="AL318" s="82"/>
      <c r="AM318" s="82"/>
      <c r="AN318" s="82"/>
      <c r="AO318" s="82"/>
      <c r="AP318" s="82"/>
      <c r="AQ318" s="82"/>
      <c r="AR318" s="82"/>
      <c r="AS318" s="82"/>
      <c r="AT318" s="82"/>
      <c r="AU318" s="82"/>
      <c r="AV318" s="82"/>
      <c r="AW318" s="82"/>
      <c r="AX318" s="82"/>
      <c r="AY318" s="82"/>
      <c r="AZ318" s="82"/>
      <c r="BA318" s="82"/>
      <c r="BB318" s="82"/>
      <c r="BC318" s="82"/>
      <c r="BD318" s="82"/>
      <c r="BE318" s="82"/>
      <c r="BF318" s="82"/>
      <c r="BG318" s="82"/>
      <c r="BH318" s="82"/>
      <c r="BI318" s="82"/>
      <c r="BJ318" s="82"/>
      <c r="BK318" s="82"/>
      <c r="BL318" s="82"/>
      <c r="BM318" s="82"/>
      <c r="BN318" s="82"/>
      <c r="BO318" s="82"/>
      <c r="BP318" s="82"/>
      <c r="BQ318" s="63"/>
      <c r="BR318" s="82"/>
      <c r="BS318" s="82"/>
      <c r="BT318" s="82"/>
      <c r="BU318" s="4"/>
    </row>
    <row r="319" spans="1:73" ht="12.75" x14ac:dyDescent="0.2">
      <c r="A319" s="1"/>
      <c r="B319" s="85"/>
      <c r="C319" s="85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4"/>
      <c r="O319" s="82"/>
      <c r="P319" s="82"/>
      <c r="Q319" s="82"/>
      <c r="R319" s="63"/>
      <c r="S319" s="63"/>
      <c r="T319" s="63"/>
      <c r="U319" s="63"/>
      <c r="V319" s="63"/>
      <c r="W319" s="63"/>
      <c r="X319" s="63"/>
      <c r="Y319" s="82"/>
      <c r="Z319" s="82"/>
      <c r="AA319" s="82"/>
      <c r="AB319" s="82"/>
      <c r="AC319" s="82"/>
      <c r="AD319" s="82"/>
      <c r="AE319" s="82"/>
      <c r="AF319" s="63" t="str">
        <f t="shared" si="1"/>
        <v/>
      </c>
      <c r="AG319" s="82"/>
      <c r="AH319" s="82"/>
      <c r="AI319" s="82"/>
      <c r="AJ319" s="82"/>
      <c r="AK319" s="82"/>
      <c r="AL319" s="82"/>
      <c r="AM319" s="82"/>
      <c r="AN319" s="82"/>
      <c r="AO319" s="82"/>
      <c r="AP319" s="82"/>
      <c r="AQ319" s="82"/>
      <c r="AR319" s="82"/>
      <c r="AS319" s="82"/>
      <c r="AT319" s="82"/>
      <c r="AU319" s="82"/>
      <c r="AV319" s="82"/>
      <c r="AW319" s="82"/>
      <c r="AX319" s="82"/>
      <c r="AY319" s="82"/>
      <c r="AZ319" s="82"/>
      <c r="BA319" s="82"/>
      <c r="BB319" s="82"/>
      <c r="BC319" s="82"/>
      <c r="BD319" s="82"/>
      <c r="BE319" s="82"/>
      <c r="BF319" s="82"/>
      <c r="BG319" s="82"/>
      <c r="BH319" s="82"/>
      <c r="BI319" s="82"/>
      <c r="BJ319" s="82"/>
      <c r="BK319" s="82"/>
      <c r="BL319" s="82"/>
      <c r="BM319" s="82"/>
      <c r="BN319" s="82"/>
      <c r="BO319" s="82"/>
      <c r="BP319" s="82"/>
      <c r="BQ319" s="63"/>
      <c r="BR319" s="82"/>
      <c r="BS319" s="82"/>
      <c r="BT319" s="82"/>
      <c r="BU319" s="4"/>
    </row>
    <row r="320" spans="1:73" ht="12.75" x14ac:dyDescent="0.2">
      <c r="A320" s="1"/>
      <c r="B320" s="85"/>
      <c r="C320" s="85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4"/>
      <c r="O320" s="82"/>
      <c r="P320" s="82"/>
      <c r="Q320" s="82"/>
      <c r="R320" s="63"/>
      <c r="S320" s="63"/>
      <c r="T320" s="63"/>
      <c r="U320" s="63"/>
      <c r="V320" s="63"/>
      <c r="W320" s="63"/>
      <c r="X320" s="63"/>
      <c r="Y320" s="82"/>
      <c r="Z320" s="82"/>
      <c r="AA320" s="82"/>
      <c r="AB320" s="82"/>
      <c r="AC320" s="82"/>
      <c r="AD320" s="82"/>
      <c r="AE320" s="82"/>
      <c r="AF320" s="63" t="str">
        <f t="shared" si="1"/>
        <v/>
      </c>
      <c r="AG320" s="82"/>
      <c r="AH320" s="82"/>
      <c r="AI320" s="82"/>
      <c r="AJ320" s="82"/>
      <c r="AK320" s="82"/>
      <c r="AL320" s="82"/>
      <c r="AM320" s="82"/>
      <c r="AN320" s="82"/>
      <c r="AO320" s="82"/>
      <c r="AP320" s="82"/>
      <c r="AQ320" s="82"/>
      <c r="AR320" s="82"/>
      <c r="AS320" s="82"/>
      <c r="AT320" s="82"/>
      <c r="AU320" s="82"/>
      <c r="AV320" s="82"/>
      <c r="AW320" s="82"/>
      <c r="AX320" s="82"/>
      <c r="AY320" s="82"/>
      <c r="AZ320" s="82"/>
      <c r="BA320" s="82"/>
      <c r="BB320" s="82"/>
      <c r="BC320" s="82"/>
      <c r="BD320" s="82"/>
      <c r="BE320" s="82"/>
      <c r="BF320" s="82"/>
      <c r="BG320" s="82"/>
      <c r="BH320" s="82"/>
      <c r="BI320" s="82"/>
      <c r="BJ320" s="82"/>
      <c r="BK320" s="82"/>
      <c r="BL320" s="82"/>
      <c r="BM320" s="82"/>
      <c r="BN320" s="82"/>
      <c r="BO320" s="82"/>
      <c r="BP320" s="82"/>
      <c r="BQ320" s="63"/>
      <c r="BR320" s="82"/>
      <c r="BS320" s="82"/>
      <c r="BT320" s="82"/>
      <c r="BU320" s="4"/>
    </row>
    <row r="321" spans="1:73" ht="12.75" x14ac:dyDescent="0.2">
      <c r="A321" s="1"/>
      <c r="B321" s="85"/>
      <c r="C321" s="85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4"/>
      <c r="O321" s="82"/>
      <c r="P321" s="82"/>
      <c r="Q321" s="82"/>
      <c r="R321" s="63"/>
      <c r="S321" s="63"/>
      <c r="T321" s="63"/>
      <c r="U321" s="63"/>
      <c r="V321" s="63"/>
      <c r="W321" s="63"/>
      <c r="X321" s="63"/>
      <c r="Y321" s="82"/>
      <c r="Z321" s="82"/>
      <c r="AA321" s="82"/>
      <c r="AB321" s="82"/>
      <c r="AC321" s="82"/>
      <c r="AD321" s="82"/>
      <c r="AE321" s="82"/>
      <c r="AF321" s="63" t="str">
        <f t="shared" si="1"/>
        <v/>
      </c>
      <c r="AG321" s="82"/>
      <c r="AH321" s="82"/>
      <c r="AI321" s="82"/>
      <c r="AJ321" s="82"/>
      <c r="AK321" s="82"/>
      <c r="AL321" s="82"/>
      <c r="AM321" s="82"/>
      <c r="AN321" s="82"/>
      <c r="AO321" s="82"/>
      <c r="AP321" s="82"/>
      <c r="AQ321" s="82"/>
      <c r="AR321" s="82"/>
      <c r="AS321" s="82"/>
      <c r="AT321" s="82"/>
      <c r="AU321" s="82"/>
      <c r="AV321" s="82"/>
      <c r="AW321" s="82"/>
      <c r="AX321" s="82"/>
      <c r="AY321" s="82"/>
      <c r="AZ321" s="82"/>
      <c r="BA321" s="82"/>
      <c r="BB321" s="82"/>
      <c r="BC321" s="82"/>
      <c r="BD321" s="82"/>
      <c r="BE321" s="82"/>
      <c r="BF321" s="82"/>
      <c r="BG321" s="82"/>
      <c r="BH321" s="82"/>
      <c r="BI321" s="82"/>
      <c r="BJ321" s="82"/>
      <c r="BK321" s="82"/>
      <c r="BL321" s="82"/>
      <c r="BM321" s="82"/>
      <c r="BN321" s="82"/>
      <c r="BO321" s="82"/>
      <c r="BP321" s="82"/>
      <c r="BQ321" s="63"/>
      <c r="BR321" s="82"/>
      <c r="BS321" s="82"/>
      <c r="BT321" s="82"/>
      <c r="BU321" s="4"/>
    </row>
    <row r="322" spans="1:73" ht="12.75" x14ac:dyDescent="0.2">
      <c r="A322" s="1"/>
      <c r="B322" s="85"/>
      <c r="C322" s="85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4"/>
      <c r="O322" s="82"/>
      <c r="P322" s="82"/>
      <c r="Q322" s="82"/>
      <c r="R322" s="63"/>
      <c r="S322" s="63"/>
      <c r="T322" s="63"/>
      <c r="U322" s="63"/>
      <c r="V322" s="63"/>
      <c r="W322" s="63"/>
      <c r="X322" s="63"/>
      <c r="Y322" s="82"/>
      <c r="Z322" s="82"/>
      <c r="AA322" s="82"/>
      <c r="AB322" s="82"/>
      <c r="AC322" s="82"/>
      <c r="AD322" s="82"/>
      <c r="AE322" s="82"/>
      <c r="AF322" s="63" t="str">
        <f t="shared" si="1"/>
        <v/>
      </c>
      <c r="AG322" s="82"/>
      <c r="AH322" s="82"/>
      <c r="AI322" s="82"/>
      <c r="AJ322" s="82"/>
      <c r="AK322" s="82"/>
      <c r="AL322" s="82"/>
      <c r="AM322" s="82"/>
      <c r="AN322" s="82"/>
      <c r="AO322" s="82"/>
      <c r="AP322" s="82"/>
      <c r="AQ322" s="82"/>
      <c r="AR322" s="82"/>
      <c r="AS322" s="82"/>
      <c r="AT322" s="82"/>
      <c r="AU322" s="82"/>
      <c r="AV322" s="82"/>
      <c r="AW322" s="82"/>
      <c r="AX322" s="82"/>
      <c r="AY322" s="82"/>
      <c r="AZ322" s="82"/>
      <c r="BA322" s="82"/>
      <c r="BB322" s="82"/>
      <c r="BC322" s="82"/>
      <c r="BD322" s="82"/>
      <c r="BE322" s="82"/>
      <c r="BF322" s="82"/>
      <c r="BG322" s="82"/>
      <c r="BH322" s="82"/>
      <c r="BI322" s="82"/>
      <c r="BJ322" s="82"/>
      <c r="BK322" s="82"/>
      <c r="BL322" s="82"/>
      <c r="BM322" s="82"/>
      <c r="BN322" s="82"/>
      <c r="BO322" s="82"/>
      <c r="BP322" s="82"/>
      <c r="BQ322" s="63"/>
      <c r="BR322" s="82"/>
      <c r="BS322" s="82"/>
      <c r="BT322" s="82"/>
      <c r="BU322" s="4"/>
    </row>
    <row r="323" spans="1:73" ht="12.75" x14ac:dyDescent="0.2">
      <c r="A323" s="1"/>
      <c r="B323" s="85"/>
      <c r="C323" s="85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4"/>
      <c r="O323" s="82"/>
      <c r="P323" s="82"/>
      <c r="Q323" s="82"/>
      <c r="R323" s="63"/>
      <c r="S323" s="63"/>
      <c r="T323" s="63"/>
      <c r="U323" s="63"/>
      <c r="V323" s="63"/>
      <c r="W323" s="63"/>
      <c r="X323" s="63"/>
      <c r="Y323" s="82"/>
      <c r="Z323" s="82"/>
      <c r="AA323" s="82"/>
      <c r="AB323" s="82"/>
      <c r="AC323" s="82"/>
      <c r="AD323" s="82"/>
      <c r="AE323" s="82"/>
      <c r="AF323" s="63" t="str">
        <f t="shared" si="1"/>
        <v/>
      </c>
      <c r="AG323" s="82"/>
      <c r="AH323" s="82"/>
      <c r="AI323" s="82"/>
      <c r="AJ323" s="82"/>
      <c r="AK323" s="82"/>
      <c r="AL323" s="82"/>
      <c r="AM323" s="82"/>
      <c r="AN323" s="82"/>
      <c r="AO323" s="82"/>
      <c r="AP323" s="82"/>
      <c r="AQ323" s="82"/>
      <c r="AR323" s="82"/>
      <c r="AS323" s="82"/>
      <c r="AT323" s="82"/>
      <c r="AU323" s="82"/>
      <c r="AV323" s="82"/>
      <c r="AW323" s="82"/>
      <c r="AX323" s="82"/>
      <c r="AY323" s="82"/>
      <c r="AZ323" s="82"/>
      <c r="BA323" s="82"/>
      <c r="BB323" s="82"/>
      <c r="BC323" s="82"/>
      <c r="BD323" s="82"/>
      <c r="BE323" s="82"/>
      <c r="BF323" s="82"/>
      <c r="BG323" s="82"/>
      <c r="BH323" s="82"/>
      <c r="BI323" s="82"/>
      <c r="BJ323" s="82"/>
      <c r="BK323" s="82"/>
      <c r="BL323" s="82"/>
      <c r="BM323" s="82"/>
      <c r="BN323" s="82"/>
      <c r="BO323" s="82"/>
      <c r="BP323" s="82"/>
      <c r="BQ323" s="63"/>
      <c r="BR323" s="82"/>
      <c r="BS323" s="82"/>
      <c r="BT323" s="82"/>
      <c r="BU323" s="4"/>
    </row>
    <row r="324" spans="1:73" ht="12.75" x14ac:dyDescent="0.2">
      <c r="A324" s="1"/>
      <c r="B324" s="85"/>
      <c r="C324" s="85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4"/>
      <c r="O324" s="82"/>
      <c r="P324" s="82"/>
      <c r="Q324" s="82"/>
      <c r="R324" s="63"/>
      <c r="S324" s="63"/>
      <c r="T324" s="63"/>
      <c r="U324" s="63"/>
      <c r="V324" s="63"/>
      <c r="W324" s="63"/>
      <c r="X324" s="63"/>
      <c r="Y324" s="82"/>
      <c r="Z324" s="82"/>
      <c r="AA324" s="82"/>
      <c r="AB324" s="82"/>
      <c r="AC324" s="82"/>
      <c r="AD324" s="82"/>
      <c r="AE324" s="82"/>
      <c r="AF324" s="63" t="str">
        <f t="shared" si="1"/>
        <v/>
      </c>
      <c r="AG324" s="82"/>
      <c r="AH324" s="82"/>
      <c r="AI324" s="82"/>
      <c r="AJ324" s="82"/>
      <c r="AK324" s="82"/>
      <c r="AL324" s="82"/>
      <c r="AM324" s="82"/>
      <c r="AN324" s="82"/>
      <c r="AO324" s="82"/>
      <c r="AP324" s="82"/>
      <c r="AQ324" s="82"/>
      <c r="AR324" s="82"/>
      <c r="AS324" s="82"/>
      <c r="AT324" s="82"/>
      <c r="AU324" s="82"/>
      <c r="AV324" s="82"/>
      <c r="AW324" s="82"/>
      <c r="AX324" s="82"/>
      <c r="AY324" s="82"/>
      <c r="AZ324" s="82"/>
      <c r="BA324" s="82"/>
      <c r="BB324" s="82"/>
      <c r="BC324" s="82"/>
      <c r="BD324" s="82"/>
      <c r="BE324" s="82"/>
      <c r="BF324" s="82"/>
      <c r="BG324" s="82"/>
      <c r="BH324" s="82"/>
      <c r="BI324" s="82"/>
      <c r="BJ324" s="82"/>
      <c r="BK324" s="82"/>
      <c r="BL324" s="82"/>
      <c r="BM324" s="82"/>
      <c r="BN324" s="82"/>
      <c r="BO324" s="82"/>
      <c r="BP324" s="82"/>
      <c r="BQ324" s="63"/>
      <c r="BR324" s="82"/>
      <c r="BS324" s="82"/>
      <c r="BT324" s="82"/>
      <c r="BU324" s="4"/>
    </row>
    <row r="325" spans="1:73" ht="12.75" x14ac:dyDescent="0.2">
      <c r="A325" s="1"/>
      <c r="B325" s="85"/>
      <c r="C325" s="85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4"/>
      <c r="O325" s="82"/>
      <c r="P325" s="82"/>
      <c r="Q325" s="82"/>
      <c r="R325" s="63"/>
      <c r="S325" s="63"/>
      <c r="T325" s="63"/>
      <c r="U325" s="63"/>
      <c r="V325" s="63"/>
      <c r="W325" s="63"/>
      <c r="X325" s="63"/>
      <c r="Y325" s="82"/>
      <c r="Z325" s="82"/>
      <c r="AA325" s="82"/>
      <c r="AB325" s="82"/>
      <c r="AC325" s="82"/>
      <c r="AD325" s="82"/>
      <c r="AE325" s="82"/>
      <c r="AF325" s="63" t="str">
        <f t="shared" si="1"/>
        <v/>
      </c>
      <c r="AG325" s="82"/>
      <c r="AH325" s="82"/>
      <c r="AI325" s="82"/>
      <c r="AJ325" s="82"/>
      <c r="AK325" s="82"/>
      <c r="AL325" s="82"/>
      <c r="AM325" s="82"/>
      <c r="AN325" s="82"/>
      <c r="AO325" s="82"/>
      <c r="AP325" s="82"/>
      <c r="AQ325" s="82"/>
      <c r="AR325" s="82"/>
      <c r="AS325" s="82"/>
      <c r="AT325" s="82"/>
      <c r="AU325" s="82"/>
      <c r="AV325" s="82"/>
      <c r="AW325" s="82"/>
      <c r="AX325" s="82"/>
      <c r="AY325" s="82"/>
      <c r="AZ325" s="82"/>
      <c r="BA325" s="82"/>
      <c r="BB325" s="82"/>
      <c r="BC325" s="82"/>
      <c r="BD325" s="82"/>
      <c r="BE325" s="82"/>
      <c r="BF325" s="82"/>
      <c r="BG325" s="82"/>
      <c r="BH325" s="82"/>
      <c r="BI325" s="82"/>
      <c r="BJ325" s="82"/>
      <c r="BK325" s="82"/>
      <c r="BL325" s="82"/>
      <c r="BM325" s="82"/>
      <c r="BN325" s="82"/>
      <c r="BO325" s="82"/>
      <c r="BP325" s="82"/>
      <c r="BQ325" s="63"/>
      <c r="BR325" s="82"/>
      <c r="BS325" s="82"/>
      <c r="BT325" s="82"/>
      <c r="BU325" s="4"/>
    </row>
    <row r="326" spans="1:73" ht="12.75" x14ac:dyDescent="0.2">
      <c r="A326" s="1"/>
      <c r="B326" s="85"/>
      <c r="C326" s="85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4"/>
      <c r="O326" s="82"/>
      <c r="P326" s="82"/>
      <c r="Q326" s="82"/>
      <c r="R326" s="63"/>
      <c r="S326" s="63"/>
      <c r="T326" s="63"/>
      <c r="U326" s="63"/>
      <c r="V326" s="63"/>
      <c r="W326" s="63"/>
      <c r="X326" s="63"/>
      <c r="Y326" s="82"/>
      <c r="Z326" s="82"/>
      <c r="AA326" s="82"/>
      <c r="AB326" s="82"/>
      <c r="AC326" s="82"/>
      <c r="AD326" s="82"/>
      <c r="AE326" s="82"/>
      <c r="AF326" s="63" t="str">
        <f t="shared" si="1"/>
        <v/>
      </c>
      <c r="AG326" s="82"/>
      <c r="AH326" s="82"/>
      <c r="AI326" s="82"/>
      <c r="AJ326" s="82"/>
      <c r="AK326" s="82"/>
      <c r="AL326" s="82"/>
      <c r="AM326" s="82"/>
      <c r="AN326" s="82"/>
      <c r="AO326" s="82"/>
      <c r="AP326" s="82"/>
      <c r="AQ326" s="82"/>
      <c r="AR326" s="82"/>
      <c r="AS326" s="82"/>
      <c r="AT326" s="82"/>
      <c r="AU326" s="82"/>
      <c r="AV326" s="82"/>
      <c r="AW326" s="82"/>
      <c r="AX326" s="82"/>
      <c r="AY326" s="82"/>
      <c r="AZ326" s="82"/>
      <c r="BA326" s="82"/>
      <c r="BB326" s="82"/>
      <c r="BC326" s="82"/>
      <c r="BD326" s="82"/>
      <c r="BE326" s="82"/>
      <c r="BF326" s="82"/>
      <c r="BG326" s="82"/>
      <c r="BH326" s="82"/>
      <c r="BI326" s="82"/>
      <c r="BJ326" s="82"/>
      <c r="BK326" s="82"/>
      <c r="BL326" s="82"/>
      <c r="BM326" s="82"/>
      <c r="BN326" s="82"/>
      <c r="BO326" s="82"/>
      <c r="BP326" s="82"/>
      <c r="BQ326" s="63"/>
      <c r="BR326" s="82"/>
      <c r="BS326" s="82"/>
      <c r="BT326" s="82"/>
      <c r="BU326" s="4"/>
    </row>
    <row r="327" spans="1:73" ht="12.75" x14ac:dyDescent="0.2">
      <c r="A327" s="1"/>
      <c r="B327" s="85"/>
      <c r="C327" s="85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4"/>
      <c r="O327" s="82"/>
      <c r="P327" s="82"/>
      <c r="Q327" s="82"/>
      <c r="R327" s="63"/>
      <c r="S327" s="63"/>
      <c r="T327" s="63"/>
      <c r="U327" s="63"/>
      <c r="V327" s="63"/>
      <c r="W327" s="63"/>
      <c r="X327" s="63"/>
      <c r="Y327" s="82"/>
      <c r="Z327" s="82"/>
      <c r="AA327" s="82"/>
      <c r="AB327" s="82"/>
      <c r="AC327" s="82"/>
      <c r="AD327" s="82"/>
      <c r="AE327" s="82"/>
      <c r="AF327" s="63" t="str">
        <f t="shared" si="1"/>
        <v/>
      </c>
      <c r="AG327" s="82"/>
      <c r="AH327" s="82"/>
      <c r="AI327" s="82"/>
      <c r="AJ327" s="82"/>
      <c r="AK327" s="82"/>
      <c r="AL327" s="82"/>
      <c r="AM327" s="82"/>
      <c r="AN327" s="82"/>
      <c r="AO327" s="82"/>
      <c r="AP327" s="82"/>
      <c r="AQ327" s="82"/>
      <c r="AR327" s="82"/>
      <c r="AS327" s="82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  <c r="BF327" s="82"/>
      <c r="BG327" s="82"/>
      <c r="BH327" s="82"/>
      <c r="BI327" s="82"/>
      <c r="BJ327" s="82"/>
      <c r="BK327" s="82"/>
      <c r="BL327" s="82"/>
      <c r="BM327" s="82"/>
      <c r="BN327" s="82"/>
      <c r="BO327" s="82"/>
      <c r="BP327" s="82"/>
      <c r="BQ327" s="63"/>
      <c r="BR327" s="82"/>
      <c r="BS327" s="82"/>
      <c r="BT327" s="82"/>
      <c r="BU327" s="4"/>
    </row>
    <row r="328" spans="1:73" ht="12.75" x14ac:dyDescent="0.2">
      <c r="A328" s="1"/>
      <c r="B328" s="85"/>
      <c r="C328" s="85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4"/>
      <c r="O328" s="82"/>
      <c r="P328" s="82"/>
      <c r="Q328" s="82"/>
      <c r="R328" s="63"/>
      <c r="S328" s="63"/>
      <c r="T328" s="63"/>
      <c r="U328" s="63"/>
      <c r="V328" s="63"/>
      <c r="W328" s="63"/>
      <c r="X328" s="63"/>
      <c r="Y328" s="82"/>
      <c r="Z328" s="82"/>
      <c r="AA328" s="82"/>
      <c r="AB328" s="82"/>
      <c r="AC328" s="82"/>
      <c r="AD328" s="82"/>
      <c r="AE328" s="82"/>
      <c r="AF328" s="63" t="str">
        <f t="shared" si="1"/>
        <v/>
      </c>
      <c r="AG328" s="82"/>
      <c r="AH328" s="82"/>
      <c r="AI328" s="82"/>
      <c r="AJ328" s="82"/>
      <c r="AK328" s="82"/>
      <c r="AL328" s="82"/>
      <c r="AM328" s="82"/>
      <c r="AN328" s="82"/>
      <c r="AO328" s="82"/>
      <c r="AP328" s="82"/>
      <c r="AQ328" s="82"/>
      <c r="AR328" s="82"/>
      <c r="AS328" s="82"/>
      <c r="AT328" s="82"/>
      <c r="AU328" s="82"/>
      <c r="AV328" s="82"/>
      <c r="AW328" s="82"/>
      <c r="AX328" s="82"/>
      <c r="AY328" s="82"/>
      <c r="AZ328" s="82"/>
      <c r="BA328" s="82"/>
      <c r="BB328" s="82"/>
      <c r="BC328" s="82"/>
      <c r="BD328" s="82"/>
      <c r="BE328" s="82"/>
      <c r="BF328" s="82"/>
      <c r="BG328" s="82"/>
      <c r="BH328" s="82"/>
      <c r="BI328" s="82"/>
      <c r="BJ328" s="82"/>
      <c r="BK328" s="82"/>
      <c r="BL328" s="82"/>
      <c r="BM328" s="82"/>
      <c r="BN328" s="82"/>
      <c r="BO328" s="82"/>
      <c r="BP328" s="82"/>
      <c r="BQ328" s="63"/>
      <c r="BR328" s="82"/>
      <c r="BS328" s="82"/>
      <c r="BT328" s="82"/>
      <c r="BU328" s="4"/>
    </row>
    <row r="329" spans="1:73" ht="12.75" x14ac:dyDescent="0.2">
      <c r="A329" s="1"/>
      <c r="B329" s="85"/>
      <c r="C329" s="85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4"/>
      <c r="O329" s="82"/>
      <c r="P329" s="82"/>
      <c r="Q329" s="82"/>
      <c r="R329" s="63"/>
      <c r="S329" s="63"/>
      <c r="T329" s="63"/>
      <c r="U329" s="63"/>
      <c r="V329" s="63"/>
      <c r="W329" s="63"/>
      <c r="X329" s="63"/>
      <c r="Y329" s="82"/>
      <c r="Z329" s="82"/>
      <c r="AA329" s="82"/>
      <c r="AB329" s="82"/>
      <c r="AC329" s="82"/>
      <c r="AD329" s="82"/>
      <c r="AE329" s="82"/>
      <c r="AF329" s="63" t="str">
        <f t="shared" si="1"/>
        <v/>
      </c>
      <c r="AG329" s="82"/>
      <c r="AH329" s="82"/>
      <c r="AI329" s="82"/>
      <c r="AJ329" s="82"/>
      <c r="AK329" s="82"/>
      <c r="AL329" s="82"/>
      <c r="AM329" s="82"/>
      <c r="AN329" s="82"/>
      <c r="AO329" s="82"/>
      <c r="AP329" s="82"/>
      <c r="AQ329" s="82"/>
      <c r="AR329" s="82"/>
      <c r="AS329" s="82"/>
      <c r="AT329" s="82"/>
      <c r="AU329" s="82"/>
      <c r="AV329" s="82"/>
      <c r="AW329" s="82"/>
      <c r="AX329" s="82"/>
      <c r="AY329" s="82"/>
      <c r="AZ329" s="82"/>
      <c r="BA329" s="82"/>
      <c r="BB329" s="82"/>
      <c r="BC329" s="82"/>
      <c r="BD329" s="82"/>
      <c r="BE329" s="82"/>
      <c r="BF329" s="82"/>
      <c r="BG329" s="82"/>
      <c r="BH329" s="82"/>
      <c r="BI329" s="82"/>
      <c r="BJ329" s="82"/>
      <c r="BK329" s="82"/>
      <c r="BL329" s="82"/>
      <c r="BM329" s="82"/>
      <c r="BN329" s="82"/>
      <c r="BO329" s="82"/>
      <c r="BP329" s="82"/>
      <c r="BQ329" s="63"/>
      <c r="BR329" s="82"/>
      <c r="BS329" s="82"/>
      <c r="BT329" s="82"/>
      <c r="BU329" s="4"/>
    </row>
    <row r="330" spans="1:73" ht="12.75" x14ac:dyDescent="0.2">
      <c r="A330" s="1"/>
      <c r="B330" s="85"/>
      <c r="C330" s="85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4"/>
      <c r="O330" s="82"/>
      <c r="P330" s="82"/>
      <c r="Q330" s="82"/>
      <c r="R330" s="63"/>
      <c r="S330" s="63"/>
      <c r="T330" s="63"/>
      <c r="U330" s="63"/>
      <c r="V330" s="63"/>
      <c r="W330" s="63"/>
      <c r="X330" s="63"/>
      <c r="Y330" s="82"/>
      <c r="Z330" s="82"/>
      <c r="AA330" s="82"/>
      <c r="AB330" s="82"/>
      <c r="AC330" s="82"/>
      <c r="AD330" s="82"/>
      <c r="AE330" s="82"/>
      <c r="AF330" s="63" t="str">
        <f t="shared" si="1"/>
        <v/>
      </c>
      <c r="AG330" s="82"/>
      <c r="AH330" s="82"/>
      <c r="AI330" s="82"/>
      <c r="AJ330" s="82"/>
      <c r="AK330" s="82"/>
      <c r="AL330" s="82"/>
      <c r="AM330" s="82"/>
      <c r="AN330" s="82"/>
      <c r="AO330" s="82"/>
      <c r="AP330" s="82"/>
      <c r="AQ330" s="82"/>
      <c r="AR330" s="82"/>
      <c r="AS330" s="82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  <c r="BF330" s="82"/>
      <c r="BG330" s="82"/>
      <c r="BH330" s="82"/>
      <c r="BI330" s="82"/>
      <c r="BJ330" s="82"/>
      <c r="BK330" s="82"/>
      <c r="BL330" s="82"/>
      <c r="BM330" s="82"/>
      <c r="BN330" s="82"/>
      <c r="BO330" s="82"/>
      <c r="BP330" s="82"/>
      <c r="BQ330" s="63"/>
      <c r="BR330" s="82"/>
      <c r="BS330" s="82"/>
      <c r="BT330" s="82"/>
      <c r="BU330" s="4"/>
    </row>
    <row r="331" spans="1:73" ht="12.75" x14ac:dyDescent="0.2">
      <c r="A331" s="1"/>
      <c r="B331" s="85"/>
      <c r="C331" s="85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4"/>
      <c r="O331" s="82"/>
      <c r="P331" s="82"/>
      <c r="Q331" s="82"/>
      <c r="R331" s="63"/>
      <c r="S331" s="63"/>
      <c r="T331" s="63"/>
      <c r="U331" s="63"/>
      <c r="V331" s="63"/>
      <c r="W331" s="63"/>
      <c r="X331" s="63"/>
      <c r="Y331" s="82"/>
      <c r="Z331" s="82"/>
      <c r="AA331" s="82"/>
      <c r="AB331" s="82"/>
      <c r="AC331" s="82"/>
      <c r="AD331" s="82"/>
      <c r="AE331" s="82"/>
      <c r="AF331" s="63" t="str">
        <f t="shared" si="1"/>
        <v/>
      </c>
      <c r="AG331" s="82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  <c r="AR331" s="82"/>
      <c r="AS331" s="82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  <c r="BF331" s="82"/>
      <c r="BG331" s="82"/>
      <c r="BH331" s="82"/>
      <c r="BI331" s="82"/>
      <c r="BJ331" s="82"/>
      <c r="BK331" s="82"/>
      <c r="BL331" s="82"/>
      <c r="BM331" s="82"/>
      <c r="BN331" s="82"/>
      <c r="BO331" s="82"/>
      <c r="BP331" s="82"/>
      <c r="BQ331" s="63"/>
      <c r="BR331" s="82"/>
      <c r="BS331" s="82"/>
      <c r="BT331" s="82"/>
      <c r="BU331" s="4"/>
    </row>
    <row r="332" spans="1:73" ht="12.75" x14ac:dyDescent="0.2">
      <c r="A332" s="1"/>
      <c r="B332" s="85"/>
      <c r="C332" s="85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4"/>
      <c r="O332" s="82"/>
      <c r="P332" s="82"/>
      <c r="Q332" s="82"/>
      <c r="R332" s="63"/>
      <c r="S332" s="63"/>
      <c r="T332" s="63"/>
      <c r="U332" s="63"/>
      <c r="V332" s="63"/>
      <c r="W332" s="63"/>
      <c r="X332" s="63"/>
      <c r="Y332" s="82"/>
      <c r="Z332" s="82"/>
      <c r="AA332" s="82"/>
      <c r="AB332" s="82"/>
      <c r="AC332" s="82"/>
      <c r="AD332" s="82"/>
      <c r="AE332" s="82"/>
      <c r="AF332" s="63" t="str">
        <f t="shared" si="1"/>
        <v/>
      </c>
      <c r="AG332" s="82"/>
      <c r="AH332" s="82"/>
      <c r="AI332" s="82"/>
      <c r="AJ332" s="82"/>
      <c r="AK332" s="82"/>
      <c r="AL332" s="82"/>
      <c r="AM332" s="82"/>
      <c r="AN332" s="82"/>
      <c r="AO332" s="82"/>
      <c r="AP332" s="82"/>
      <c r="AQ332" s="82"/>
      <c r="AR332" s="82"/>
      <c r="AS332" s="82"/>
      <c r="AT332" s="82"/>
      <c r="AU332" s="82"/>
      <c r="AV332" s="82"/>
      <c r="AW332" s="82"/>
      <c r="AX332" s="82"/>
      <c r="AY332" s="82"/>
      <c r="AZ332" s="82"/>
      <c r="BA332" s="82"/>
      <c r="BB332" s="82"/>
      <c r="BC332" s="82"/>
      <c r="BD332" s="82"/>
      <c r="BE332" s="82"/>
      <c r="BF332" s="82"/>
      <c r="BG332" s="82"/>
      <c r="BH332" s="82"/>
      <c r="BI332" s="82"/>
      <c r="BJ332" s="82"/>
      <c r="BK332" s="82"/>
      <c r="BL332" s="82"/>
      <c r="BM332" s="82"/>
      <c r="BN332" s="82"/>
      <c r="BO332" s="82"/>
      <c r="BP332" s="82"/>
      <c r="BQ332" s="63"/>
      <c r="BR332" s="82"/>
      <c r="BS332" s="82"/>
      <c r="BT332" s="82"/>
      <c r="BU332" s="4"/>
    </row>
    <row r="333" spans="1:73" ht="12.75" x14ac:dyDescent="0.2">
      <c r="A333" s="1"/>
      <c r="B333" s="85"/>
      <c r="C333" s="85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4"/>
      <c r="O333" s="82"/>
      <c r="P333" s="82"/>
      <c r="Q333" s="82"/>
      <c r="R333" s="63"/>
      <c r="S333" s="63"/>
      <c r="T333" s="63"/>
      <c r="U333" s="63"/>
      <c r="V333" s="63"/>
      <c r="W333" s="63"/>
      <c r="X333" s="63"/>
      <c r="Y333" s="82"/>
      <c r="Z333" s="82"/>
      <c r="AA333" s="82"/>
      <c r="AB333" s="82"/>
      <c r="AC333" s="82"/>
      <c r="AD333" s="82"/>
      <c r="AE333" s="82"/>
      <c r="AF333" s="63" t="str">
        <f t="shared" si="1"/>
        <v/>
      </c>
      <c r="AG333" s="82"/>
      <c r="AH333" s="82"/>
      <c r="AI333" s="82"/>
      <c r="AJ333" s="82"/>
      <c r="AK333" s="82"/>
      <c r="AL333" s="82"/>
      <c r="AM333" s="82"/>
      <c r="AN333" s="82"/>
      <c r="AO333" s="82"/>
      <c r="AP333" s="82"/>
      <c r="AQ333" s="82"/>
      <c r="AR333" s="82"/>
      <c r="AS333" s="82"/>
      <c r="AT333" s="82"/>
      <c r="AU333" s="82"/>
      <c r="AV333" s="82"/>
      <c r="AW333" s="82"/>
      <c r="AX333" s="82"/>
      <c r="AY333" s="82"/>
      <c r="AZ333" s="82"/>
      <c r="BA333" s="82"/>
      <c r="BB333" s="82"/>
      <c r="BC333" s="82"/>
      <c r="BD333" s="82"/>
      <c r="BE333" s="82"/>
      <c r="BF333" s="82"/>
      <c r="BG333" s="82"/>
      <c r="BH333" s="82"/>
      <c r="BI333" s="82"/>
      <c r="BJ333" s="82"/>
      <c r="BK333" s="82"/>
      <c r="BL333" s="82"/>
      <c r="BM333" s="82"/>
      <c r="BN333" s="82"/>
      <c r="BO333" s="82"/>
      <c r="BP333" s="82"/>
      <c r="BQ333" s="63"/>
      <c r="BR333" s="82"/>
      <c r="BS333" s="82"/>
      <c r="BT333" s="82"/>
      <c r="BU333" s="4"/>
    </row>
    <row r="334" spans="1:73" ht="12.75" x14ac:dyDescent="0.2">
      <c r="A334" s="1"/>
      <c r="B334" s="85"/>
      <c r="C334" s="85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4"/>
      <c r="O334" s="82"/>
      <c r="P334" s="82"/>
      <c r="Q334" s="82"/>
      <c r="R334" s="63"/>
      <c r="S334" s="63"/>
      <c r="T334" s="63"/>
      <c r="U334" s="63"/>
      <c r="V334" s="63"/>
      <c r="W334" s="63"/>
      <c r="X334" s="63"/>
      <c r="Y334" s="82"/>
      <c r="Z334" s="82"/>
      <c r="AA334" s="82"/>
      <c r="AB334" s="82"/>
      <c r="AC334" s="82"/>
      <c r="AD334" s="82"/>
      <c r="AE334" s="82"/>
      <c r="AF334" s="63" t="str">
        <f t="shared" si="1"/>
        <v/>
      </c>
      <c r="AG334" s="82"/>
      <c r="AH334" s="82"/>
      <c r="AI334" s="82"/>
      <c r="AJ334" s="82"/>
      <c r="AK334" s="82"/>
      <c r="AL334" s="82"/>
      <c r="AM334" s="82"/>
      <c r="AN334" s="82"/>
      <c r="AO334" s="82"/>
      <c r="AP334" s="82"/>
      <c r="AQ334" s="82"/>
      <c r="AR334" s="82"/>
      <c r="AS334" s="82"/>
      <c r="AT334" s="82"/>
      <c r="AU334" s="82"/>
      <c r="AV334" s="82"/>
      <c r="AW334" s="82"/>
      <c r="AX334" s="82"/>
      <c r="AY334" s="82"/>
      <c r="AZ334" s="82"/>
      <c r="BA334" s="82"/>
      <c r="BB334" s="82"/>
      <c r="BC334" s="82"/>
      <c r="BD334" s="82"/>
      <c r="BE334" s="82"/>
      <c r="BF334" s="82"/>
      <c r="BG334" s="82"/>
      <c r="BH334" s="82"/>
      <c r="BI334" s="82"/>
      <c r="BJ334" s="82"/>
      <c r="BK334" s="82"/>
      <c r="BL334" s="82"/>
      <c r="BM334" s="82"/>
      <c r="BN334" s="82"/>
      <c r="BO334" s="82"/>
      <c r="BP334" s="82"/>
      <c r="BQ334" s="63"/>
      <c r="BR334" s="82"/>
      <c r="BS334" s="82"/>
      <c r="BT334" s="82"/>
      <c r="BU334" s="4"/>
    </row>
    <row r="335" spans="1:73" ht="12.75" x14ac:dyDescent="0.2">
      <c r="A335" s="1"/>
      <c r="B335" s="85"/>
      <c r="C335" s="85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4"/>
      <c r="O335" s="82"/>
      <c r="P335" s="82"/>
      <c r="Q335" s="82"/>
      <c r="R335" s="63"/>
      <c r="S335" s="63"/>
      <c r="T335" s="63"/>
      <c r="U335" s="63"/>
      <c r="V335" s="63"/>
      <c r="W335" s="63"/>
      <c r="X335" s="63"/>
      <c r="Y335" s="82"/>
      <c r="Z335" s="82"/>
      <c r="AA335" s="82"/>
      <c r="AB335" s="82"/>
      <c r="AC335" s="82"/>
      <c r="AD335" s="82"/>
      <c r="AE335" s="82"/>
      <c r="AF335" s="63" t="str">
        <f t="shared" si="1"/>
        <v/>
      </c>
      <c r="AG335" s="82"/>
      <c r="AH335" s="82"/>
      <c r="AI335" s="82"/>
      <c r="AJ335" s="82"/>
      <c r="AK335" s="82"/>
      <c r="AL335" s="82"/>
      <c r="AM335" s="82"/>
      <c r="AN335" s="82"/>
      <c r="AO335" s="82"/>
      <c r="AP335" s="82"/>
      <c r="AQ335" s="82"/>
      <c r="AR335" s="82"/>
      <c r="AS335" s="82"/>
      <c r="AT335" s="82"/>
      <c r="AU335" s="82"/>
      <c r="AV335" s="82"/>
      <c r="AW335" s="82"/>
      <c r="AX335" s="82"/>
      <c r="AY335" s="82"/>
      <c r="AZ335" s="82"/>
      <c r="BA335" s="82"/>
      <c r="BB335" s="82"/>
      <c r="BC335" s="82"/>
      <c r="BD335" s="82"/>
      <c r="BE335" s="82"/>
      <c r="BF335" s="82"/>
      <c r="BG335" s="82"/>
      <c r="BH335" s="82"/>
      <c r="BI335" s="82"/>
      <c r="BJ335" s="82"/>
      <c r="BK335" s="82"/>
      <c r="BL335" s="82"/>
      <c r="BM335" s="82"/>
      <c r="BN335" s="82"/>
      <c r="BO335" s="82"/>
      <c r="BP335" s="82"/>
      <c r="BQ335" s="63"/>
      <c r="BR335" s="82"/>
      <c r="BS335" s="82"/>
      <c r="BT335" s="82"/>
      <c r="BU335" s="4"/>
    </row>
    <row r="336" spans="1:73" ht="12.75" x14ac:dyDescent="0.2">
      <c r="A336" s="1"/>
      <c r="B336" s="85"/>
      <c r="C336" s="85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4"/>
      <c r="O336" s="82"/>
      <c r="P336" s="82"/>
      <c r="Q336" s="82"/>
      <c r="R336" s="63"/>
      <c r="S336" s="63"/>
      <c r="T336" s="63"/>
      <c r="U336" s="63"/>
      <c r="V336" s="63"/>
      <c r="W336" s="63"/>
      <c r="X336" s="63"/>
      <c r="Y336" s="82"/>
      <c r="Z336" s="82"/>
      <c r="AA336" s="82"/>
      <c r="AB336" s="82"/>
      <c r="AC336" s="82"/>
      <c r="AD336" s="82"/>
      <c r="AE336" s="82"/>
      <c r="AF336" s="63" t="str">
        <f t="shared" si="1"/>
        <v/>
      </c>
      <c r="AG336" s="82"/>
      <c r="AH336" s="82"/>
      <c r="AI336" s="82"/>
      <c r="AJ336" s="82"/>
      <c r="AK336" s="82"/>
      <c r="AL336" s="82"/>
      <c r="AM336" s="82"/>
      <c r="AN336" s="82"/>
      <c r="AO336" s="82"/>
      <c r="AP336" s="82"/>
      <c r="AQ336" s="82"/>
      <c r="AR336" s="82"/>
      <c r="AS336" s="82"/>
      <c r="AT336" s="82"/>
      <c r="AU336" s="82"/>
      <c r="AV336" s="82"/>
      <c r="AW336" s="82"/>
      <c r="AX336" s="82"/>
      <c r="AY336" s="82"/>
      <c r="AZ336" s="82"/>
      <c r="BA336" s="82"/>
      <c r="BB336" s="82"/>
      <c r="BC336" s="82"/>
      <c r="BD336" s="82"/>
      <c r="BE336" s="82"/>
      <c r="BF336" s="82"/>
      <c r="BG336" s="82"/>
      <c r="BH336" s="82"/>
      <c r="BI336" s="82"/>
      <c r="BJ336" s="82"/>
      <c r="BK336" s="82"/>
      <c r="BL336" s="82"/>
      <c r="BM336" s="82"/>
      <c r="BN336" s="82"/>
      <c r="BO336" s="82"/>
      <c r="BP336" s="82"/>
      <c r="BQ336" s="63"/>
      <c r="BR336" s="82"/>
      <c r="BS336" s="82"/>
      <c r="BT336" s="82"/>
      <c r="BU336" s="4"/>
    </row>
    <row r="337" spans="1:73" ht="12.75" x14ac:dyDescent="0.2">
      <c r="A337" s="1"/>
      <c r="B337" s="85"/>
      <c r="C337" s="85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4"/>
      <c r="O337" s="82"/>
      <c r="P337" s="82"/>
      <c r="Q337" s="82"/>
      <c r="R337" s="63"/>
      <c r="S337" s="63"/>
      <c r="T337" s="63"/>
      <c r="U337" s="63"/>
      <c r="V337" s="63"/>
      <c r="W337" s="63"/>
      <c r="X337" s="63"/>
      <c r="Y337" s="82"/>
      <c r="Z337" s="82"/>
      <c r="AA337" s="82"/>
      <c r="AB337" s="82"/>
      <c r="AC337" s="82"/>
      <c r="AD337" s="82"/>
      <c r="AE337" s="82"/>
      <c r="AF337" s="63" t="str">
        <f t="shared" si="1"/>
        <v/>
      </c>
      <c r="AG337" s="82"/>
      <c r="AH337" s="82"/>
      <c r="AI337" s="82"/>
      <c r="AJ337" s="82"/>
      <c r="AK337" s="82"/>
      <c r="AL337" s="82"/>
      <c r="AM337" s="82"/>
      <c r="AN337" s="82"/>
      <c r="AO337" s="82"/>
      <c r="AP337" s="82"/>
      <c r="AQ337" s="82"/>
      <c r="AR337" s="82"/>
      <c r="AS337" s="82"/>
      <c r="AT337" s="82"/>
      <c r="AU337" s="82"/>
      <c r="AV337" s="82"/>
      <c r="AW337" s="82"/>
      <c r="AX337" s="82"/>
      <c r="AY337" s="82"/>
      <c r="AZ337" s="82"/>
      <c r="BA337" s="82"/>
      <c r="BB337" s="82"/>
      <c r="BC337" s="82"/>
      <c r="BD337" s="82"/>
      <c r="BE337" s="82"/>
      <c r="BF337" s="82"/>
      <c r="BG337" s="82"/>
      <c r="BH337" s="82"/>
      <c r="BI337" s="82"/>
      <c r="BJ337" s="82"/>
      <c r="BK337" s="82"/>
      <c r="BL337" s="82"/>
      <c r="BM337" s="82"/>
      <c r="BN337" s="82"/>
      <c r="BO337" s="82"/>
      <c r="BP337" s="82"/>
      <c r="BQ337" s="63"/>
      <c r="BR337" s="82"/>
      <c r="BS337" s="82"/>
      <c r="BT337" s="82"/>
      <c r="BU337" s="4"/>
    </row>
    <row r="338" spans="1:73" ht="12.75" x14ac:dyDescent="0.2">
      <c r="A338" s="1"/>
      <c r="B338" s="85"/>
      <c r="C338" s="85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4"/>
      <c r="O338" s="82"/>
      <c r="P338" s="82"/>
      <c r="Q338" s="82"/>
      <c r="R338" s="63"/>
      <c r="S338" s="63"/>
      <c r="T338" s="63"/>
      <c r="U338" s="63"/>
      <c r="V338" s="63"/>
      <c r="W338" s="63"/>
      <c r="X338" s="63"/>
      <c r="Y338" s="82"/>
      <c r="Z338" s="82"/>
      <c r="AA338" s="82"/>
      <c r="AB338" s="82"/>
      <c r="AC338" s="82"/>
      <c r="AD338" s="82"/>
      <c r="AE338" s="82"/>
      <c r="AF338" s="63" t="str">
        <f t="shared" si="1"/>
        <v/>
      </c>
      <c r="AG338" s="82"/>
      <c r="AH338" s="82"/>
      <c r="AI338" s="82"/>
      <c r="AJ338" s="82"/>
      <c r="AK338" s="82"/>
      <c r="AL338" s="82"/>
      <c r="AM338" s="82"/>
      <c r="AN338" s="82"/>
      <c r="AO338" s="82"/>
      <c r="AP338" s="82"/>
      <c r="AQ338" s="82"/>
      <c r="AR338" s="82"/>
      <c r="AS338" s="82"/>
      <c r="AT338" s="82"/>
      <c r="AU338" s="82"/>
      <c r="AV338" s="82"/>
      <c r="AW338" s="82"/>
      <c r="AX338" s="82"/>
      <c r="AY338" s="82"/>
      <c r="AZ338" s="82"/>
      <c r="BA338" s="82"/>
      <c r="BB338" s="82"/>
      <c r="BC338" s="82"/>
      <c r="BD338" s="82"/>
      <c r="BE338" s="82"/>
      <c r="BF338" s="82"/>
      <c r="BG338" s="82"/>
      <c r="BH338" s="82"/>
      <c r="BI338" s="82"/>
      <c r="BJ338" s="82"/>
      <c r="BK338" s="82"/>
      <c r="BL338" s="82"/>
      <c r="BM338" s="82"/>
      <c r="BN338" s="82"/>
      <c r="BO338" s="82"/>
      <c r="BP338" s="82"/>
      <c r="BQ338" s="63"/>
      <c r="BR338" s="82"/>
      <c r="BS338" s="82"/>
      <c r="BT338" s="82"/>
      <c r="BU338" s="4"/>
    </row>
    <row r="339" spans="1:73" ht="12.75" x14ac:dyDescent="0.2">
      <c r="A339" s="1"/>
      <c r="B339" s="85"/>
      <c r="C339" s="85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4"/>
      <c r="O339" s="82"/>
      <c r="P339" s="82"/>
      <c r="Q339" s="82"/>
      <c r="R339" s="63"/>
      <c r="S339" s="63"/>
      <c r="T339" s="63"/>
      <c r="U339" s="63"/>
      <c r="V339" s="63"/>
      <c r="W339" s="63"/>
      <c r="X339" s="63"/>
      <c r="Y339" s="82"/>
      <c r="Z339" s="82"/>
      <c r="AA339" s="82"/>
      <c r="AB339" s="82"/>
      <c r="AC339" s="82"/>
      <c r="AD339" s="82"/>
      <c r="AE339" s="82"/>
      <c r="AF339" s="63" t="str">
        <f t="shared" si="1"/>
        <v/>
      </c>
      <c r="AG339" s="82"/>
      <c r="AH339" s="82"/>
      <c r="AI339" s="82"/>
      <c r="AJ339" s="82"/>
      <c r="AK339" s="82"/>
      <c r="AL339" s="82"/>
      <c r="AM339" s="82"/>
      <c r="AN339" s="82"/>
      <c r="AO339" s="82"/>
      <c r="AP339" s="82"/>
      <c r="AQ339" s="82"/>
      <c r="AR339" s="82"/>
      <c r="AS339" s="82"/>
      <c r="AT339" s="82"/>
      <c r="AU339" s="82"/>
      <c r="AV339" s="82"/>
      <c r="AW339" s="82"/>
      <c r="AX339" s="82"/>
      <c r="AY339" s="82"/>
      <c r="AZ339" s="82"/>
      <c r="BA339" s="82"/>
      <c r="BB339" s="82"/>
      <c r="BC339" s="82"/>
      <c r="BD339" s="82"/>
      <c r="BE339" s="82"/>
      <c r="BF339" s="82"/>
      <c r="BG339" s="82"/>
      <c r="BH339" s="82"/>
      <c r="BI339" s="82"/>
      <c r="BJ339" s="82"/>
      <c r="BK339" s="82"/>
      <c r="BL339" s="82"/>
      <c r="BM339" s="82"/>
      <c r="BN339" s="82"/>
      <c r="BO339" s="82"/>
      <c r="BP339" s="82"/>
      <c r="BQ339" s="63"/>
      <c r="BR339" s="82"/>
      <c r="BS339" s="82"/>
      <c r="BT339" s="82"/>
      <c r="BU339" s="4"/>
    </row>
    <row r="340" spans="1:73" ht="12.75" x14ac:dyDescent="0.2">
      <c r="A340" s="1"/>
      <c r="B340" s="85"/>
      <c r="C340" s="85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4"/>
      <c r="O340" s="82"/>
      <c r="P340" s="82"/>
      <c r="Q340" s="82"/>
      <c r="R340" s="63"/>
      <c r="S340" s="63"/>
      <c r="T340" s="63"/>
      <c r="U340" s="63"/>
      <c r="V340" s="63"/>
      <c r="W340" s="63"/>
      <c r="X340" s="63"/>
      <c r="Y340" s="82"/>
      <c r="Z340" s="82"/>
      <c r="AA340" s="82"/>
      <c r="AB340" s="82"/>
      <c r="AC340" s="82"/>
      <c r="AD340" s="82"/>
      <c r="AE340" s="82"/>
      <c r="AF340" s="63" t="str">
        <f t="shared" si="1"/>
        <v/>
      </c>
      <c r="AG340" s="82"/>
      <c r="AH340" s="82"/>
      <c r="AI340" s="82"/>
      <c r="AJ340" s="82"/>
      <c r="AK340" s="82"/>
      <c r="AL340" s="82"/>
      <c r="AM340" s="82"/>
      <c r="AN340" s="82"/>
      <c r="AO340" s="82"/>
      <c r="AP340" s="82"/>
      <c r="AQ340" s="82"/>
      <c r="AR340" s="82"/>
      <c r="AS340" s="82"/>
      <c r="AT340" s="82"/>
      <c r="AU340" s="82"/>
      <c r="AV340" s="82"/>
      <c r="AW340" s="82"/>
      <c r="AX340" s="82"/>
      <c r="AY340" s="82"/>
      <c r="AZ340" s="82"/>
      <c r="BA340" s="82"/>
      <c r="BB340" s="82"/>
      <c r="BC340" s="82"/>
      <c r="BD340" s="82"/>
      <c r="BE340" s="82"/>
      <c r="BF340" s="82"/>
      <c r="BG340" s="82"/>
      <c r="BH340" s="82"/>
      <c r="BI340" s="82"/>
      <c r="BJ340" s="82"/>
      <c r="BK340" s="82"/>
      <c r="BL340" s="82"/>
      <c r="BM340" s="82"/>
      <c r="BN340" s="82"/>
      <c r="BO340" s="82"/>
      <c r="BP340" s="82"/>
      <c r="BQ340" s="63"/>
      <c r="BR340" s="82"/>
      <c r="BS340" s="82"/>
      <c r="BT340" s="82"/>
      <c r="BU340" s="4"/>
    </row>
    <row r="341" spans="1:73" ht="12.75" x14ac:dyDescent="0.2">
      <c r="A341" s="1"/>
      <c r="B341" s="85"/>
      <c r="C341" s="85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4"/>
      <c r="O341" s="82"/>
      <c r="P341" s="82"/>
      <c r="Q341" s="82"/>
      <c r="R341" s="63"/>
      <c r="S341" s="63"/>
      <c r="T341" s="63"/>
      <c r="U341" s="63"/>
      <c r="V341" s="63"/>
      <c r="W341" s="63"/>
      <c r="X341" s="63"/>
      <c r="Y341" s="82"/>
      <c r="Z341" s="82"/>
      <c r="AA341" s="82"/>
      <c r="AB341" s="82"/>
      <c r="AC341" s="82"/>
      <c r="AD341" s="82"/>
      <c r="AE341" s="82"/>
      <c r="AF341" s="63" t="str">
        <f t="shared" si="1"/>
        <v/>
      </c>
      <c r="AG341" s="82"/>
      <c r="AH341" s="82"/>
      <c r="AI341" s="82"/>
      <c r="AJ341" s="82"/>
      <c r="AK341" s="82"/>
      <c r="AL341" s="82"/>
      <c r="AM341" s="82"/>
      <c r="AN341" s="82"/>
      <c r="AO341" s="82"/>
      <c r="AP341" s="82"/>
      <c r="AQ341" s="82"/>
      <c r="AR341" s="82"/>
      <c r="AS341" s="82"/>
      <c r="AT341" s="82"/>
      <c r="AU341" s="82"/>
      <c r="AV341" s="82"/>
      <c r="AW341" s="82"/>
      <c r="AX341" s="82"/>
      <c r="AY341" s="82"/>
      <c r="AZ341" s="82"/>
      <c r="BA341" s="82"/>
      <c r="BB341" s="82"/>
      <c r="BC341" s="82"/>
      <c r="BD341" s="82"/>
      <c r="BE341" s="82"/>
      <c r="BF341" s="82"/>
      <c r="BG341" s="82"/>
      <c r="BH341" s="82"/>
      <c r="BI341" s="82"/>
      <c r="BJ341" s="82"/>
      <c r="BK341" s="82"/>
      <c r="BL341" s="82"/>
      <c r="BM341" s="82"/>
      <c r="BN341" s="82"/>
      <c r="BO341" s="82"/>
      <c r="BP341" s="82"/>
      <c r="BQ341" s="63"/>
      <c r="BR341" s="82"/>
      <c r="BS341" s="82"/>
      <c r="BT341" s="82"/>
      <c r="BU341" s="4"/>
    </row>
    <row r="342" spans="1:73" ht="12.75" x14ac:dyDescent="0.2">
      <c r="A342" s="1"/>
      <c r="B342" s="85"/>
      <c r="C342" s="85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4"/>
      <c r="O342" s="82"/>
      <c r="P342" s="82"/>
      <c r="Q342" s="82"/>
      <c r="R342" s="63"/>
      <c r="S342" s="63"/>
      <c r="T342" s="63"/>
      <c r="U342" s="63"/>
      <c r="V342" s="63"/>
      <c r="W342" s="63"/>
      <c r="X342" s="63"/>
      <c r="Y342" s="82"/>
      <c r="Z342" s="82"/>
      <c r="AA342" s="82"/>
      <c r="AB342" s="82"/>
      <c r="AC342" s="82"/>
      <c r="AD342" s="82"/>
      <c r="AE342" s="82"/>
      <c r="AF342" s="63" t="str">
        <f t="shared" si="1"/>
        <v/>
      </c>
      <c r="AG342" s="82"/>
      <c r="AH342" s="82"/>
      <c r="AI342" s="82"/>
      <c r="AJ342" s="82"/>
      <c r="AK342" s="82"/>
      <c r="AL342" s="82"/>
      <c r="AM342" s="82"/>
      <c r="AN342" s="82"/>
      <c r="AO342" s="82"/>
      <c r="AP342" s="82"/>
      <c r="AQ342" s="82"/>
      <c r="AR342" s="82"/>
      <c r="AS342" s="82"/>
      <c r="AT342" s="82"/>
      <c r="AU342" s="82"/>
      <c r="AV342" s="82"/>
      <c r="AW342" s="82"/>
      <c r="AX342" s="82"/>
      <c r="AY342" s="82"/>
      <c r="AZ342" s="82"/>
      <c r="BA342" s="82"/>
      <c r="BB342" s="82"/>
      <c r="BC342" s="82"/>
      <c r="BD342" s="82"/>
      <c r="BE342" s="82"/>
      <c r="BF342" s="82"/>
      <c r="BG342" s="82"/>
      <c r="BH342" s="82"/>
      <c r="BI342" s="82"/>
      <c r="BJ342" s="82"/>
      <c r="BK342" s="82"/>
      <c r="BL342" s="82"/>
      <c r="BM342" s="82"/>
      <c r="BN342" s="82"/>
      <c r="BO342" s="82"/>
      <c r="BP342" s="82"/>
      <c r="BQ342" s="63"/>
      <c r="BR342" s="82"/>
      <c r="BS342" s="82"/>
      <c r="BT342" s="82"/>
      <c r="BU342" s="4"/>
    </row>
    <row r="343" spans="1:73" ht="12.75" x14ac:dyDescent="0.2">
      <c r="A343" s="1"/>
      <c r="B343" s="85"/>
      <c r="C343" s="85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4"/>
      <c r="O343" s="82"/>
      <c r="P343" s="82"/>
      <c r="Q343" s="82"/>
      <c r="R343" s="63"/>
      <c r="S343" s="63"/>
      <c r="T343" s="63"/>
      <c r="U343" s="63"/>
      <c r="V343" s="63"/>
      <c r="W343" s="63"/>
      <c r="X343" s="63"/>
      <c r="Y343" s="82"/>
      <c r="Z343" s="82"/>
      <c r="AA343" s="82"/>
      <c r="AB343" s="82"/>
      <c r="AC343" s="82"/>
      <c r="AD343" s="82"/>
      <c r="AE343" s="82"/>
      <c r="AF343" s="63" t="str">
        <f t="shared" si="1"/>
        <v/>
      </c>
      <c r="AG343" s="82"/>
      <c r="AH343" s="82"/>
      <c r="AI343" s="82"/>
      <c r="AJ343" s="82"/>
      <c r="AK343" s="82"/>
      <c r="AL343" s="82"/>
      <c r="AM343" s="82"/>
      <c r="AN343" s="82"/>
      <c r="AO343" s="82"/>
      <c r="AP343" s="82"/>
      <c r="AQ343" s="82"/>
      <c r="AR343" s="82"/>
      <c r="AS343" s="82"/>
      <c r="AT343" s="82"/>
      <c r="AU343" s="82"/>
      <c r="AV343" s="82"/>
      <c r="AW343" s="82"/>
      <c r="AX343" s="82"/>
      <c r="AY343" s="82"/>
      <c r="AZ343" s="82"/>
      <c r="BA343" s="82"/>
      <c r="BB343" s="82"/>
      <c r="BC343" s="82"/>
      <c r="BD343" s="82"/>
      <c r="BE343" s="82"/>
      <c r="BF343" s="82"/>
      <c r="BG343" s="82"/>
      <c r="BH343" s="82"/>
      <c r="BI343" s="82"/>
      <c r="BJ343" s="82"/>
      <c r="BK343" s="82"/>
      <c r="BL343" s="82"/>
      <c r="BM343" s="82"/>
      <c r="BN343" s="82"/>
      <c r="BO343" s="82"/>
      <c r="BP343" s="82"/>
      <c r="BQ343" s="63"/>
      <c r="BR343" s="82"/>
      <c r="BS343" s="82"/>
      <c r="BT343" s="82"/>
      <c r="BU343" s="4"/>
    </row>
    <row r="344" spans="1:73" ht="12.75" x14ac:dyDescent="0.2">
      <c r="A344" s="1"/>
      <c r="B344" s="85"/>
      <c r="C344" s="85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4"/>
      <c r="O344" s="82"/>
      <c r="P344" s="82"/>
      <c r="Q344" s="82"/>
      <c r="R344" s="63"/>
      <c r="S344" s="63"/>
      <c r="T344" s="63"/>
      <c r="U344" s="63"/>
      <c r="V344" s="63"/>
      <c r="W344" s="63"/>
      <c r="X344" s="63"/>
      <c r="Y344" s="82"/>
      <c r="Z344" s="82"/>
      <c r="AA344" s="82"/>
      <c r="AB344" s="82"/>
      <c r="AC344" s="82"/>
      <c r="AD344" s="82"/>
      <c r="AE344" s="82"/>
      <c r="AF344" s="63" t="str">
        <f t="shared" si="1"/>
        <v/>
      </c>
      <c r="AG344" s="82"/>
      <c r="AH344" s="82"/>
      <c r="AI344" s="82"/>
      <c r="AJ344" s="82"/>
      <c r="AK344" s="82"/>
      <c r="AL344" s="82"/>
      <c r="AM344" s="82"/>
      <c r="AN344" s="82"/>
      <c r="AO344" s="82"/>
      <c r="AP344" s="82"/>
      <c r="AQ344" s="82"/>
      <c r="AR344" s="82"/>
      <c r="AS344" s="82"/>
      <c r="AT344" s="82"/>
      <c r="AU344" s="82"/>
      <c r="AV344" s="82"/>
      <c r="AW344" s="82"/>
      <c r="AX344" s="82"/>
      <c r="AY344" s="82"/>
      <c r="AZ344" s="82"/>
      <c r="BA344" s="82"/>
      <c r="BB344" s="82"/>
      <c r="BC344" s="82"/>
      <c r="BD344" s="82"/>
      <c r="BE344" s="82"/>
      <c r="BF344" s="82"/>
      <c r="BG344" s="82"/>
      <c r="BH344" s="82"/>
      <c r="BI344" s="82"/>
      <c r="BJ344" s="82"/>
      <c r="BK344" s="82"/>
      <c r="BL344" s="82"/>
      <c r="BM344" s="82"/>
      <c r="BN344" s="82"/>
      <c r="BO344" s="82"/>
      <c r="BP344" s="82"/>
      <c r="BQ344" s="63"/>
      <c r="BR344" s="82"/>
      <c r="BS344" s="82"/>
      <c r="BT344" s="82"/>
      <c r="BU344" s="4"/>
    </row>
    <row r="345" spans="1:73" ht="12.75" x14ac:dyDescent="0.2">
      <c r="A345" s="1"/>
      <c r="B345" s="85"/>
      <c r="C345" s="85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4"/>
      <c r="O345" s="82"/>
      <c r="P345" s="82"/>
      <c r="Q345" s="82"/>
      <c r="R345" s="63"/>
      <c r="S345" s="63"/>
      <c r="T345" s="63"/>
      <c r="U345" s="63"/>
      <c r="V345" s="63"/>
      <c r="W345" s="63"/>
      <c r="X345" s="63"/>
      <c r="Y345" s="82"/>
      <c r="Z345" s="82"/>
      <c r="AA345" s="82"/>
      <c r="AB345" s="82"/>
      <c r="AC345" s="82"/>
      <c r="AD345" s="82"/>
      <c r="AE345" s="82"/>
      <c r="AF345" s="63" t="str">
        <f t="shared" si="1"/>
        <v/>
      </c>
      <c r="AG345" s="82"/>
      <c r="AH345" s="82"/>
      <c r="AI345" s="82"/>
      <c r="AJ345" s="82"/>
      <c r="AK345" s="82"/>
      <c r="AL345" s="82"/>
      <c r="AM345" s="82"/>
      <c r="AN345" s="82"/>
      <c r="AO345" s="82"/>
      <c r="AP345" s="82"/>
      <c r="AQ345" s="82"/>
      <c r="AR345" s="82"/>
      <c r="AS345" s="82"/>
      <c r="AT345" s="82"/>
      <c r="AU345" s="82"/>
      <c r="AV345" s="82"/>
      <c r="AW345" s="82"/>
      <c r="AX345" s="82"/>
      <c r="AY345" s="82"/>
      <c r="AZ345" s="82"/>
      <c r="BA345" s="82"/>
      <c r="BB345" s="82"/>
      <c r="BC345" s="82"/>
      <c r="BD345" s="82"/>
      <c r="BE345" s="82"/>
      <c r="BF345" s="82"/>
      <c r="BG345" s="82"/>
      <c r="BH345" s="82"/>
      <c r="BI345" s="82"/>
      <c r="BJ345" s="82"/>
      <c r="BK345" s="82"/>
      <c r="BL345" s="82"/>
      <c r="BM345" s="82"/>
      <c r="BN345" s="82"/>
      <c r="BO345" s="82"/>
      <c r="BP345" s="82"/>
      <c r="BQ345" s="63"/>
      <c r="BR345" s="82"/>
      <c r="BS345" s="82"/>
      <c r="BT345" s="82"/>
      <c r="BU345" s="4"/>
    </row>
    <row r="346" spans="1:73" ht="12.75" x14ac:dyDescent="0.2">
      <c r="A346" s="1"/>
      <c r="B346" s="85"/>
      <c r="C346" s="85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4"/>
      <c r="O346" s="82"/>
      <c r="P346" s="82"/>
      <c r="Q346" s="82"/>
      <c r="R346" s="63"/>
      <c r="S346" s="63"/>
      <c r="T346" s="63"/>
      <c r="U346" s="63"/>
      <c r="V346" s="63"/>
      <c r="W346" s="63"/>
      <c r="X346" s="63"/>
      <c r="Y346" s="82"/>
      <c r="Z346" s="82"/>
      <c r="AA346" s="82"/>
      <c r="AB346" s="82"/>
      <c r="AC346" s="82"/>
      <c r="AD346" s="82"/>
      <c r="AE346" s="82"/>
      <c r="AF346" s="63" t="str">
        <f t="shared" si="1"/>
        <v/>
      </c>
      <c r="AG346" s="82"/>
      <c r="AH346" s="82"/>
      <c r="AI346" s="82"/>
      <c r="AJ346" s="82"/>
      <c r="AK346" s="82"/>
      <c r="AL346" s="82"/>
      <c r="AM346" s="82"/>
      <c r="AN346" s="82"/>
      <c r="AO346" s="82"/>
      <c r="AP346" s="82"/>
      <c r="AQ346" s="82"/>
      <c r="AR346" s="82"/>
      <c r="AS346" s="82"/>
      <c r="AT346" s="82"/>
      <c r="AU346" s="82"/>
      <c r="AV346" s="82"/>
      <c r="AW346" s="82"/>
      <c r="AX346" s="82"/>
      <c r="AY346" s="82"/>
      <c r="AZ346" s="82"/>
      <c r="BA346" s="82"/>
      <c r="BB346" s="82"/>
      <c r="BC346" s="82"/>
      <c r="BD346" s="82"/>
      <c r="BE346" s="82"/>
      <c r="BF346" s="82"/>
      <c r="BG346" s="82"/>
      <c r="BH346" s="82"/>
      <c r="BI346" s="82"/>
      <c r="BJ346" s="82"/>
      <c r="BK346" s="82"/>
      <c r="BL346" s="82"/>
      <c r="BM346" s="82"/>
      <c r="BN346" s="82"/>
      <c r="BO346" s="82"/>
      <c r="BP346" s="82"/>
      <c r="BQ346" s="63"/>
      <c r="BR346" s="82"/>
      <c r="BS346" s="82"/>
      <c r="BT346" s="82"/>
      <c r="BU346" s="4"/>
    </row>
    <row r="347" spans="1:73" ht="12.75" x14ac:dyDescent="0.2">
      <c r="A347" s="1"/>
      <c r="B347" s="85"/>
      <c r="C347" s="85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4"/>
      <c r="O347" s="82"/>
      <c r="P347" s="82"/>
      <c r="Q347" s="82"/>
      <c r="R347" s="63"/>
      <c r="S347" s="63"/>
      <c r="T347" s="63"/>
      <c r="U347" s="63"/>
      <c r="V347" s="63"/>
      <c r="W347" s="63"/>
      <c r="X347" s="63"/>
      <c r="Y347" s="82"/>
      <c r="Z347" s="82"/>
      <c r="AA347" s="82"/>
      <c r="AB347" s="82"/>
      <c r="AC347" s="82"/>
      <c r="AD347" s="82"/>
      <c r="AE347" s="82"/>
      <c r="AF347" s="63" t="str">
        <f t="shared" si="1"/>
        <v/>
      </c>
      <c r="AG347" s="82"/>
      <c r="AH347" s="82"/>
      <c r="AI347" s="82"/>
      <c r="AJ347" s="82"/>
      <c r="AK347" s="82"/>
      <c r="AL347" s="82"/>
      <c r="AM347" s="82"/>
      <c r="AN347" s="82"/>
      <c r="AO347" s="82"/>
      <c r="AP347" s="82"/>
      <c r="AQ347" s="82"/>
      <c r="AR347" s="82"/>
      <c r="AS347" s="82"/>
      <c r="AT347" s="82"/>
      <c r="AU347" s="82"/>
      <c r="AV347" s="82"/>
      <c r="AW347" s="82"/>
      <c r="AX347" s="82"/>
      <c r="AY347" s="82"/>
      <c r="AZ347" s="82"/>
      <c r="BA347" s="82"/>
      <c r="BB347" s="82"/>
      <c r="BC347" s="82"/>
      <c r="BD347" s="82"/>
      <c r="BE347" s="82"/>
      <c r="BF347" s="82"/>
      <c r="BG347" s="82"/>
      <c r="BH347" s="82"/>
      <c r="BI347" s="82"/>
      <c r="BJ347" s="82"/>
      <c r="BK347" s="82"/>
      <c r="BL347" s="82"/>
      <c r="BM347" s="82"/>
      <c r="BN347" s="82"/>
      <c r="BO347" s="82"/>
      <c r="BP347" s="82"/>
      <c r="BQ347" s="63"/>
      <c r="BR347" s="82"/>
      <c r="BS347" s="82"/>
      <c r="BT347" s="82"/>
      <c r="BU347" s="4"/>
    </row>
    <row r="348" spans="1:73" ht="12.75" x14ac:dyDescent="0.2">
      <c r="A348" s="1"/>
      <c r="B348" s="85"/>
      <c r="C348" s="85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4"/>
      <c r="O348" s="82"/>
      <c r="P348" s="82"/>
      <c r="Q348" s="82"/>
      <c r="R348" s="63"/>
      <c r="S348" s="63"/>
      <c r="T348" s="63"/>
      <c r="U348" s="63"/>
      <c r="V348" s="63"/>
      <c r="W348" s="63"/>
      <c r="X348" s="63"/>
      <c r="Y348" s="82"/>
      <c r="Z348" s="82"/>
      <c r="AA348" s="82"/>
      <c r="AB348" s="82"/>
      <c r="AC348" s="82"/>
      <c r="AD348" s="82"/>
      <c r="AE348" s="82"/>
      <c r="AF348" s="63" t="str">
        <f t="shared" si="1"/>
        <v/>
      </c>
      <c r="AG348" s="82"/>
      <c r="AH348" s="82"/>
      <c r="AI348" s="82"/>
      <c r="AJ348" s="82"/>
      <c r="AK348" s="82"/>
      <c r="AL348" s="82"/>
      <c r="AM348" s="82"/>
      <c r="AN348" s="82"/>
      <c r="AO348" s="82"/>
      <c r="AP348" s="82"/>
      <c r="AQ348" s="82"/>
      <c r="AR348" s="82"/>
      <c r="AS348" s="82"/>
      <c r="AT348" s="82"/>
      <c r="AU348" s="82"/>
      <c r="AV348" s="82"/>
      <c r="AW348" s="82"/>
      <c r="AX348" s="82"/>
      <c r="AY348" s="82"/>
      <c r="AZ348" s="82"/>
      <c r="BA348" s="82"/>
      <c r="BB348" s="82"/>
      <c r="BC348" s="82"/>
      <c r="BD348" s="82"/>
      <c r="BE348" s="82"/>
      <c r="BF348" s="82"/>
      <c r="BG348" s="82"/>
      <c r="BH348" s="82"/>
      <c r="BI348" s="82"/>
      <c r="BJ348" s="82"/>
      <c r="BK348" s="82"/>
      <c r="BL348" s="82"/>
      <c r="BM348" s="82"/>
      <c r="BN348" s="82"/>
      <c r="BO348" s="82"/>
      <c r="BP348" s="82"/>
      <c r="BQ348" s="63"/>
      <c r="BR348" s="82"/>
      <c r="BS348" s="82"/>
      <c r="BT348" s="82"/>
      <c r="BU348" s="4"/>
    </row>
    <row r="349" spans="1:73" ht="12.75" x14ac:dyDescent="0.2">
      <c r="A349" s="1"/>
      <c r="B349" s="85"/>
      <c r="C349" s="85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4"/>
      <c r="O349" s="82"/>
      <c r="P349" s="82"/>
      <c r="Q349" s="82"/>
      <c r="R349" s="63"/>
      <c r="S349" s="63"/>
      <c r="T349" s="63"/>
      <c r="U349" s="63"/>
      <c r="V349" s="63"/>
      <c r="W349" s="63"/>
      <c r="X349" s="63"/>
      <c r="Y349" s="82"/>
      <c r="Z349" s="82"/>
      <c r="AA349" s="82"/>
      <c r="AB349" s="82"/>
      <c r="AC349" s="82"/>
      <c r="AD349" s="82"/>
      <c r="AE349" s="82"/>
      <c r="AF349" s="63" t="str">
        <f t="shared" si="1"/>
        <v/>
      </c>
      <c r="AG349" s="82"/>
      <c r="AH349" s="82"/>
      <c r="AI349" s="82"/>
      <c r="AJ349" s="82"/>
      <c r="AK349" s="82"/>
      <c r="AL349" s="82"/>
      <c r="AM349" s="82"/>
      <c r="AN349" s="82"/>
      <c r="AO349" s="82"/>
      <c r="AP349" s="82"/>
      <c r="AQ349" s="82"/>
      <c r="AR349" s="82"/>
      <c r="AS349" s="82"/>
      <c r="AT349" s="82"/>
      <c r="AU349" s="82"/>
      <c r="AV349" s="82"/>
      <c r="AW349" s="82"/>
      <c r="AX349" s="82"/>
      <c r="AY349" s="82"/>
      <c r="AZ349" s="82"/>
      <c r="BA349" s="82"/>
      <c r="BB349" s="82"/>
      <c r="BC349" s="82"/>
      <c r="BD349" s="82"/>
      <c r="BE349" s="82"/>
      <c r="BF349" s="82"/>
      <c r="BG349" s="82"/>
      <c r="BH349" s="82"/>
      <c r="BI349" s="82"/>
      <c r="BJ349" s="82"/>
      <c r="BK349" s="82"/>
      <c r="BL349" s="82"/>
      <c r="BM349" s="82"/>
      <c r="BN349" s="82"/>
      <c r="BO349" s="82"/>
      <c r="BP349" s="82"/>
      <c r="BQ349" s="63"/>
      <c r="BR349" s="82"/>
      <c r="BS349" s="82"/>
      <c r="BT349" s="82"/>
      <c r="BU349" s="4"/>
    </row>
    <row r="350" spans="1:73" ht="12.75" x14ac:dyDescent="0.2">
      <c r="A350" s="1"/>
      <c r="B350" s="85"/>
      <c r="C350" s="85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4"/>
      <c r="O350" s="82"/>
      <c r="P350" s="82"/>
      <c r="Q350" s="82"/>
      <c r="R350" s="63"/>
      <c r="S350" s="63"/>
      <c r="T350" s="63"/>
      <c r="U350" s="63"/>
      <c r="V350" s="63"/>
      <c r="W350" s="63"/>
      <c r="X350" s="63"/>
      <c r="Y350" s="82"/>
      <c r="Z350" s="82"/>
      <c r="AA350" s="82"/>
      <c r="AB350" s="82"/>
      <c r="AC350" s="82"/>
      <c r="AD350" s="82"/>
      <c r="AE350" s="82"/>
      <c r="AF350" s="63" t="str">
        <f t="shared" si="1"/>
        <v/>
      </c>
      <c r="AG350" s="82"/>
      <c r="AH350" s="82"/>
      <c r="AI350" s="82"/>
      <c r="AJ350" s="82"/>
      <c r="AK350" s="82"/>
      <c r="AL350" s="82"/>
      <c r="AM350" s="82"/>
      <c r="AN350" s="82"/>
      <c r="AO350" s="82"/>
      <c r="AP350" s="82"/>
      <c r="AQ350" s="82"/>
      <c r="AR350" s="82"/>
      <c r="AS350" s="82"/>
      <c r="AT350" s="82"/>
      <c r="AU350" s="82"/>
      <c r="AV350" s="82"/>
      <c r="AW350" s="82"/>
      <c r="AX350" s="82"/>
      <c r="AY350" s="82"/>
      <c r="AZ350" s="82"/>
      <c r="BA350" s="82"/>
      <c r="BB350" s="82"/>
      <c r="BC350" s="82"/>
      <c r="BD350" s="82"/>
      <c r="BE350" s="82"/>
      <c r="BF350" s="82"/>
      <c r="BG350" s="82"/>
      <c r="BH350" s="82"/>
      <c r="BI350" s="82"/>
      <c r="BJ350" s="82"/>
      <c r="BK350" s="82"/>
      <c r="BL350" s="82"/>
      <c r="BM350" s="82"/>
      <c r="BN350" s="82"/>
      <c r="BO350" s="82"/>
      <c r="BP350" s="82"/>
      <c r="BQ350" s="63"/>
      <c r="BR350" s="82"/>
      <c r="BS350" s="82"/>
      <c r="BT350" s="82"/>
      <c r="BU350" s="4"/>
    </row>
    <row r="351" spans="1:73" ht="12.75" x14ac:dyDescent="0.2">
      <c r="A351" s="1"/>
      <c r="B351" s="85"/>
      <c r="C351" s="85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4"/>
      <c r="O351" s="82"/>
      <c r="P351" s="82"/>
      <c r="Q351" s="82"/>
      <c r="R351" s="63"/>
      <c r="S351" s="63"/>
      <c r="T351" s="63"/>
      <c r="U351" s="63"/>
      <c r="V351" s="63"/>
      <c r="W351" s="63"/>
      <c r="X351" s="63"/>
      <c r="Y351" s="82"/>
      <c r="Z351" s="82"/>
      <c r="AA351" s="82"/>
      <c r="AB351" s="82"/>
      <c r="AC351" s="82"/>
      <c r="AD351" s="82"/>
      <c r="AE351" s="82"/>
      <c r="AF351" s="63" t="str">
        <f t="shared" si="1"/>
        <v/>
      </c>
      <c r="AG351" s="82"/>
      <c r="AH351" s="82"/>
      <c r="AI351" s="82"/>
      <c r="AJ351" s="82"/>
      <c r="AK351" s="82"/>
      <c r="AL351" s="82"/>
      <c r="AM351" s="82"/>
      <c r="AN351" s="82"/>
      <c r="AO351" s="82"/>
      <c r="AP351" s="82"/>
      <c r="AQ351" s="82"/>
      <c r="AR351" s="82"/>
      <c r="AS351" s="82"/>
      <c r="AT351" s="82"/>
      <c r="AU351" s="82"/>
      <c r="AV351" s="82"/>
      <c r="AW351" s="82"/>
      <c r="AX351" s="82"/>
      <c r="AY351" s="82"/>
      <c r="AZ351" s="82"/>
      <c r="BA351" s="82"/>
      <c r="BB351" s="82"/>
      <c r="BC351" s="82"/>
      <c r="BD351" s="82"/>
      <c r="BE351" s="82"/>
      <c r="BF351" s="82"/>
      <c r="BG351" s="82"/>
      <c r="BH351" s="82"/>
      <c r="BI351" s="82"/>
      <c r="BJ351" s="82"/>
      <c r="BK351" s="82"/>
      <c r="BL351" s="82"/>
      <c r="BM351" s="82"/>
      <c r="BN351" s="82"/>
      <c r="BO351" s="82"/>
      <c r="BP351" s="82"/>
      <c r="BQ351" s="63"/>
      <c r="BR351" s="82"/>
      <c r="BS351" s="82"/>
      <c r="BT351" s="82"/>
      <c r="BU351" s="4"/>
    </row>
    <row r="352" spans="1:73" ht="12.75" x14ac:dyDescent="0.2">
      <c r="A352" s="1"/>
      <c r="B352" s="85"/>
      <c r="C352" s="85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4"/>
      <c r="O352" s="82"/>
      <c r="P352" s="82"/>
      <c r="Q352" s="82"/>
      <c r="R352" s="63"/>
      <c r="S352" s="63"/>
      <c r="T352" s="63"/>
      <c r="U352" s="63"/>
      <c r="V352" s="63"/>
      <c r="W352" s="63"/>
      <c r="X352" s="63"/>
      <c r="Y352" s="82"/>
      <c r="Z352" s="82"/>
      <c r="AA352" s="82"/>
      <c r="AB352" s="82"/>
      <c r="AC352" s="82"/>
      <c r="AD352" s="82"/>
      <c r="AE352" s="82"/>
      <c r="AF352" s="63" t="str">
        <f t="shared" si="1"/>
        <v/>
      </c>
      <c r="AG352" s="82"/>
      <c r="AH352" s="82"/>
      <c r="AI352" s="82"/>
      <c r="AJ352" s="82"/>
      <c r="AK352" s="82"/>
      <c r="AL352" s="82"/>
      <c r="AM352" s="82"/>
      <c r="AN352" s="82"/>
      <c r="AO352" s="82"/>
      <c r="AP352" s="82"/>
      <c r="AQ352" s="82"/>
      <c r="AR352" s="82"/>
      <c r="AS352" s="82"/>
      <c r="AT352" s="82"/>
      <c r="AU352" s="82"/>
      <c r="AV352" s="82"/>
      <c r="AW352" s="82"/>
      <c r="AX352" s="82"/>
      <c r="AY352" s="82"/>
      <c r="AZ352" s="82"/>
      <c r="BA352" s="82"/>
      <c r="BB352" s="82"/>
      <c r="BC352" s="82"/>
      <c r="BD352" s="82"/>
      <c r="BE352" s="82"/>
      <c r="BF352" s="82"/>
      <c r="BG352" s="82"/>
      <c r="BH352" s="82"/>
      <c r="BI352" s="82"/>
      <c r="BJ352" s="82"/>
      <c r="BK352" s="82"/>
      <c r="BL352" s="82"/>
      <c r="BM352" s="82"/>
      <c r="BN352" s="82"/>
      <c r="BO352" s="82"/>
      <c r="BP352" s="82"/>
      <c r="BQ352" s="63"/>
      <c r="BR352" s="82"/>
      <c r="BS352" s="82"/>
      <c r="BT352" s="82"/>
      <c r="BU352" s="4"/>
    </row>
    <row r="353" spans="1:73" ht="12.75" x14ac:dyDescent="0.2">
      <c r="A353" s="1"/>
      <c r="B353" s="85"/>
      <c r="C353" s="85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4"/>
      <c r="O353" s="82"/>
      <c r="P353" s="82"/>
      <c r="Q353" s="82"/>
      <c r="R353" s="63"/>
      <c r="S353" s="63"/>
      <c r="T353" s="63"/>
      <c r="U353" s="63"/>
      <c r="V353" s="63"/>
      <c r="W353" s="63"/>
      <c r="X353" s="63"/>
      <c r="Y353" s="82"/>
      <c r="Z353" s="82"/>
      <c r="AA353" s="82"/>
      <c r="AB353" s="82"/>
      <c r="AC353" s="82"/>
      <c r="AD353" s="82"/>
      <c r="AE353" s="82"/>
      <c r="AF353" s="63" t="str">
        <f t="shared" si="1"/>
        <v/>
      </c>
      <c r="AG353" s="82"/>
      <c r="AH353" s="82"/>
      <c r="AI353" s="82"/>
      <c r="AJ353" s="82"/>
      <c r="AK353" s="82"/>
      <c r="AL353" s="82"/>
      <c r="AM353" s="82"/>
      <c r="AN353" s="82"/>
      <c r="AO353" s="82"/>
      <c r="AP353" s="82"/>
      <c r="AQ353" s="82"/>
      <c r="AR353" s="82"/>
      <c r="AS353" s="82"/>
      <c r="AT353" s="82"/>
      <c r="AU353" s="82"/>
      <c r="AV353" s="82"/>
      <c r="AW353" s="82"/>
      <c r="AX353" s="82"/>
      <c r="AY353" s="82"/>
      <c r="AZ353" s="82"/>
      <c r="BA353" s="82"/>
      <c r="BB353" s="82"/>
      <c r="BC353" s="82"/>
      <c r="BD353" s="82"/>
      <c r="BE353" s="82"/>
      <c r="BF353" s="82"/>
      <c r="BG353" s="82"/>
      <c r="BH353" s="82"/>
      <c r="BI353" s="82"/>
      <c r="BJ353" s="82"/>
      <c r="BK353" s="82"/>
      <c r="BL353" s="82"/>
      <c r="BM353" s="82"/>
      <c r="BN353" s="82"/>
      <c r="BO353" s="82"/>
      <c r="BP353" s="82"/>
      <c r="BQ353" s="63"/>
      <c r="BR353" s="82"/>
      <c r="BS353" s="82"/>
      <c r="BT353" s="82"/>
      <c r="BU353" s="4"/>
    </row>
    <row r="354" spans="1:73" ht="12.75" x14ac:dyDescent="0.2">
      <c r="A354" s="1"/>
      <c r="B354" s="85"/>
      <c r="C354" s="85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4"/>
      <c r="O354" s="82"/>
      <c r="P354" s="82"/>
      <c r="Q354" s="82"/>
      <c r="R354" s="63"/>
      <c r="S354" s="63"/>
      <c r="T354" s="63"/>
      <c r="U354" s="63"/>
      <c r="V354" s="63"/>
      <c r="W354" s="63"/>
      <c r="X354" s="63"/>
      <c r="Y354" s="82"/>
      <c r="Z354" s="82"/>
      <c r="AA354" s="82"/>
      <c r="AB354" s="82"/>
      <c r="AC354" s="82"/>
      <c r="AD354" s="82"/>
      <c r="AE354" s="82"/>
      <c r="AF354" s="63" t="str">
        <f t="shared" si="1"/>
        <v/>
      </c>
      <c r="AG354" s="82"/>
      <c r="AH354" s="82"/>
      <c r="AI354" s="82"/>
      <c r="AJ354" s="82"/>
      <c r="AK354" s="82"/>
      <c r="AL354" s="82"/>
      <c r="AM354" s="82"/>
      <c r="AN354" s="82"/>
      <c r="AO354" s="82"/>
      <c r="AP354" s="82"/>
      <c r="AQ354" s="82"/>
      <c r="AR354" s="82"/>
      <c r="AS354" s="82"/>
      <c r="AT354" s="82"/>
      <c r="AU354" s="82"/>
      <c r="AV354" s="82"/>
      <c r="AW354" s="82"/>
      <c r="AX354" s="82"/>
      <c r="AY354" s="82"/>
      <c r="AZ354" s="82"/>
      <c r="BA354" s="82"/>
      <c r="BB354" s="82"/>
      <c r="BC354" s="82"/>
      <c r="BD354" s="82"/>
      <c r="BE354" s="82"/>
      <c r="BF354" s="82"/>
      <c r="BG354" s="82"/>
      <c r="BH354" s="82"/>
      <c r="BI354" s="82"/>
      <c r="BJ354" s="82"/>
      <c r="BK354" s="82"/>
      <c r="BL354" s="82"/>
      <c r="BM354" s="82"/>
      <c r="BN354" s="82"/>
      <c r="BO354" s="82"/>
      <c r="BP354" s="82"/>
      <c r="BQ354" s="63"/>
      <c r="BR354" s="82"/>
      <c r="BS354" s="82"/>
      <c r="BT354" s="82"/>
      <c r="BU354" s="4"/>
    </row>
    <row r="355" spans="1:73" ht="12.75" x14ac:dyDescent="0.2">
      <c r="A355" s="1"/>
      <c r="B355" s="85"/>
      <c r="C355" s="85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4"/>
      <c r="O355" s="82"/>
      <c r="P355" s="82"/>
      <c r="Q355" s="82"/>
      <c r="R355" s="63"/>
      <c r="S355" s="63"/>
      <c r="T355" s="63"/>
      <c r="U355" s="63"/>
      <c r="V355" s="63"/>
      <c r="W355" s="63"/>
      <c r="X355" s="63"/>
      <c r="Y355" s="82"/>
      <c r="Z355" s="82"/>
      <c r="AA355" s="82"/>
      <c r="AB355" s="82"/>
      <c r="AC355" s="82"/>
      <c r="AD355" s="82"/>
      <c r="AE355" s="82"/>
      <c r="AF355" s="63" t="str">
        <f t="shared" si="1"/>
        <v/>
      </c>
      <c r="AG355" s="82"/>
      <c r="AH355" s="82"/>
      <c r="AI355" s="82"/>
      <c r="AJ355" s="82"/>
      <c r="AK355" s="82"/>
      <c r="AL355" s="82"/>
      <c r="AM355" s="82"/>
      <c r="AN355" s="82"/>
      <c r="AO355" s="82"/>
      <c r="AP355" s="82"/>
      <c r="AQ355" s="82"/>
      <c r="AR355" s="82"/>
      <c r="AS355" s="82"/>
      <c r="AT355" s="82"/>
      <c r="AU355" s="82"/>
      <c r="AV355" s="82"/>
      <c r="AW355" s="82"/>
      <c r="AX355" s="82"/>
      <c r="AY355" s="82"/>
      <c r="AZ355" s="82"/>
      <c r="BA355" s="82"/>
      <c r="BB355" s="82"/>
      <c r="BC355" s="82"/>
      <c r="BD355" s="82"/>
      <c r="BE355" s="82"/>
      <c r="BF355" s="82"/>
      <c r="BG355" s="82"/>
      <c r="BH355" s="82"/>
      <c r="BI355" s="82"/>
      <c r="BJ355" s="82"/>
      <c r="BK355" s="82"/>
      <c r="BL355" s="82"/>
      <c r="BM355" s="82"/>
      <c r="BN355" s="82"/>
      <c r="BO355" s="82"/>
      <c r="BP355" s="82"/>
      <c r="BQ355" s="63"/>
      <c r="BR355" s="82"/>
      <c r="BS355" s="82"/>
      <c r="BT355" s="82"/>
      <c r="BU355" s="4"/>
    </row>
    <row r="356" spans="1:73" ht="12.75" x14ac:dyDescent="0.2">
      <c r="A356" s="1"/>
      <c r="B356" s="85"/>
      <c r="C356" s="85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4"/>
      <c r="O356" s="82"/>
      <c r="P356" s="82"/>
      <c r="Q356" s="82"/>
      <c r="R356" s="63"/>
      <c r="S356" s="63"/>
      <c r="T356" s="63"/>
      <c r="U356" s="63"/>
      <c r="V356" s="63"/>
      <c r="W356" s="63"/>
      <c r="X356" s="63"/>
      <c r="Y356" s="82"/>
      <c r="Z356" s="82"/>
      <c r="AA356" s="82"/>
      <c r="AB356" s="82"/>
      <c r="AC356" s="82"/>
      <c r="AD356" s="82"/>
      <c r="AE356" s="82"/>
      <c r="AF356" s="63" t="str">
        <f t="shared" si="1"/>
        <v/>
      </c>
      <c r="AG356" s="82"/>
      <c r="AH356" s="82"/>
      <c r="AI356" s="82"/>
      <c r="AJ356" s="82"/>
      <c r="AK356" s="82"/>
      <c r="AL356" s="82"/>
      <c r="AM356" s="82"/>
      <c r="AN356" s="82"/>
      <c r="AO356" s="82"/>
      <c r="AP356" s="82"/>
      <c r="AQ356" s="82"/>
      <c r="AR356" s="82"/>
      <c r="AS356" s="82"/>
      <c r="AT356" s="82"/>
      <c r="AU356" s="82"/>
      <c r="AV356" s="82"/>
      <c r="AW356" s="82"/>
      <c r="AX356" s="82"/>
      <c r="AY356" s="82"/>
      <c r="AZ356" s="82"/>
      <c r="BA356" s="82"/>
      <c r="BB356" s="82"/>
      <c r="BC356" s="82"/>
      <c r="BD356" s="82"/>
      <c r="BE356" s="82"/>
      <c r="BF356" s="82"/>
      <c r="BG356" s="82"/>
      <c r="BH356" s="82"/>
      <c r="BI356" s="82"/>
      <c r="BJ356" s="82"/>
      <c r="BK356" s="82"/>
      <c r="BL356" s="82"/>
      <c r="BM356" s="82"/>
      <c r="BN356" s="82"/>
      <c r="BO356" s="82"/>
      <c r="BP356" s="82"/>
      <c r="BQ356" s="63"/>
      <c r="BR356" s="82"/>
      <c r="BS356" s="82"/>
      <c r="BT356" s="82"/>
      <c r="BU356" s="4"/>
    </row>
    <row r="357" spans="1:73" ht="12.75" x14ac:dyDescent="0.2">
      <c r="A357" s="1"/>
      <c r="B357" s="85"/>
      <c r="C357" s="85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4"/>
      <c r="O357" s="82"/>
      <c r="P357" s="82"/>
      <c r="Q357" s="82"/>
      <c r="R357" s="63"/>
      <c r="S357" s="63"/>
      <c r="T357" s="63"/>
      <c r="U357" s="63"/>
      <c r="V357" s="63"/>
      <c r="W357" s="63"/>
      <c r="X357" s="63"/>
      <c r="Y357" s="82"/>
      <c r="Z357" s="82"/>
      <c r="AA357" s="82"/>
      <c r="AB357" s="82"/>
      <c r="AC357" s="82"/>
      <c r="AD357" s="82"/>
      <c r="AE357" s="82"/>
      <c r="AF357" s="63" t="str">
        <f t="shared" si="1"/>
        <v/>
      </c>
      <c r="AG357" s="82"/>
      <c r="AH357" s="82"/>
      <c r="AI357" s="82"/>
      <c r="AJ357" s="82"/>
      <c r="AK357" s="82"/>
      <c r="AL357" s="82"/>
      <c r="AM357" s="82"/>
      <c r="AN357" s="82"/>
      <c r="AO357" s="82"/>
      <c r="AP357" s="82"/>
      <c r="AQ357" s="82"/>
      <c r="AR357" s="82"/>
      <c r="AS357" s="82"/>
      <c r="AT357" s="82"/>
      <c r="AU357" s="82"/>
      <c r="AV357" s="82"/>
      <c r="AW357" s="82"/>
      <c r="AX357" s="82"/>
      <c r="AY357" s="82"/>
      <c r="AZ357" s="82"/>
      <c r="BA357" s="82"/>
      <c r="BB357" s="82"/>
      <c r="BC357" s="82"/>
      <c r="BD357" s="82"/>
      <c r="BE357" s="82"/>
      <c r="BF357" s="82"/>
      <c r="BG357" s="82"/>
      <c r="BH357" s="82"/>
      <c r="BI357" s="82"/>
      <c r="BJ357" s="82"/>
      <c r="BK357" s="82"/>
      <c r="BL357" s="82"/>
      <c r="BM357" s="82"/>
      <c r="BN357" s="82"/>
      <c r="BO357" s="82"/>
      <c r="BP357" s="82"/>
      <c r="BQ357" s="63"/>
      <c r="BR357" s="82"/>
      <c r="BS357" s="82"/>
      <c r="BT357" s="82"/>
      <c r="BU357" s="4"/>
    </row>
    <row r="358" spans="1:73" ht="12.75" x14ac:dyDescent="0.2">
      <c r="A358" s="1"/>
      <c r="B358" s="85"/>
      <c r="C358" s="85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4"/>
      <c r="O358" s="82"/>
      <c r="P358" s="82"/>
      <c r="Q358" s="82"/>
      <c r="R358" s="63"/>
      <c r="S358" s="63"/>
      <c r="T358" s="63"/>
      <c r="U358" s="63"/>
      <c r="V358" s="63"/>
      <c r="W358" s="63"/>
      <c r="X358" s="63"/>
      <c r="Y358" s="82"/>
      <c r="Z358" s="82"/>
      <c r="AA358" s="82"/>
      <c r="AB358" s="82"/>
      <c r="AC358" s="82"/>
      <c r="AD358" s="82"/>
      <c r="AE358" s="82"/>
      <c r="AF358" s="63" t="str">
        <f t="shared" si="1"/>
        <v/>
      </c>
      <c r="AG358" s="82"/>
      <c r="AH358" s="82"/>
      <c r="AI358" s="82"/>
      <c r="AJ358" s="82"/>
      <c r="AK358" s="82"/>
      <c r="AL358" s="82"/>
      <c r="AM358" s="82"/>
      <c r="AN358" s="82"/>
      <c r="AO358" s="82"/>
      <c r="AP358" s="82"/>
      <c r="AQ358" s="82"/>
      <c r="AR358" s="82"/>
      <c r="AS358" s="82"/>
      <c r="AT358" s="82"/>
      <c r="AU358" s="82"/>
      <c r="AV358" s="82"/>
      <c r="AW358" s="82"/>
      <c r="AX358" s="82"/>
      <c r="AY358" s="82"/>
      <c r="AZ358" s="82"/>
      <c r="BA358" s="82"/>
      <c r="BB358" s="82"/>
      <c r="BC358" s="82"/>
      <c r="BD358" s="82"/>
      <c r="BE358" s="82"/>
      <c r="BF358" s="82"/>
      <c r="BG358" s="82"/>
      <c r="BH358" s="82"/>
      <c r="BI358" s="82"/>
      <c r="BJ358" s="82"/>
      <c r="BK358" s="82"/>
      <c r="BL358" s="82"/>
      <c r="BM358" s="82"/>
      <c r="BN358" s="82"/>
      <c r="BO358" s="82"/>
      <c r="BP358" s="82"/>
      <c r="BQ358" s="63"/>
      <c r="BR358" s="82"/>
      <c r="BS358" s="82"/>
      <c r="BT358" s="82"/>
      <c r="BU358" s="4"/>
    </row>
    <row r="359" spans="1:73" ht="12.75" x14ac:dyDescent="0.2">
      <c r="A359" s="1"/>
      <c r="B359" s="85"/>
      <c r="C359" s="85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4"/>
      <c r="O359" s="82"/>
      <c r="P359" s="82"/>
      <c r="Q359" s="82"/>
      <c r="R359" s="63"/>
      <c r="S359" s="63"/>
      <c r="T359" s="63"/>
      <c r="U359" s="63"/>
      <c r="V359" s="63"/>
      <c r="W359" s="63"/>
      <c r="X359" s="63"/>
      <c r="Y359" s="82"/>
      <c r="Z359" s="82"/>
      <c r="AA359" s="82"/>
      <c r="AB359" s="82"/>
      <c r="AC359" s="82"/>
      <c r="AD359" s="82"/>
      <c r="AE359" s="82"/>
      <c r="AF359" s="63" t="str">
        <f t="shared" si="1"/>
        <v/>
      </c>
      <c r="AG359" s="82"/>
      <c r="AH359" s="82"/>
      <c r="AI359" s="82"/>
      <c r="AJ359" s="82"/>
      <c r="AK359" s="82"/>
      <c r="AL359" s="82"/>
      <c r="AM359" s="82"/>
      <c r="AN359" s="82"/>
      <c r="AO359" s="82"/>
      <c r="AP359" s="82"/>
      <c r="AQ359" s="82"/>
      <c r="AR359" s="82"/>
      <c r="AS359" s="82"/>
      <c r="AT359" s="82"/>
      <c r="AU359" s="82"/>
      <c r="AV359" s="82"/>
      <c r="AW359" s="82"/>
      <c r="AX359" s="82"/>
      <c r="AY359" s="82"/>
      <c r="AZ359" s="82"/>
      <c r="BA359" s="82"/>
      <c r="BB359" s="82"/>
      <c r="BC359" s="82"/>
      <c r="BD359" s="82"/>
      <c r="BE359" s="82"/>
      <c r="BF359" s="82"/>
      <c r="BG359" s="82"/>
      <c r="BH359" s="82"/>
      <c r="BI359" s="82"/>
      <c r="BJ359" s="82"/>
      <c r="BK359" s="82"/>
      <c r="BL359" s="82"/>
      <c r="BM359" s="82"/>
      <c r="BN359" s="82"/>
      <c r="BO359" s="82"/>
      <c r="BP359" s="82"/>
      <c r="BQ359" s="63"/>
      <c r="BR359" s="82"/>
      <c r="BS359" s="82"/>
      <c r="BT359" s="82"/>
      <c r="BU359" s="4"/>
    </row>
    <row r="360" spans="1:73" ht="12.75" x14ac:dyDescent="0.2">
      <c r="A360" s="1"/>
      <c r="B360" s="85"/>
      <c r="C360" s="85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4"/>
      <c r="O360" s="82"/>
      <c r="P360" s="82"/>
      <c r="Q360" s="82"/>
      <c r="R360" s="63"/>
      <c r="S360" s="63"/>
      <c r="T360" s="63"/>
      <c r="U360" s="63"/>
      <c r="V360" s="63"/>
      <c r="W360" s="63"/>
      <c r="X360" s="63"/>
      <c r="Y360" s="82"/>
      <c r="Z360" s="82"/>
      <c r="AA360" s="82"/>
      <c r="AB360" s="82"/>
      <c r="AC360" s="82"/>
      <c r="AD360" s="82"/>
      <c r="AE360" s="82"/>
      <c r="AF360" s="63" t="str">
        <f t="shared" si="1"/>
        <v/>
      </c>
      <c r="AG360" s="82"/>
      <c r="AH360" s="82"/>
      <c r="AI360" s="82"/>
      <c r="AJ360" s="82"/>
      <c r="AK360" s="82"/>
      <c r="AL360" s="82"/>
      <c r="AM360" s="82"/>
      <c r="AN360" s="82"/>
      <c r="AO360" s="82"/>
      <c r="AP360" s="82"/>
      <c r="AQ360" s="82"/>
      <c r="AR360" s="82"/>
      <c r="AS360" s="82"/>
      <c r="AT360" s="82"/>
      <c r="AU360" s="82"/>
      <c r="AV360" s="82"/>
      <c r="AW360" s="82"/>
      <c r="AX360" s="82"/>
      <c r="AY360" s="82"/>
      <c r="AZ360" s="82"/>
      <c r="BA360" s="82"/>
      <c r="BB360" s="82"/>
      <c r="BC360" s="82"/>
      <c r="BD360" s="82"/>
      <c r="BE360" s="82"/>
      <c r="BF360" s="82"/>
      <c r="BG360" s="82"/>
      <c r="BH360" s="82"/>
      <c r="BI360" s="82"/>
      <c r="BJ360" s="82"/>
      <c r="BK360" s="82"/>
      <c r="BL360" s="82"/>
      <c r="BM360" s="82"/>
      <c r="BN360" s="82"/>
      <c r="BO360" s="82"/>
      <c r="BP360" s="82"/>
      <c r="BQ360" s="63"/>
      <c r="BR360" s="82"/>
      <c r="BS360" s="82"/>
      <c r="BT360" s="82"/>
      <c r="BU360" s="4"/>
    </row>
    <row r="361" spans="1:73" ht="12.75" x14ac:dyDescent="0.2">
      <c r="A361" s="1"/>
      <c r="B361" s="85"/>
      <c r="C361" s="85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4"/>
      <c r="O361" s="82"/>
      <c r="P361" s="82"/>
      <c r="Q361" s="82"/>
      <c r="R361" s="63"/>
      <c r="S361" s="63"/>
      <c r="T361" s="63"/>
      <c r="U361" s="63"/>
      <c r="V361" s="63"/>
      <c r="W361" s="63"/>
      <c r="X361" s="63"/>
      <c r="Y361" s="82"/>
      <c r="Z361" s="82"/>
      <c r="AA361" s="82"/>
      <c r="AB361" s="82"/>
      <c r="AC361" s="82"/>
      <c r="AD361" s="82"/>
      <c r="AE361" s="82"/>
      <c r="AF361" s="63" t="str">
        <f t="shared" si="1"/>
        <v/>
      </c>
      <c r="AG361" s="82"/>
      <c r="AH361" s="82"/>
      <c r="AI361" s="82"/>
      <c r="AJ361" s="82"/>
      <c r="AK361" s="82"/>
      <c r="AL361" s="82"/>
      <c r="AM361" s="82"/>
      <c r="AN361" s="82"/>
      <c r="AO361" s="82"/>
      <c r="AP361" s="82"/>
      <c r="AQ361" s="82"/>
      <c r="AR361" s="82"/>
      <c r="AS361" s="82"/>
      <c r="AT361" s="82"/>
      <c r="AU361" s="82"/>
      <c r="AV361" s="82"/>
      <c r="AW361" s="82"/>
      <c r="AX361" s="82"/>
      <c r="AY361" s="82"/>
      <c r="AZ361" s="82"/>
      <c r="BA361" s="82"/>
      <c r="BB361" s="82"/>
      <c r="BC361" s="82"/>
      <c r="BD361" s="82"/>
      <c r="BE361" s="82"/>
      <c r="BF361" s="82"/>
      <c r="BG361" s="82"/>
      <c r="BH361" s="82"/>
      <c r="BI361" s="82"/>
      <c r="BJ361" s="82"/>
      <c r="BK361" s="82"/>
      <c r="BL361" s="82"/>
      <c r="BM361" s="82"/>
      <c r="BN361" s="82"/>
      <c r="BO361" s="82"/>
      <c r="BP361" s="82"/>
      <c r="BQ361" s="63"/>
      <c r="BR361" s="82"/>
      <c r="BS361" s="82"/>
      <c r="BT361" s="82"/>
      <c r="BU361" s="4"/>
    </row>
    <row r="362" spans="1:73" ht="12.75" x14ac:dyDescent="0.2">
      <c r="A362" s="1"/>
      <c r="B362" s="85"/>
      <c r="C362" s="85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4"/>
      <c r="O362" s="82"/>
      <c r="P362" s="82"/>
      <c r="Q362" s="82"/>
      <c r="R362" s="63"/>
      <c r="S362" s="63"/>
      <c r="T362" s="63"/>
      <c r="U362" s="63"/>
      <c r="V362" s="63"/>
      <c r="W362" s="63"/>
      <c r="X362" s="63"/>
      <c r="Y362" s="82"/>
      <c r="Z362" s="82"/>
      <c r="AA362" s="82"/>
      <c r="AB362" s="82"/>
      <c r="AC362" s="82"/>
      <c r="AD362" s="82"/>
      <c r="AE362" s="82"/>
      <c r="AF362" s="63" t="str">
        <f t="shared" si="1"/>
        <v/>
      </c>
      <c r="AG362" s="82"/>
      <c r="AH362" s="82"/>
      <c r="AI362" s="82"/>
      <c r="AJ362" s="82"/>
      <c r="AK362" s="82"/>
      <c r="AL362" s="82"/>
      <c r="AM362" s="82"/>
      <c r="AN362" s="82"/>
      <c r="AO362" s="82"/>
      <c r="AP362" s="82"/>
      <c r="AQ362" s="82"/>
      <c r="AR362" s="82"/>
      <c r="AS362" s="82"/>
      <c r="AT362" s="82"/>
      <c r="AU362" s="82"/>
      <c r="AV362" s="82"/>
      <c r="AW362" s="82"/>
      <c r="AX362" s="82"/>
      <c r="AY362" s="82"/>
      <c r="AZ362" s="82"/>
      <c r="BA362" s="82"/>
      <c r="BB362" s="82"/>
      <c r="BC362" s="82"/>
      <c r="BD362" s="82"/>
      <c r="BE362" s="82"/>
      <c r="BF362" s="82"/>
      <c r="BG362" s="82"/>
      <c r="BH362" s="82"/>
      <c r="BI362" s="82"/>
      <c r="BJ362" s="82"/>
      <c r="BK362" s="82"/>
      <c r="BL362" s="82"/>
      <c r="BM362" s="82"/>
      <c r="BN362" s="82"/>
      <c r="BO362" s="82"/>
      <c r="BP362" s="82"/>
      <c r="BQ362" s="63"/>
      <c r="BR362" s="82"/>
      <c r="BS362" s="82"/>
      <c r="BT362" s="82"/>
      <c r="BU362" s="4"/>
    </row>
    <row r="363" spans="1:73" ht="12.75" x14ac:dyDescent="0.2">
      <c r="A363" s="1"/>
      <c r="B363" s="85"/>
      <c r="C363" s="85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4"/>
      <c r="O363" s="82"/>
      <c r="P363" s="82"/>
      <c r="Q363" s="82"/>
      <c r="R363" s="63"/>
      <c r="S363" s="63"/>
      <c r="T363" s="63"/>
      <c r="U363" s="63"/>
      <c r="V363" s="63"/>
      <c r="W363" s="63"/>
      <c r="X363" s="63"/>
      <c r="Y363" s="82"/>
      <c r="Z363" s="82"/>
      <c r="AA363" s="82"/>
      <c r="AB363" s="82"/>
      <c r="AC363" s="82"/>
      <c r="AD363" s="82"/>
      <c r="AE363" s="82"/>
      <c r="AF363" s="63" t="str">
        <f t="shared" si="1"/>
        <v/>
      </c>
      <c r="AG363" s="82"/>
      <c r="AH363" s="82"/>
      <c r="AI363" s="82"/>
      <c r="AJ363" s="82"/>
      <c r="AK363" s="82"/>
      <c r="AL363" s="82"/>
      <c r="AM363" s="82"/>
      <c r="AN363" s="82"/>
      <c r="AO363" s="82"/>
      <c r="AP363" s="82"/>
      <c r="AQ363" s="82"/>
      <c r="AR363" s="82"/>
      <c r="AS363" s="82"/>
      <c r="AT363" s="82"/>
      <c r="AU363" s="82"/>
      <c r="AV363" s="82"/>
      <c r="AW363" s="82"/>
      <c r="AX363" s="82"/>
      <c r="AY363" s="82"/>
      <c r="AZ363" s="82"/>
      <c r="BA363" s="82"/>
      <c r="BB363" s="82"/>
      <c r="BC363" s="82"/>
      <c r="BD363" s="82"/>
      <c r="BE363" s="82"/>
      <c r="BF363" s="82"/>
      <c r="BG363" s="82"/>
      <c r="BH363" s="82"/>
      <c r="BI363" s="82"/>
      <c r="BJ363" s="82"/>
      <c r="BK363" s="82"/>
      <c r="BL363" s="82"/>
      <c r="BM363" s="82"/>
      <c r="BN363" s="82"/>
      <c r="BO363" s="82"/>
      <c r="BP363" s="82"/>
      <c r="BQ363" s="63"/>
      <c r="BR363" s="82"/>
      <c r="BS363" s="82"/>
      <c r="BT363" s="82"/>
      <c r="BU363" s="4"/>
    </row>
    <row r="364" spans="1:73" ht="12.75" x14ac:dyDescent="0.2">
      <c r="A364" s="1"/>
      <c r="B364" s="85"/>
      <c r="C364" s="85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4"/>
      <c r="O364" s="82"/>
      <c r="P364" s="82"/>
      <c r="Q364" s="82"/>
      <c r="R364" s="63"/>
      <c r="S364" s="63"/>
      <c r="T364" s="63"/>
      <c r="U364" s="63"/>
      <c r="V364" s="63"/>
      <c r="W364" s="63"/>
      <c r="X364" s="63"/>
      <c r="Y364" s="82"/>
      <c r="Z364" s="82"/>
      <c r="AA364" s="82"/>
      <c r="AB364" s="82"/>
      <c r="AC364" s="82"/>
      <c r="AD364" s="82"/>
      <c r="AE364" s="82"/>
      <c r="AF364" s="63" t="str">
        <f t="shared" si="1"/>
        <v/>
      </c>
      <c r="AG364" s="82"/>
      <c r="AH364" s="82"/>
      <c r="AI364" s="82"/>
      <c r="AJ364" s="82"/>
      <c r="AK364" s="82"/>
      <c r="AL364" s="82"/>
      <c r="AM364" s="82"/>
      <c r="AN364" s="82"/>
      <c r="AO364" s="82"/>
      <c r="AP364" s="82"/>
      <c r="AQ364" s="82"/>
      <c r="AR364" s="82"/>
      <c r="AS364" s="82"/>
      <c r="AT364" s="82"/>
      <c r="AU364" s="82"/>
      <c r="AV364" s="82"/>
      <c r="AW364" s="82"/>
      <c r="AX364" s="82"/>
      <c r="AY364" s="82"/>
      <c r="AZ364" s="82"/>
      <c r="BA364" s="82"/>
      <c r="BB364" s="82"/>
      <c r="BC364" s="82"/>
      <c r="BD364" s="82"/>
      <c r="BE364" s="82"/>
      <c r="BF364" s="82"/>
      <c r="BG364" s="82"/>
      <c r="BH364" s="82"/>
      <c r="BI364" s="82"/>
      <c r="BJ364" s="82"/>
      <c r="BK364" s="82"/>
      <c r="BL364" s="82"/>
      <c r="BM364" s="82"/>
      <c r="BN364" s="82"/>
      <c r="BO364" s="82"/>
      <c r="BP364" s="82"/>
      <c r="BQ364" s="63"/>
      <c r="BR364" s="82"/>
      <c r="BS364" s="82"/>
      <c r="BT364" s="82"/>
      <c r="BU364" s="4"/>
    </row>
    <row r="365" spans="1:73" ht="12.75" x14ac:dyDescent="0.2">
      <c r="A365" s="1"/>
      <c r="B365" s="85"/>
      <c r="C365" s="85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4"/>
      <c r="O365" s="82"/>
      <c r="P365" s="82"/>
      <c r="Q365" s="82"/>
      <c r="R365" s="63"/>
      <c r="S365" s="63"/>
      <c r="T365" s="63"/>
      <c r="U365" s="63"/>
      <c r="V365" s="63"/>
      <c r="W365" s="63"/>
      <c r="X365" s="63"/>
      <c r="Y365" s="82"/>
      <c r="Z365" s="82"/>
      <c r="AA365" s="82"/>
      <c r="AB365" s="82"/>
      <c r="AC365" s="82"/>
      <c r="AD365" s="82"/>
      <c r="AE365" s="82"/>
      <c r="AF365" s="63" t="str">
        <f t="shared" si="1"/>
        <v/>
      </c>
      <c r="AG365" s="82"/>
      <c r="AH365" s="82"/>
      <c r="AI365" s="82"/>
      <c r="AJ365" s="82"/>
      <c r="AK365" s="82"/>
      <c r="AL365" s="82"/>
      <c r="AM365" s="82"/>
      <c r="AN365" s="82"/>
      <c r="AO365" s="82"/>
      <c r="AP365" s="82"/>
      <c r="AQ365" s="82"/>
      <c r="AR365" s="82"/>
      <c r="AS365" s="82"/>
      <c r="AT365" s="82"/>
      <c r="AU365" s="82"/>
      <c r="AV365" s="82"/>
      <c r="AW365" s="82"/>
      <c r="AX365" s="82"/>
      <c r="AY365" s="82"/>
      <c r="AZ365" s="82"/>
      <c r="BA365" s="82"/>
      <c r="BB365" s="82"/>
      <c r="BC365" s="82"/>
      <c r="BD365" s="82"/>
      <c r="BE365" s="82"/>
      <c r="BF365" s="82"/>
      <c r="BG365" s="82"/>
      <c r="BH365" s="82"/>
      <c r="BI365" s="82"/>
      <c r="BJ365" s="82"/>
      <c r="BK365" s="82"/>
      <c r="BL365" s="82"/>
      <c r="BM365" s="82"/>
      <c r="BN365" s="82"/>
      <c r="BO365" s="82"/>
      <c r="BP365" s="82"/>
      <c r="BQ365" s="63"/>
      <c r="BR365" s="82"/>
      <c r="BS365" s="82"/>
      <c r="BT365" s="82"/>
      <c r="BU365" s="4"/>
    </row>
    <row r="366" spans="1:73" ht="12.75" x14ac:dyDescent="0.2">
      <c r="A366" s="1"/>
      <c r="B366" s="85"/>
      <c r="C366" s="85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4"/>
      <c r="O366" s="82"/>
      <c r="P366" s="82"/>
      <c r="Q366" s="82"/>
      <c r="R366" s="63"/>
      <c r="S366" s="63"/>
      <c r="T366" s="63"/>
      <c r="U366" s="63"/>
      <c r="V366" s="63"/>
      <c r="W366" s="63"/>
      <c r="X366" s="63"/>
      <c r="Y366" s="82"/>
      <c r="Z366" s="82"/>
      <c r="AA366" s="82"/>
      <c r="AB366" s="82"/>
      <c r="AC366" s="82"/>
      <c r="AD366" s="82"/>
      <c r="AE366" s="82"/>
      <c r="AF366" s="63" t="str">
        <f t="shared" si="1"/>
        <v/>
      </c>
      <c r="AG366" s="82"/>
      <c r="AH366" s="82"/>
      <c r="AI366" s="82"/>
      <c r="AJ366" s="82"/>
      <c r="AK366" s="82"/>
      <c r="AL366" s="82"/>
      <c r="AM366" s="82"/>
      <c r="AN366" s="82"/>
      <c r="AO366" s="82"/>
      <c r="AP366" s="82"/>
      <c r="AQ366" s="82"/>
      <c r="AR366" s="82"/>
      <c r="AS366" s="82"/>
      <c r="AT366" s="82"/>
      <c r="AU366" s="82"/>
      <c r="AV366" s="82"/>
      <c r="AW366" s="82"/>
      <c r="AX366" s="82"/>
      <c r="AY366" s="82"/>
      <c r="AZ366" s="82"/>
      <c r="BA366" s="82"/>
      <c r="BB366" s="82"/>
      <c r="BC366" s="82"/>
      <c r="BD366" s="82"/>
      <c r="BE366" s="82"/>
      <c r="BF366" s="82"/>
      <c r="BG366" s="82"/>
      <c r="BH366" s="82"/>
      <c r="BI366" s="82"/>
      <c r="BJ366" s="82"/>
      <c r="BK366" s="82"/>
      <c r="BL366" s="82"/>
      <c r="BM366" s="82"/>
      <c r="BN366" s="82"/>
      <c r="BO366" s="82"/>
      <c r="BP366" s="82"/>
      <c r="BQ366" s="63"/>
      <c r="BR366" s="82"/>
      <c r="BS366" s="82"/>
      <c r="BT366" s="82"/>
      <c r="BU366" s="4"/>
    </row>
    <row r="367" spans="1:73" ht="12.75" x14ac:dyDescent="0.2">
      <c r="A367" s="1"/>
      <c r="B367" s="85"/>
      <c r="C367" s="85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4"/>
      <c r="O367" s="82"/>
      <c r="P367" s="82"/>
      <c r="Q367" s="82"/>
      <c r="R367" s="63"/>
      <c r="S367" s="63"/>
      <c r="T367" s="63"/>
      <c r="U367" s="63"/>
      <c r="V367" s="63"/>
      <c r="W367" s="63"/>
      <c r="X367" s="63"/>
      <c r="Y367" s="82"/>
      <c r="Z367" s="82"/>
      <c r="AA367" s="82"/>
      <c r="AB367" s="82"/>
      <c r="AC367" s="82"/>
      <c r="AD367" s="82"/>
      <c r="AE367" s="82"/>
      <c r="AF367" s="63" t="str">
        <f t="shared" si="1"/>
        <v/>
      </c>
      <c r="AG367" s="82"/>
      <c r="AH367" s="82"/>
      <c r="AI367" s="82"/>
      <c r="AJ367" s="82"/>
      <c r="AK367" s="82"/>
      <c r="AL367" s="82"/>
      <c r="AM367" s="82"/>
      <c r="AN367" s="82"/>
      <c r="AO367" s="82"/>
      <c r="AP367" s="82"/>
      <c r="AQ367" s="82"/>
      <c r="AR367" s="82"/>
      <c r="AS367" s="82"/>
      <c r="AT367" s="82"/>
      <c r="AU367" s="82"/>
      <c r="AV367" s="82"/>
      <c r="AW367" s="82"/>
      <c r="AX367" s="82"/>
      <c r="AY367" s="82"/>
      <c r="AZ367" s="82"/>
      <c r="BA367" s="82"/>
      <c r="BB367" s="82"/>
      <c r="BC367" s="82"/>
      <c r="BD367" s="82"/>
      <c r="BE367" s="82"/>
      <c r="BF367" s="82"/>
      <c r="BG367" s="82"/>
      <c r="BH367" s="82"/>
      <c r="BI367" s="82"/>
      <c r="BJ367" s="82"/>
      <c r="BK367" s="82"/>
      <c r="BL367" s="82"/>
      <c r="BM367" s="82"/>
      <c r="BN367" s="82"/>
      <c r="BO367" s="82"/>
      <c r="BP367" s="82"/>
      <c r="BQ367" s="63"/>
      <c r="BR367" s="82"/>
      <c r="BS367" s="82"/>
      <c r="BT367" s="82"/>
      <c r="BU367" s="4"/>
    </row>
    <row r="368" spans="1:73" ht="12.75" x14ac:dyDescent="0.2">
      <c r="A368" s="1"/>
      <c r="B368" s="85"/>
      <c r="C368" s="85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4"/>
      <c r="O368" s="82"/>
      <c r="P368" s="82"/>
      <c r="Q368" s="82"/>
      <c r="R368" s="63"/>
      <c r="S368" s="63"/>
      <c r="T368" s="63"/>
      <c r="U368" s="63"/>
      <c r="V368" s="63"/>
      <c r="W368" s="63"/>
      <c r="X368" s="63"/>
      <c r="Y368" s="82"/>
      <c r="Z368" s="82"/>
      <c r="AA368" s="82"/>
      <c r="AB368" s="82"/>
      <c r="AC368" s="82"/>
      <c r="AD368" s="82"/>
      <c r="AE368" s="82"/>
      <c r="AF368" s="63" t="str">
        <f t="shared" si="1"/>
        <v/>
      </c>
      <c r="AG368" s="82"/>
      <c r="AH368" s="82"/>
      <c r="AI368" s="82"/>
      <c r="AJ368" s="82"/>
      <c r="AK368" s="82"/>
      <c r="AL368" s="82"/>
      <c r="AM368" s="82"/>
      <c r="AN368" s="82"/>
      <c r="AO368" s="82"/>
      <c r="AP368" s="82"/>
      <c r="AQ368" s="82"/>
      <c r="AR368" s="82"/>
      <c r="AS368" s="82"/>
      <c r="AT368" s="82"/>
      <c r="AU368" s="82"/>
      <c r="AV368" s="82"/>
      <c r="AW368" s="82"/>
      <c r="AX368" s="82"/>
      <c r="AY368" s="82"/>
      <c r="AZ368" s="82"/>
      <c r="BA368" s="82"/>
      <c r="BB368" s="82"/>
      <c r="BC368" s="82"/>
      <c r="BD368" s="82"/>
      <c r="BE368" s="82"/>
      <c r="BF368" s="82"/>
      <c r="BG368" s="82"/>
      <c r="BH368" s="82"/>
      <c r="BI368" s="82"/>
      <c r="BJ368" s="82"/>
      <c r="BK368" s="82"/>
      <c r="BL368" s="82"/>
      <c r="BM368" s="82"/>
      <c r="BN368" s="82"/>
      <c r="BO368" s="82"/>
      <c r="BP368" s="82"/>
      <c r="BQ368" s="63"/>
      <c r="BR368" s="82"/>
      <c r="BS368" s="82"/>
      <c r="BT368" s="82"/>
      <c r="BU368" s="4"/>
    </row>
    <row r="369" spans="1:73" ht="12.75" x14ac:dyDescent="0.2">
      <c r="A369" s="1"/>
      <c r="B369" s="85"/>
      <c r="C369" s="85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4"/>
      <c r="O369" s="82"/>
      <c r="P369" s="82"/>
      <c r="Q369" s="82"/>
      <c r="R369" s="63"/>
      <c r="S369" s="63"/>
      <c r="T369" s="63"/>
      <c r="U369" s="63"/>
      <c r="V369" s="63"/>
      <c r="W369" s="63"/>
      <c r="X369" s="63"/>
      <c r="Y369" s="82"/>
      <c r="Z369" s="82"/>
      <c r="AA369" s="82"/>
      <c r="AB369" s="82"/>
      <c r="AC369" s="82"/>
      <c r="AD369" s="82"/>
      <c r="AE369" s="82"/>
      <c r="AF369" s="63" t="str">
        <f t="shared" si="1"/>
        <v/>
      </c>
      <c r="AG369" s="82"/>
      <c r="AH369" s="82"/>
      <c r="AI369" s="82"/>
      <c r="AJ369" s="82"/>
      <c r="AK369" s="82"/>
      <c r="AL369" s="82"/>
      <c r="AM369" s="82"/>
      <c r="AN369" s="82"/>
      <c r="AO369" s="82"/>
      <c r="AP369" s="82"/>
      <c r="AQ369" s="82"/>
      <c r="AR369" s="82"/>
      <c r="AS369" s="82"/>
      <c r="AT369" s="82"/>
      <c r="AU369" s="82"/>
      <c r="AV369" s="82"/>
      <c r="AW369" s="82"/>
      <c r="AX369" s="82"/>
      <c r="AY369" s="82"/>
      <c r="AZ369" s="82"/>
      <c r="BA369" s="82"/>
      <c r="BB369" s="82"/>
      <c r="BC369" s="82"/>
      <c r="BD369" s="82"/>
      <c r="BE369" s="82"/>
      <c r="BF369" s="82"/>
      <c r="BG369" s="82"/>
      <c r="BH369" s="82"/>
      <c r="BI369" s="82"/>
      <c r="BJ369" s="82"/>
      <c r="BK369" s="82"/>
      <c r="BL369" s="82"/>
      <c r="BM369" s="82"/>
      <c r="BN369" s="82"/>
      <c r="BO369" s="82"/>
      <c r="BP369" s="82"/>
      <c r="BQ369" s="63"/>
      <c r="BR369" s="82"/>
      <c r="BS369" s="82"/>
      <c r="BT369" s="82"/>
      <c r="BU369" s="4"/>
    </row>
    <row r="370" spans="1:73" ht="12.75" x14ac:dyDescent="0.2">
      <c r="A370" s="1"/>
      <c r="B370" s="85"/>
      <c r="C370" s="85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4"/>
      <c r="O370" s="82"/>
      <c r="P370" s="82"/>
      <c r="Q370" s="82"/>
      <c r="R370" s="63"/>
      <c r="S370" s="63"/>
      <c r="T370" s="63"/>
      <c r="U370" s="63"/>
      <c r="V370" s="63"/>
      <c r="W370" s="63"/>
      <c r="X370" s="63"/>
      <c r="Y370" s="82"/>
      <c r="Z370" s="82"/>
      <c r="AA370" s="82"/>
      <c r="AB370" s="82"/>
      <c r="AC370" s="82"/>
      <c r="AD370" s="82"/>
      <c r="AE370" s="82"/>
      <c r="AF370" s="63" t="str">
        <f t="shared" si="1"/>
        <v/>
      </c>
      <c r="AG370" s="82"/>
      <c r="AH370" s="82"/>
      <c r="AI370" s="82"/>
      <c r="AJ370" s="82"/>
      <c r="AK370" s="82"/>
      <c r="AL370" s="82"/>
      <c r="AM370" s="82"/>
      <c r="AN370" s="82"/>
      <c r="AO370" s="82"/>
      <c r="AP370" s="82"/>
      <c r="AQ370" s="82"/>
      <c r="AR370" s="82"/>
      <c r="AS370" s="82"/>
      <c r="AT370" s="82"/>
      <c r="AU370" s="82"/>
      <c r="AV370" s="82"/>
      <c r="AW370" s="82"/>
      <c r="AX370" s="82"/>
      <c r="AY370" s="82"/>
      <c r="AZ370" s="82"/>
      <c r="BA370" s="82"/>
      <c r="BB370" s="82"/>
      <c r="BC370" s="82"/>
      <c r="BD370" s="82"/>
      <c r="BE370" s="82"/>
      <c r="BF370" s="82"/>
      <c r="BG370" s="82"/>
      <c r="BH370" s="82"/>
      <c r="BI370" s="82"/>
      <c r="BJ370" s="82"/>
      <c r="BK370" s="82"/>
      <c r="BL370" s="82"/>
      <c r="BM370" s="82"/>
      <c r="BN370" s="82"/>
      <c r="BO370" s="82"/>
      <c r="BP370" s="82"/>
      <c r="BQ370" s="63"/>
      <c r="BR370" s="82"/>
      <c r="BS370" s="82"/>
      <c r="BT370" s="82"/>
      <c r="BU370" s="4"/>
    </row>
    <row r="371" spans="1:73" ht="12.75" x14ac:dyDescent="0.2">
      <c r="A371" s="1"/>
      <c r="B371" s="85"/>
      <c r="C371" s="85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4"/>
      <c r="O371" s="82"/>
      <c r="P371" s="82"/>
      <c r="Q371" s="82"/>
      <c r="R371" s="63"/>
      <c r="S371" s="63"/>
      <c r="T371" s="63"/>
      <c r="U371" s="63"/>
      <c r="V371" s="63"/>
      <c r="W371" s="63"/>
      <c r="X371" s="63"/>
      <c r="Y371" s="82"/>
      <c r="Z371" s="82"/>
      <c r="AA371" s="82"/>
      <c r="AB371" s="82"/>
      <c r="AC371" s="82"/>
      <c r="AD371" s="82"/>
      <c r="AE371" s="82"/>
      <c r="AF371" s="63" t="str">
        <f t="shared" si="1"/>
        <v/>
      </c>
      <c r="AG371" s="82"/>
      <c r="AH371" s="82"/>
      <c r="AI371" s="82"/>
      <c r="AJ371" s="82"/>
      <c r="AK371" s="82"/>
      <c r="AL371" s="82"/>
      <c r="AM371" s="82"/>
      <c r="AN371" s="82"/>
      <c r="AO371" s="82"/>
      <c r="AP371" s="82"/>
      <c r="AQ371" s="82"/>
      <c r="AR371" s="82"/>
      <c r="AS371" s="82"/>
      <c r="AT371" s="82"/>
      <c r="AU371" s="82"/>
      <c r="AV371" s="82"/>
      <c r="AW371" s="82"/>
      <c r="AX371" s="82"/>
      <c r="AY371" s="82"/>
      <c r="AZ371" s="82"/>
      <c r="BA371" s="82"/>
      <c r="BB371" s="82"/>
      <c r="BC371" s="82"/>
      <c r="BD371" s="82"/>
      <c r="BE371" s="82"/>
      <c r="BF371" s="82"/>
      <c r="BG371" s="82"/>
      <c r="BH371" s="82"/>
      <c r="BI371" s="82"/>
      <c r="BJ371" s="82"/>
      <c r="BK371" s="82"/>
      <c r="BL371" s="82"/>
      <c r="BM371" s="82"/>
      <c r="BN371" s="82"/>
      <c r="BO371" s="82"/>
      <c r="BP371" s="82"/>
      <c r="BQ371" s="63"/>
      <c r="BR371" s="82"/>
      <c r="BS371" s="82"/>
      <c r="BT371" s="82"/>
      <c r="BU371" s="4"/>
    </row>
    <row r="372" spans="1:73" ht="12.75" x14ac:dyDescent="0.2">
      <c r="A372" s="1"/>
      <c r="B372" s="85"/>
      <c r="C372" s="85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4"/>
      <c r="O372" s="82"/>
      <c r="P372" s="82"/>
      <c r="Q372" s="82"/>
      <c r="R372" s="63"/>
      <c r="S372" s="63"/>
      <c r="T372" s="63"/>
      <c r="U372" s="63"/>
      <c r="V372" s="63"/>
      <c r="W372" s="63"/>
      <c r="X372" s="63"/>
      <c r="Y372" s="82"/>
      <c r="Z372" s="82"/>
      <c r="AA372" s="82"/>
      <c r="AB372" s="82"/>
      <c r="AC372" s="82"/>
      <c r="AD372" s="82"/>
      <c r="AE372" s="82"/>
      <c r="AF372" s="63" t="str">
        <f t="shared" si="1"/>
        <v/>
      </c>
      <c r="AG372" s="82"/>
      <c r="AH372" s="82"/>
      <c r="AI372" s="82"/>
      <c r="AJ372" s="82"/>
      <c r="AK372" s="82"/>
      <c r="AL372" s="82"/>
      <c r="AM372" s="82"/>
      <c r="AN372" s="82"/>
      <c r="AO372" s="82"/>
      <c r="AP372" s="82"/>
      <c r="AQ372" s="82"/>
      <c r="AR372" s="82"/>
      <c r="AS372" s="82"/>
      <c r="AT372" s="82"/>
      <c r="AU372" s="82"/>
      <c r="AV372" s="82"/>
      <c r="AW372" s="82"/>
      <c r="AX372" s="82"/>
      <c r="AY372" s="82"/>
      <c r="AZ372" s="82"/>
      <c r="BA372" s="82"/>
      <c r="BB372" s="82"/>
      <c r="BC372" s="82"/>
      <c r="BD372" s="82"/>
      <c r="BE372" s="82"/>
      <c r="BF372" s="82"/>
      <c r="BG372" s="82"/>
      <c r="BH372" s="82"/>
      <c r="BI372" s="82"/>
      <c r="BJ372" s="82"/>
      <c r="BK372" s="82"/>
      <c r="BL372" s="82"/>
      <c r="BM372" s="82"/>
      <c r="BN372" s="82"/>
      <c r="BO372" s="82"/>
      <c r="BP372" s="82"/>
      <c r="BQ372" s="63"/>
      <c r="BR372" s="82"/>
      <c r="BS372" s="82"/>
      <c r="BT372" s="82"/>
      <c r="BU372" s="4"/>
    </row>
    <row r="373" spans="1:73" ht="12.75" x14ac:dyDescent="0.2">
      <c r="A373" s="1"/>
      <c r="B373" s="85"/>
      <c r="C373" s="85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4"/>
      <c r="O373" s="82"/>
      <c r="P373" s="82"/>
      <c r="Q373" s="82"/>
      <c r="R373" s="63"/>
      <c r="S373" s="63"/>
      <c r="T373" s="63"/>
      <c r="U373" s="63"/>
      <c r="V373" s="63"/>
      <c r="W373" s="63"/>
      <c r="X373" s="63"/>
      <c r="Y373" s="82"/>
      <c r="Z373" s="82"/>
      <c r="AA373" s="82"/>
      <c r="AB373" s="82"/>
      <c r="AC373" s="82"/>
      <c r="AD373" s="82"/>
      <c r="AE373" s="82"/>
      <c r="AF373" s="63" t="str">
        <f t="shared" si="1"/>
        <v/>
      </c>
      <c r="AG373" s="82"/>
      <c r="AH373" s="82"/>
      <c r="AI373" s="82"/>
      <c r="AJ373" s="82"/>
      <c r="AK373" s="82"/>
      <c r="AL373" s="82"/>
      <c r="AM373" s="82"/>
      <c r="AN373" s="82"/>
      <c r="AO373" s="82"/>
      <c r="AP373" s="82"/>
      <c r="AQ373" s="82"/>
      <c r="AR373" s="82"/>
      <c r="AS373" s="82"/>
      <c r="AT373" s="82"/>
      <c r="AU373" s="82"/>
      <c r="AV373" s="82"/>
      <c r="AW373" s="82"/>
      <c r="AX373" s="82"/>
      <c r="AY373" s="82"/>
      <c r="AZ373" s="82"/>
      <c r="BA373" s="82"/>
      <c r="BB373" s="82"/>
      <c r="BC373" s="82"/>
      <c r="BD373" s="82"/>
      <c r="BE373" s="82"/>
      <c r="BF373" s="82"/>
      <c r="BG373" s="82"/>
      <c r="BH373" s="82"/>
      <c r="BI373" s="82"/>
      <c r="BJ373" s="82"/>
      <c r="BK373" s="82"/>
      <c r="BL373" s="82"/>
      <c r="BM373" s="82"/>
      <c r="BN373" s="82"/>
      <c r="BO373" s="82"/>
      <c r="BP373" s="82"/>
      <c r="BQ373" s="63"/>
      <c r="BR373" s="82"/>
      <c r="BS373" s="82"/>
      <c r="BT373" s="82"/>
      <c r="BU373" s="4"/>
    </row>
    <row r="374" spans="1:73" ht="12.75" x14ac:dyDescent="0.2">
      <c r="A374" s="1"/>
      <c r="B374" s="85"/>
      <c r="C374" s="85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4"/>
      <c r="O374" s="82"/>
      <c r="P374" s="82"/>
      <c r="Q374" s="82"/>
      <c r="R374" s="63"/>
      <c r="S374" s="63"/>
      <c r="T374" s="63"/>
      <c r="U374" s="63"/>
      <c r="V374" s="63"/>
      <c r="W374" s="63"/>
      <c r="X374" s="63"/>
      <c r="Y374" s="82"/>
      <c r="Z374" s="82"/>
      <c r="AA374" s="82"/>
      <c r="AB374" s="82"/>
      <c r="AC374" s="82"/>
      <c r="AD374" s="82"/>
      <c r="AE374" s="82"/>
      <c r="AF374" s="63" t="str">
        <f t="shared" si="1"/>
        <v/>
      </c>
      <c r="AG374" s="82"/>
      <c r="AH374" s="82"/>
      <c r="AI374" s="82"/>
      <c r="AJ374" s="82"/>
      <c r="AK374" s="82"/>
      <c r="AL374" s="82"/>
      <c r="AM374" s="82"/>
      <c r="AN374" s="82"/>
      <c r="AO374" s="82"/>
      <c r="AP374" s="82"/>
      <c r="AQ374" s="82"/>
      <c r="AR374" s="82"/>
      <c r="AS374" s="82"/>
      <c r="AT374" s="82"/>
      <c r="AU374" s="82"/>
      <c r="AV374" s="82"/>
      <c r="AW374" s="82"/>
      <c r="AX374" s="82"/>
      <c r="AY374" s="82"/>
      <c r="AZ374" s="82"/>
      <c r="BA374" s="82"/>
      <c r="BB374" s="82"/>
      <c r="BC374" s="82"/>
      <c r="BD374" s="82"/>
      <c r="BE374" s="82"/>
      <c r="BF374" s="82"/>
      <c r="BG374" s="82"/>
      <c r="BH374" s="82"/>
      <c r="BI374" s="82"/>
      <c r="BJ374" s="82"/>
      <c r="BK374" s="82"/>
      <c r="BL374" s="82"/>
      <c r="BM374" s="82"/>
      <c r="BN374" s="82"/>
      <c r="BO374" s="82"/>
      <c r="BP374" s="82"/>
      <c r="BQ374" s="63"/>
      <c r="BR374" s="82"/>
      <c r="BS374" s="82"/>
      <c r="BT374" s="82"/>
      <c r="BU374" s="4"/>
    </row>
    <row r="375" spans="1:73" ht="12.75" x14ac:dyDescent="0.2">
      <c r="A375" s="1"/>
      <c r="B375" s="85"/>
      <c r="C375" s="85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4"/>
      <c r="O375" s="82"/>
      <c r="P375" s="82"/>
      <c r="Q375" s="82"/>
      <c r="R375" s="63"/>
      <c r="S375" s="63"/>
      <c r="T375" s="63"/>
      <c r="U375" s="63"/>
      <c r="V375" s="63"/>
      <c r="W375" s="63"/>
      <c r="X375" s="63"/>
      <c r="Y375" s="82"/>
      <c r="Z375" s="82"/>
      <c r="AA375" s="82"/>
      <c r="AB375" s="82"/>
      <c r="AC375" s="82"/>
      <c r="AD375" s="82"/>
      <c r="AE375" s="82"/>
      <c r="AF375" s="63" t="str">
        <f t="shared" si="1"/>
        <v/>
      </c>
      <c r="AG375" s="82"/>
      <c r="AH375" s="82"/>
      <c r="AI375" s="82"/>
      <c r="AJ375" s="82"/>
      <c r="AK375" s="82"/>
      <c r="AL375" s="82"/>
      <c r="AM375" s="82"/>
      <c r="AN375" s="82"/>
      <c r="AO375" s="82"/>
      <c r="AP375" s="82"/>
      <c r="AQ375" s="82"/>
      <c r="AR375" s="82"/>
      <c r="AS375" s="82"/>
      <c r="AT375" s="82"/>
      <c r="AU375" s="82"/>
      <c r="AV375" s="82"/>
      <c r="AW375" s="82"/>
      <c r="AX375" s="82"/>
      <c r="AY375" s="82"/>
      <c r="AZ375" s="82"/>
      <c r="BA375" s="82"/>
      <c r="BB375" s="82"/>
      <c r="BC375" s="82"/>
      <c r="BD375" s="82"/>
      <c r="BE375" s="82"/>
      <c r="BF375" s="82"/>
      <c r="BG375" s="82"/>
      <c r="BH375" s="82"/>
      <c r="BI375" s="82"/>
      <c r="BJ375" s="82"/>
      <c r="BK375" s="82"/>
      <c r="BL375" s="82"/>
      <c r="BM375" s="82"/>
      <c r="BN375" s="82"/>
      <c r="BO375" s="82"/>
      <c r="BP375" s="82"/>
      <c r="BQ375" s="63"/>
      <c r="BR375" s="82"/>
      <c r="BS375" s="82"/>
      <c r="BT375" s="82"/>
      <c r="BU375" s="4"/>
    </row>
    <row r="376" spans="1:73" ht="12.75" x14ac:dyDescent="0.2">
      <c r="A376" s="1"/>
      <c r="B376" s="85"/>
      <c r="C376" s="85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4"/>
      <c r="O376" s="82"/>
      <c r="P376" s="82"/>
      <c r="Q376" s="82"/>
      <c r="R376" s="63"/>
      <c r="S376" s="63"/>
      <c r="T376" s="63"/>
      <c r="U376" s="63"/>
      <c r="V376" s="63"/>
      <c r="W376" s="63"/>
      <c r="X376" s="63"/>
      <c r="Y376" s="82"/>
      <c r="Z376" s="82"/>
      <c r="AA376" s="82"/>
      <c r="AB376" s="82"/>
      <c r="AC376" s="82"/>
      <c r="AD376" s="82"/>
      <c r="AE376" s="82"/>
      <c r="AF376" s="63" t="str">
        <f t="shared" si="1"/>
        <v/>
      </c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82"/>
      <c r="AR376" s="82"/>
      <c r="AS376" s="82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  <c r="BF376" s="82"/>
      <c r="BG376" s="82"/>
      <c r="BH376" s="82"/>
      <c r="BI376" s="82"/>
      <c r="BJ376" s="82"/>
      <c r="BK376" s="82"/>
      <c r="BL376" s="82"/>
      <c r="BM376" s="82"/>
      <c r="BN376" s="82"/>
      <c r="BO376" s="82"/>
      <c r="BP376" s="82"/>
      <c r="BQ376" s="63"/>
      <c r="BR376" s="82"/>
      <c r="BS376" s="82"/>
      <c r="BT376" s="82"/>
      <c r="BU376" s="4"/>
    </row>
    <row r="377" spans="1:73" ht="12.75" x14ac:dyDescent="0.2">
      <c r="A377" s="1"/>
      <c r="B377" s="85"/>
      <c r="C377" s="85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4"/>
      <c r="O377" s="82"/>
      <c r="P377" s="82"/>
      <c r="Q377" s="82"/>
      <c r="R377" s="63"/>
      <c r="S377" s="63"/>
      <c r="T377" s="63"/>
      <c r="U377" s="63"/>
      <c r="V377" s="63"/>
      <c r="W377" s="63"/>
      <c r="X377" s="63"/>
      <c r="Y377" s="82"/>
      <c r="Z377" s="82"/>
      <c r="AA377" s="82"/>
      <c r="AB377" s="82"/>
      <c r="AC377" s="82"/>
      <c r="AD377" s="82"/>
      <c r="AE377" s="82"/>
      <c r="AF377" s="63" t="str">
        <f t="shared" si="1"/>
        <v/>
      </c>
      <c r="AG377" s="82"/>
      <c r="AH377" s="82"/>
      <c r="AI377" s="82"/>
      <c r="AJ377" s="82"/>
      <c r="AK377" s="82"/>
      <c r="AL377" s="82"/>
      <c r="AM377" s="82"/>
      <c r="AN377" s="82"/>
      <c r="AO377" s="82"/>
      <c r="AP377" s="82"/>
      <c r="AQ377" s="82"/>
      <c r="AR377" s="82"/>
      <c r="AS377" s="82"/>
      <c r="AT377" s="82"/>
      <c r="AU377" s="82"/>
      <c r="AV377" s="82"/>
      <c r="AW377" s="82"/>
      <c r="AX377" s="82"/>
      <c r="AY377" s="82"/>
      <c r="AZ377" s="82"/>
      <c r="BA377" s="82"/>
      <c r="BB377" s="82"/>
      <c r="BC377" s="82"/>
      <c r="BD377" s="82"/>
      <c r="BE377" s="82"/>
      <c r="BF377" s="82"/>
      <c r="BG377" s="82"/>
      <c r="BH377" s="82"/>
      <c r="BI377" s="82"/>
      <c r="BJ377" s="82"/>
      <c r="BK377" s="82"/>
      <c r="BL377" s="82"/>
      <c r="BM377" s="82"/>
      <c r="BN377" s="82"/>
      <c r="BO377" s="82"/>
      <c r="BP377" s="82"/>
      <c r="BQ377" s="63"/>
      <c r="BR377" s="82"/>
      <c r="BS377" s="82"/>
      <c r="BT377" s="82"/>
      <c r="BU377" s="4"/>
    </row>
    <row r="378" spans="1:73" ht="12.75" x14ac:dyDescent="0.2">
      <c r="A378" s="1"/>
      <c r="B378" s="85"/>
      <c r="C378" s="85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4"/>
      <c r="O378" s="82"/>
      <c r="P378" s="82"/>
      <c r="Q378" s="82"/>
      <c r="R378" s="63"/>
      <c r="S378" s="63"/>
      <c r="T378" s="63"/>
      <c r="U378" s="63"/>
      <c r="V378" s="63"/>
      <c r="W378" s="63"/>
      <c r="X378" s="63"/>
      <c r="Y378" s="82"/>
      <c r="Z378" s="82"/>
      <c r="AA378" s="82"/>
      <c r="AB378" s="82"/>
      <c r="AC378" s="82"/>
      <c r="AD378" s="82"/>
      <c r="AE378" s="82"/>
      <c r="AF378" s="63" t="str">
        <f t="shared" si="1"/>
        <v/>
      </c>
      <c r="AG378" s="82"/>
      <c r="AH378" s="82"/>
      <c r="AI378" s="82"/>
      <c r="AJ378" s="82"/>
      <c r="AK378" s="82"/>
      <c r="AL378" s="82"/>
      <c r="AM378" s="82"/>
      <c r="AN378" s="82"/>
      <c r="AO378" s="82"/>
      <c r="AP378" s="82"/>
      <c r="AQ378" s="82"/>
      <c r="AR378" s="82"/>
      <c r="AS378" s="82"/>
      <c r="AT378" s="82"/>
      <c r="AU378" s="82"/>
      <c r="AV378" s="82"/>
      <c r="AW378" s="82"/>
      <c r="AX378" s="82"/>
      <c r="AY378" s="82"/>
      <c r="AZ378" s="82"/>
      <c r="BA378" s="82"/>
      <c r="BB378" s="82"/>
      <c r="BC378" s="82"/>
      <c r="BD378" s="82"/>
      <c r="BE378" s="82"/>
      <c r="BF378" s="82"/>
      <c r="BG378" s="82"/>
      <c r="BH378" s="82"/>
      <c r="BI378" s="82"/>
      <c r="BJ378" s="82"/>
      <c r="BK378" s="82"/>
      <c r="BL378" s="82"/>
      <c r="BM378" s="82"/>
      <c r="BN378" s="82"/>
      <c r="BO378" s="82"/>
      <c r="BP378" s="82"/>
      <c r="BQ378" s="63"/>
      <c r="BR378" s="82"/>
      <c r="BS378" s="82"/>
      <c r="BT378" s="82"/>
      <c r="BU378" s="4"/>
    </row>
    <row r="379" spans="1:73" ht="12.75" x14ac:dyDescent="0.2">
      <c r="A379" s="1"/>
      <c r="B379" s="85"/>
      <c r="C379" s="85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4"/>
      <c r="O379" s="82"/>
      <c r="P379" s="82"/>
      <c r="Q379" s="82"/>
      <c r="R379" s="63"/>
      <c r="S379" s="63"/>
      <c r="T379" s="63"/>
      <c r="U379" s="63"/>
      <c r="V379" s="63"/>
      <c r="W379" s="63"/>
      <c r="X379" s="63"/>
      <c r="Y379" s="82"/>
      <c r="Z379" s="82"/>
      <c r="AA379" s="82"/>
      <c r="AB379" s="82"/>
      <c r="AC379" s="82"/>
      <c r="AD379" s="82"/>
      <c r="AE379" s="82"/>
      <c r="AF379" s="63" t="str">
        <f t="shared" si="1"/>
        <v/>
      </c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82"/>
      <c r="AR379" s="82"/>
      <c r="AS379" s="82"/>
      <c r="AT379" s="82"/>
      <c r="AU379" s="82"/>
      <c r="AV379" s="82"/>
      <c r="AW379" s="82"/>
      <c r="AX379" s="82"/>
      <c r="AY379" s="82"/>
      <c r="AZ379" s="82"/>
      <c r="BA379" s="82"/>
      <c r="BB379" s="82"/>
      <c r="BC379" s="82"/>
      <c r="BD379" s="82"/>
      <c r="BE379" s="82"/>
      <c r="BF379" s="82"/>
      <c r="BG379" s="82"/>
      <c r="BH379" s="82"/>
      <c r="BI379" s="82"/>
      <c r="BJ379" s="82"/>
      <c r="BK379" s="82"/>
      <c r="BL379" s="82"/>
      <c r="BM379" s="82"/>
      <c r="BN379" s="82"/>
      <c r="BO379" s="82"/>
      <c r="BP379" s="82"/>
      <c r="BQ379" s="63"/>
      <c r="BR379" s="82"/>
      <c r="BS379" s="82"/>
      <c r="BT379" s="82"/>
      <c r="BU379" s="4"/>
    </row>
    <row r="380" spans="1:73" ht="12.75" x14ac:dyDescent="0.2">
      <c r="A380" s="1"/>
      <c r="B380" s="85"/>
      <c r="C380" s="85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4"/>
      <c r="O380" s="82"/>
      <c r="P380" s="82"/>
      <c r="Q380" s="82"/>
      <c r="R380" s="63"/>
      <c r="S380" s="63"/>
      <c r="T380" s="63"/>
      <c r="U380" s="63"/>
      <c r="V380" s="63"/>
      <c r="W380" s="63"/>
      <c r="X380" s="63"/>
      <c r="Y380" s="82"/>
      <c r="Z380" s="82"/>
      <c r="AA380" s="82"/>
      <c r="AB380" s="82"/>
      <c r="AC380" s="82"/>
      <c r="AD380" s="82"/>
      <c r="AE380" s="82"/>
      <c r="AF380" s="63" t="str">
        <f t="shared" si="1"/>
        <v/>
      </c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  <c r="AR380" s="82"/>
      <c r="AS380" s="82"/>
      <c r="AT380" s="82"/>
      <c r="AU380" s="82"/>
      <c r="AV380" s="82"/>
      <c r="AW380" s="82"/>
      <c r="AX380" s="82"/>
      <c r="AY380" s="82"/>
      <c r="AZ380" s="82"/>
      <c r="BA380" s="82"/>
      <c r="BB380" s="82"/>
      <c r="BC380" s="82"/>
      <c r="BD380" s="82"/>
      <c r="BE380" s="82"/>
      <c r="BF380" s="82"/>
      <c r="BG380" s="82"/>
      <c r="BH380" s="82"/>
      <c r="BI380" s="82"/>
      <c r="BJ380" s="82"/>
      <c r="BK380" s="82"/>
      <c r="BL380" s="82"/>
      <c r="BM380" s="82"/>
      <c r="BN380" s="82"/>
      <c r="BO380" s="82"/>
      <c r="BP380" s="82"/>
      <c r="BQ380" s="63"/>
      <c r="BR380" s="82"/>
      <c r="BS380" s="82"/>
      <c r="BT380" s="82"/>
      <c r="BU380" s="4"/>
    </row>
    <row r="381" spans="1:73" ht="12.75" x14ac:dyDescent="0.2">
      <c r="A381" s="1"/>
      <c r="B381" s="85"/>
      <c r="C381" s="85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4"/>
      <c r="O381" s="82"/>
      <c r="P381" s="82"/>
      <c r="Q381" s="82"/>
      <c r="R381" s="63"/>
      <c r="S381" s="63"/>
      <c r="T381" s="63"/>
      <c r="U381" s="63"/>
      <c r="V381" s="63"/>
      <c r="W381" s="63"/>
      <c r="X381" s="63"/>
      <c r="Y381" s="82"/>
      <c r="Z381" s="82"/>
      <c r="AA381" s="82"/>
      <c r="AB381" s="82"/>
      <c r="AC381" s="82"/>
      <c r="AD381" s="82"/>
      <c r="AE381" s="82"/>
      <c r="AF381" s="63" t="str">
        <f t="shared" si="1"/>
        <v/>
      </c>
      <c r="AG381" s="82"/>
      <c r="AH381" s="82"/>
      <c r="AI381" s="82"/>
      <c r="AJ381" s="82"/>
      <c r="AK381" s="82"/>
      <c r="AL381" s="82"/>
      <c r="AM381" s="82"/>
      <c r="AN381" s="82"/>
      <c r="AO381" s="82"/>
      <c r="AP381" s="82"/>
      <c r="AQ381" s="82"/>
      <c r="AR381" s="82"/>
      <c r="AS381" s="82"/>
      <c r="AT381" s="82"/>
      <c r="AU381" s="82"/>
      <c r="AV381" s="82"/>
      <c r="AW381" s="82"/>
      <c r="AX381" s="82"/>
      <c r="AY381" s="82"/>
      <c r="AZ381" s="82"/>
      <c r="BA381" s="82"/>
      <c r="BB381" s="82"/>
      <c r="BC381" s="82"/>
      <c r="BD381" s="82"/>
      <c r="BE381" s="82"/>
      <c r="BF381" s="82"/>
      <c r="BG381" s="82"/>
      <c r="BH381" s="82"/>
      <c r="BI381" s="82"/>
      <c r="BJ381" s="82"/>
      <c r="BK381" s="82"/>
      <c r="BL381" s="82"/>
      <c r="BM381" s="82"/>
      <c r="BN381" s="82"/>
      <c r="BO381" s="82"/>
      <c r="BP381" s="82"/>
      <c r="BQ381" s="63"/>
      <c r="BR381" s="82"/>
      <c r="BS381" s="82"/>
      <c r="BT381" s="82"/>
      <c r="BU381" s="4"/>
    </row>
    <row r="382" spans="1:73" ht="12.75" x14ac:dyDescent="0.2">
      <c r="A382" s="1"/>
      <c r="B382" s="85"/>
      <c r="C382" s="85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4"/>
      <c r="O382" s="82"/>
      <c r="P382" s="82"/>
      <c r="Q382" s="82"/>
      <c r="R382" s="63"/>
      <c r="S382" s="63"/>
      <c r="T382" s="63"/>
      <c r="U382" s="63"/>
      <c r="V382" s="63"/>
      <c r="W382" s="63"/>
      <c r="X382" s="63"/>
      <c r="Y382" s="82"/>
      <c r="Z382" s="82"/>
      <c r="AA382" s="82"/>
      <c r="AB382" s="82"/>
      <c r="AC382" s="82"/>
      <c r="AD382" s="82"/>
      <c r="AE382" s="82"/>
      <c r="AF382" s="63" t="str">
        <f t="shared" si="1"/>
        <v/>
      </c>
      <c r="AG382" s="82"/>
      <c r="AH382" s="82"/>
      <c r="AI382" s="82"/>
      <c r="AJ382" s="82"/>
      <c r="AK382" s="82"/>
      <c r="AL382" s="82"/>
      <c r="AM382" s="82"/>
      <c r="AN382" s="82"/>
      <c r="AO382" s="82"/>
      <c r="AP382" s="82"/>
      <c r="AQ382" s="82"/>
      <c r="AR382" s="82"/>
      <c r="AS382" s="82"/>
      <c r="AT382" s="82"/>
      <c r="AU382" s="82"/>
      <c r="AV382" s="82"/>
      <c r="AW382" s="82"/>
      <c r="AX382" s="82"/>
      <c r="AY382" s="82"/>
      <c r="AZ382" s="82"/>
      <c r="BA382" s="82"/>
      <c r="BB382" s="82"/>
      <c r="BC382" s="82"/>
      <c r="BD382" s="82"/>
      <c r="BE382" s="82"/>
      <c r="BF382" s="82"/>
      <c r="BG382" s="82"/>
      <c r="BH382" s="82"/>
      <c r="BI382" s="82"/>
      <c r="BJ382" s="82"/>
      <c r="BK382" s="82"/>
      <c r="BL382" s="82"/>
      <c r="BM382" s="82"/>
      <c r="BN382" s="82"/>
      <c r="BO382" s="82"/>
      <c r="BP382" s="82"/>
      <c r="BQ382" s="63"/>
      <c r="BR382" s="82"/>
      <c r="BS382" s="82"/>
      <c r="BT382" s="82"/>
      <c r="BU382" s="4"/>
    </row>
    <row r="383" spans="1:73" ht="12.75" x14ac:dyDescent="0.2">
      <c r="A383" s="1"/>
      <c r="B383" s="85"/>
      <c r="C383" s="85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4"/>
      <c r="O383" s="82"/>
      <c r="P383" s="82"/>
      <c r="Q383" s="82"/>
      <c r="R383" s="63"/>
      <c r="S383" s="63"/>
      <c r="T383" s="63"/>
      <c r="U383" s="63"/>
      <c r="V383" s="63"/>
      <c r="W383" s="63"/>
      <c r="X383" s="63"/>
      <c r="Y383" s="82"/>
      <c r="Z383" s="82"/>
      <c r="AA383" s="82"/>
      <c r="AB383" s="82"/>
      <c r="AC383" s="82"/>
      <c r="AD383" s="82"/>
      <c r="AE383" s="82"/>
      <c r="AF383" s="63" t="str">
        <f t="shared" si="1"/>
        <v/>
      </c>
      <c r="AG383" s="82"/>
      <c r="AH383" s="82"/>
      <c r="AI383" s="82"/>
      <c r="AJ383" s="82"/>
      <c r="AK383" s="82"/>
      <c r="AL383" s="82"/>
      <c r="AM383" s="82"/>
      <c r="AN383" s="82"/>
      <c r="AO383" s="82"/>
      <c r="AP383" s="82"/>
      <c r="AQ383" s="82"/>
      <c r="AR383" s="82"/>
      <c r="AS383" s="82"/>
      <c r="AT383" s="82"/>
      <c r="AU383" s="82"/>
      <c r="AV383" s="82"/>
      <c r="AW383" s="82"/>
      <c r="AX383" s="82"/>
      <c r="AY383" s="82"/>
      <c r="AZ383" s="82"/>
      <c r="BA383" s="82"/>
      <c r="BB383" s="82"/>
      <c r="BC383" s="82"/>
      <c r="BD383" s="82"/>
      <c r="BE383" s="82"/>
      <c r="BF383" s="82"/>
      <c r="BG383" s="82"/>
      <c r="BH383" s="82"/>
      <c r="BI383" s="82"/>
      <c r="BJ383" s="82"/>
      <c r="BK383" s="82"/>
      <c r="BL383" s="82"/>
      <c r="BM383" s="82"/>
      <c r="BN383" s="82"/>
      <c r="BO383" s="82"/>
      <c r="BP383" s="82"/>
      <c r="BQ383" s="63"/>
      <c r="BR383" s="82"/>
      <c r="BS383" s="82"/>
      <c r="BT383" s="82"/>
      <c r="BU383" s="4"/>
    </row>
    <row r="384" spans="1:73" ht="12.75" x14ac:dyDescent="0.2">
      <c r="A384" s="1"/>
      <c r="B384" s="85"/>
      <c r="C384" s="85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4"/>
      <c r="O384" s="82"/>
      <c r="P384" s="82"/>
      <c r="Q384" s="82"/>
      <c r="R384" s="63"/>
      <c r="S384" s="63"/>
      <c r="T384" s="63"/>
      <c r="U384" s="63"/>
      <c r="V384" s="63"/>
      <c r="W384" s="63"/>
      <c r="X384" s="63"/>
      <c r="Y384" s="82"/>
      <c r="Z384" s="82"/>
      <c r="AA384" s="82"/>
      <c r="AB384" s="82"/>
      <c r="AC384" s="82"/>
      <c r="AD384" s="82"/>
      <c r="AE384" s="82"/>
      <c r="AF384" s="63" t="str">
        <f t="shared" si="1"/>
        <v/>
      </c>
      <c r="AG384" s="82"/>
      <c r="AH384" s="82"/>
      <c r="AI384" s="82"/>
      <c r="AJ384" s="82"/>
      <c r="AK384" s="82"/>
      <c r="AL384" s="82"/>
      <c r="AM384" s="82"/>
      <c r="AN384" s="82"/>
      <c r="AO384" s="82"/>
      <c r="AP384" s="82"/>
      <c r="AQ384" s="82"/>
      <c r="AR384" s="82"/>
      <c r="AS384" s="82"/>
      <c r="AT384" s="82"/>
      <c r="AU384" s="82"/>
      <c r="AV384" s="82"/>
      <c r="AW384" s="82"/>
      <c r="AX384" s="82"/>
      <c r="AY384" s="82"/>
      <c r="AZ384" s="82"/>
      <c r="BA384" s="82"/>
      <c r="BB384" s="82"/>
      <c r="BC384" s="82"/>
      <c r="BD384" s="82"/>
      <c r="BE384" s="82"/>
      <c r="BF384" s="82"/>
      <c r="BG384" s="82"/>
      <c r="BH384" s="82"/>
      <c r="BI384" s="82"/>
      <c r="BJ384" s="82"/>
      <c r="BK384" s="82"/>
      <c r="BL384" s="82"/>
      <c r="BM384" s="82"/>
      <c r="BN384" s="82"/>
      <c r="BO384" s="82"/>
      <c r="BP384" s="82"/>
      <c r="BQ384" s="63"/>
      <c r="BR384" s="82"/>
      <c r="BS384" s="82"/>
      <c r="BT384" s="82"/>
      <c r="BU384" s="4"/>
    </row>
    <row r="385" spans="1:73" ht="12.75" x14ac:dyDescent="0.2">
      <c r="A385" s="1"/>
      <c r="B385" s="85"/>
      <c r="C385" s="85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4"/>
      <c r="O385" s="82"/>
      <c r="P385" s="82"/>
      <c r="Q385" s="82"/>
      <c r="R385" s="63"/>
      <c r="S385" s="63"/>
      <c r="T385" s="63"/>
      <c r="U385" s="63"/>
      <c r="V385" s="63"/>
      <c r="W385" s="63"/>
      <c r="X385" s="63"/>
      <c r="Y385" s="82"/>
      <c r="Z385" s="82"/>
      <c r="AA385" s="82"/>
      <c r="AB385" s="82"/>
      <c r="AC385" s="82"/>
      <c r="AD385" s="82"/>
      <c r="AE385" s="82"/>
      <c r="AF385" s="63" t="str">
        <f t="shared" si="1"/>
        <v/>
      </c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82"/>
      <c r="AR385" s="82"/>
      <c r="AS385" s="82"/>
      <c r="AT385" s="82"/>
      <c r="AU385" s="82"/>
      <c r="AV385" s="82"/>
      <c r="AW385" s="82"/>
      <c r="AX385" s="82"/>
      <c r="AY385" s="82"/>
      <c r="AZ385" s="82"/>
      <c r="BA385" s="82"/>
      <c r="BB385" s="82"/>
      <c r="BC385" s="82"/>
      <c r="BD385" s="82"/>
      <c r="BE385" s="82"/>
      <c r="BF385" s="82"/>
      <c r="BG385" s="82"/>
      <c r="BH385" s="82"/>
      <c r="BI385" s="82"/>
      <c r="BJ385" s="82"/>
      <c r="BK385" s="82"/>
      <c r="BL385" s="82"/>
      <c r="BM385" s="82"/>
      <c r="BN385" s="82"/>
      <c r="BO385" s="82"/>
      <c r="BP385" s="82"/>
      <c r="BQ385" s="63"/>
      <c r="BR385" s="82"/>
      <c r="BS385" s="82"/>
      <c r="BT385" s="82"/>
      <c r="BU385" s="4"/>
    </row>
    <row r="386" spans="1:73" ht="12.75" x14ac:dyDescent="0.2">
      <c r="A386" s="1"/>
      <c r="B386" s="85"/>
      <c r="C386" s="85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4"/>
      <c r="O386" s="82"/>
      <c r="P386" s="82"/>
      <c r="Q386" s="82"/>
      <c r="R386" s="63"/>
      <c r="S386" s="63"/>
      <c r="T386" s="63"/>
      <c r="U386" s="63"/>
      <c r="V386" s="63"/>
      <c r="W386" s="63"/>
      <c r="X386" s="63"/>
      <c r="Y386" s="82"/>
      <c r="Z386" s="82"/>
      <c r="AA386" s="82"/>
      <c r="AB386" s="82"/>
      <c r="AC386" s="82"/>
      <c r="AD386" s="82"/>
      <c r="AE386" s="82"/>
      <c r="AF386" s="63" t="str">
        <f t="shared" si="1"/>
        <v/>
      </c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82"/>
      <c r="AR386" s="82"/>
      <c r="AS386" s="82"/>
      <c r="AT386" s="82"/>
      <c r="AU386" s="82"/>
      <c r="AV386" s="82"/>
      <c r="AW386" s="82"/>
      <c r="AX386" s="82"/>
      <c r="AY386" s="82"/>
      <c r="AZ386" s="82"/>
      <c r="BA386" s="82"/>
      <c r="BB386" s="82"/>
      <c r="BC386" s="82"/>
      <c r="BD386" s="82"/>
      <c r="BE386" s="82"/>
      <c r="BF386" s="82"/>
      <c r="BG386" s="82"/>
      <c r="BH386" s="82"/>
      <c r="BI386" s="82"/>
      <c r="BJ386" s="82"/>
      <c r="BK386" s="82"/>
      <c r="BL386" s="82"/>
      <c r="BM386" s="82"/>
      <c r="BN386" s="82"/>
      <c r="BO386" s="82"/>
      <c r="BP386" s="82"/>
      <c r="BQ386" s="63"/>
      <c r="BR386" s="82"/>
      <c r="BS386" s="82"/>
      <c r="BT386" s="82"/>
      <c r="BU386" s="4"/>
    </row>
    <row r="387" spans="1:73" ht="12.75" x14ac:dyDescent="0.2">
      <c r="A387" s="1"/>
      <c r="B387" s="85"/>
      <c r="C387" s="85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4"/>
      <c r="O387" s="82"/>
      <c r="P387" s="82"/>
      <c r="Q387" s="82"/>
      <c r="R387" s="63"/>
      <c r="S387" s="63"/>
      <c r="T387" s="63"/>
      <c r="U387" s="63"/>
      <c r="V387" s="63"/>
      <c r="W387" s="63"/>
      <c r="X387" s="63"/>
      <c r="Y387" s="82"/>
      <c r="Z387" s="82"/>
      <c r="AA387" s="82"/>
      <c r="AB387" s="82"/>
      <c r="AC387" s="82"/>
      <c r="AD387" s="82"/>
      <c r="AE387" s="82"/>
      <c r="AF387" s="63" t="str">
        <f t="shared" si="1"/>
        <v/>
      </c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  <c r="AS387" s="82"/>
      <c r="AT387" s="82"/>
      <c r="AU387" s="82"/>
      <c r="AV387" s="82"/>
      <c r="AW387" s="82"/>
      <c r="AX387" s="82"/>
      <c r="AY387" s="82"/>
      <c r="AZ387" s="82"/>
      <c r="BA387" s="82"/>
      <c r="BB387" s="82"/>
      <c r="BC387" s="82"/>
      <c r="BD387" s="82"/>
      <c r="BE387" s="82"/>
      <c r="BF387" s="82"/>
      <c r="BG387" s="82"/>
      <c r="BH387" s="82"/>
      <c r="BI387" s="82"/>
      <c r="BJ387" s="82"/>
      <c r="BK387" s="82"/>
      <c r="BL387" s="82"/>
      <c r="BM387" s="82"/>
      <c r="BN387" s="82"/>
      <c r="BO387" s="82"/>
      <c r="BP387" s="82"/>
      <c r="BQ387" s="63"/>
      <c r="BR387" s="82"/>
      <c r="BS387" s="82"/>
      <c r="BT387" s="82"/>
      <c r="BU387" s="4"/>
    </row>
    <row r="388" spans="1:73" ht="12.75" x14ac:dyDescent="0.2">
      <c r="A388" s="1"/>
      <c r="B388" s="85"/>
      <c r="C388" s="85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4"/>
      <c r="O388" s="82"/>
      <c r="P388" s="82"/>
      <c r="Q388" s="82"/>
      <c r="R388" s="63"/>
      <c r="S388" s="63"/>
      <c r="T388" s="63"/>
      <c r="U388" s="63"/>
      <c r="V388" s="63"/>
      <c r="W388" s="63"/>
      <c r="X388" s="63"/>
      <c r="Y388" s="82"/>
      <c r="Z388" s="82"/>
      <c r="AA388" s="82"/>
      <c r="AB388" s="82"/>
      <c r="AC388" s="82"/>
      <c r="AD388" s="82"/>
      <c r="AE388" s="82"/>
      <c r="AF388" s="63" t="str">
        <f t="shared" si="1"/>
        <v/>
      </c>
      <c r="AG388" s="82"/>
      <c r="AH388" s="82"/>
      <c r="AI388" s="82"/>
      <c r="AJ388" s="82"/>
      <c r="AK388" s="82"/>
      <c r="AL388" s="82"/>
      <c r="AM388" s="82"/>
      <c r="AN388" s="82"/>
      <c r="AO388" s="82"/>
      <c r="AP388" s="82"/>
      <c r="AQ388" s="82"/>
      <c r="AR388" s="82"/>
      <c r="AS388" s="82"/>
      <c r="AT388" s="82"/>
      <c r="AU388" s="82"/>
      <c r="AV388" s="82"/>
      <c r="AW388" s="82"/>
      <c r="AX388" s="82"/>
      <c r="AY388" s="82"/>
      <c r="AZ388" s="82"/>
      <c r="BA388" s="82"/>
      <c r="BB388" s="82"/>
      <c r="BC388" s="82"/>
      <c r="BD388" s="82"/>
      <c r="BE388" s="82"/>
      <c r="BF388" s="82"/>
      <c r="BG388" s="82"/>
      <c r="BH388" s="82"/>
      <c r="BI388" s="82"/>
      <c r="BJ388" s="82"/>
      <c r="BK388" s="82"/>
      <c r="BL388" s="82"/>
      <c r="BM388" s="82"/>
      <c r="BN388" s="82"/>
      <c r="BO388" s="82"/>
      <c r="BP388" s="82"/>
      <c r="BQ388" s="63"/>
      <c r="BR388" s="82"/>
      <c r="BS388" s="82"/>
      <c r="BT388" s="82"/>
      <c r="BU388" s="4"/>
    </row>
    <row r="389" spans="1:73" ht="12.75" x14ac:dyDescent="0.2">
      <c r="A389" s="1"/>
      <c r="B389" s="85"/>
      <c r="C389" s="85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4"/>
      <c r="O389" s="82"/>
      <c r="P389" s="82"/>
      <c r="Q389" s="82"/>
      <c r="R389" s="63"/>
      <c r="S389" s="63"/>
      <c r="T389" s="63"/>
      <c r="U389" s="63"/>
      <c r="V389" s="63"/>
      <c r="W389" s="63"/>
      <c r="X389" s="63"/>
      <c r="Y389" s="82"/>
      <c r="Z389" s="82"/>
      <c r="AA389" s="82"/>
      <c r="AB389" s="82"/>
      <c r="AC389" s="82"/>
      <c r="AD389" s="82"/>
      <c r="AE389" s="82"/>
      <c r="AF389" s="63" t="str">
        <f t="shared" si="1"/>
        <v/>
      </c>
      <c r="AG389" s="82"/>
      <c r="AH389" s="82"/>
      <c r="AI389" s="82"/>
      <c r="AJ389" s="82"/>
      <c r="AK389" s="82"/>
      <c r="AL389" s="82"/>
      <c r="AM389" s="82"/>
      <c r="AN389" s="82"/>
      <c r="AO389" s="82"/>
      <c r="AP389" s="82"/>
      <c r="AQ389" s="82"/>
      <c r="AR389" s="82"/>
      <c r="AS389" s="82"/>
      <c r="AT389" s="82"/>
      <c r="AU389" s="82"/>
      <c r="AV389" s="82"/>
      <c r="AW389" s="82"/>
      <c r="AX389" s="82"/>
      <c r="AY389" s="82"/>
      <c r="AZ389" s="82"/>
      <c r="BA389" s="82"/>
      <c r="BB389" s="82"/>
      <c r="BC389" s="82"/>
      <c r="BD389" s="82"/>
      <c r="BE389" s="82"/>
      <c r="BF389" s="82"/>
      <c r="BG389" s="82"/>
      <c r="BH389" s="82"/>
      <c r="BI389" s="82"/>
      <c r="BJ389" s="82"/>
      <c r="BK389" s="82"/>
      <c r="BL389" s="82"/>
      <c r="BM389" s="82"/>
      <c r="BN389" s="82"/>
      <c r="BO389" s="82"/>
      <c r="BP389" s="82"/>
      <c r="BQ389" s="63"/>
      <c r="BR389" s="82"/>
      <c r="BS389" s="82"/>
      <c r="BT389" s="82"/>
      <c r="BU389" s="4"/>
    </row>
    <row r="390" spans="1:73" ht="12.75" x14ac:dyDescent="0.2">
      <c r="A390" s="1"/>
      <c r="B390" s="85"/>
      <c r="C390" s="85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4"/>
      <c r="O390" s="82"/>
      <c r="P390" s="82"/>
      <c r="Q390" s="82"/>
      <c r="R390" s="63"/>
      <c r="S390" s="63"/>
      <c r="T390" s="63"/>
      <c r="U390" s="63"/>
      <c r="V390" s="63"/>
      <c r="W390" s="63"/>
      <c r="X390" s="63"/>
      <c r="Y390" s="82"/>
      <c r="Z390" s="82"/>
      <c r="AA390" s="82"/>
      <c r="AB390" s="82"/>
      <c r="AC390" s="82"/>
      <c r="AD390" s="82"/>
      <c r="AE390" s="82"/>
      <c r="AF390" s="63" t="str">
        <f t="shared" si="1"/>
        <v/>
      </c>
      <c r="AG390" s="82"/>
      <c r="AH390" s="82"/>
      <c r="AI390" s="82"/>
      <c r="AJ390" s="82"/>
      <c r="AK390" s="82"/>
      <c r="AL390" s="82"/>
      <c r="AM390" s="82"/>
      <c r="AN390" s="82"/>
      <c r="AO390" s="82"/>
      <c r="AP390" s="82"/>
      <c r="AQ390" s="82"/>
      <c r="AR390" s="82"/>
      <c r="AS390" s="82"/>
      <c r="AT390" s="82"/>
      <c r="AU390" s="82"/>
      <c r="AV390" s="82"/>
      <c r="AW390" s="82"/>
      <c r="AX390" s="82"/>
      <c r="AY390" s="82"/>
      <c r="AZ390" s="82"/>
      <c r="BA390" s="82"/>
      <c r="BB390" s="82"/>
      <c r="BC390" s="82"/>
      <c r="BD390" s="82"/>
      <c r="BE390" s="82"/>
      <c r="BF390" s="82"/>
      <c r="BG390" s="82"/>
      <c r="BH390" s="82"/>
      <c r="BI390" s="82"/>
      <c r="BJ390" s="82"/>
      <c r="BK390" s="82"/>
      <c r="BL390" s="82"/>
      <c r="BM390" s="82"/>
      <c r="BN390" s="82"/>
      <c r="BO390" s="82"/>
      <c r="BP390" s="82"/>
      <c r="BQ390" s="63"/>
      <c r="BR390" s="82"/>
      <c r="BS390" s="82"/>
      <c r="BT390" s="82"/>
      <c r="BU390" s="4"/>
    </row>
    <row r="391" spans="1:73" ht="12.75" x14ac:dyDescent="0.2">
      <c r="A391" s="1"/>
      <c r="B391" s="85"/>
      <c r="C391" s="85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4"/>
      <c r="O391" s="82"/>
      <c r="P391" s="82"/>
      <c r="Q391" s="82"/>
      <c r="R391" s="63"/>
      <c r="S391" s="63"/>
      <c r="T391" s="63"/>
      <c r="U391" s="63"/>
      <c r="V391" s="63"/>
      <c r="W391" s="63"/>
      <c r="X391" s="63"/>
      <c r="Y391" s="82"/>
      <c r="Z391" s="82"/>
      <c r="AA391" s="82"/>
      <c r="AB391" s="82"/>
      <c r="AC391" s="82"/>
      <c r="AD391" s="82"/>
      <c r="AE391" s="82"/>
      <c r="AF391" s="63" t="str">
        <f t="shared" si="1"/>
        <v/>
      </c>
      <c r="AG391" s="82"/>
      <c r="AH391" s="82"/>
      <c r="AI391" s="82"/>
      <c r="AJ391" s="82"/>
      <c r="AK391" s="82"/>
      <c r="AL391" s="82"/>
      <c r="AM391" s="82"/>
      <c r="AN391" s="82"/>
      <c r="AO391" s="82"/>
      <c r="AP391" s="82"/>
      <c r="AQ391" s="82"/>
      <c r="AR391" s="82"/>
      <c r="AS391" s="82"/>
      <c r="AT391" s="82"/>
      <c r="AU391" s="82"/>
      <c r="AV391" s="82"/>
      <c r="AW391" s="82"/>
      <c r="AX391" s="82"/>
      <c r="AY391" s="82"/>
      <c r="AZ391" s="82"/>
      <c r="BA391" s="82"/>
      <c r="BB391" s="82"/>
      <c r="BC391" s="82"/>
      <c r="BD391" s="82"/>
      <c r="BE391" s="82"/>
      <c r="BF391" s="82"/>
      <c r="BG391" s="82"/>
      <c r="BH391" s="82"/>
      <c r="BI391" s="82"/>
      <c r="BJ391" s="82"/>
      <c r="BK391" s="82"/>
      <c r="BL391" s="82"/>
      <c r="BM391" s="82"/>
      <c r="BN391" s="82"/>
      <c r="BO391" s="82"/>
      <c r="BP391" s="82"/>
      <c r="BQ391" s="63"/>
      <c r="BR391" s="82"/>
      <c r="BS391" s="82"/>
      <c r="BT391" s="82"/>
      <c r="BU391" s="4"/>
    </row>
    <row r="392" spans="1:73" ht="12.75" x14ac:dyDescent="0.2">
      <c r="A392" s="1"/>
      <c r="B392" s="85"/>
      <c r="C392" s="85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4"/>
      <c r="O392" s="82"/>
      <c r="P392" s="82"/>
      <c r="Q392" s="82"/>
      <c r="R392" s="63"/>
      <c r="S392" s="63"/>
      <c r="T392" s="63"/>
      <c r="U392" s="63"/>
      <c r="V392" s="63"/>
      <c r="W392" s="63"/>
      <c r="X392" s="63"/>
      <c r="Y392" s="82"/>
      <c r="Z392" s="82"/>
      <c r="AA392" s="82"/>
      <c r="AB392" s="82"/>
      <c r="AC392" s="82"/>
      <c r="AD392" s="82"/>
      <c r="AE392" s="82"/>
      <c r="AF392" s="63" t="str">
        <f t="shared" si="1"/>
        <v/>
      </c>
      <c r="AG392" s="82"/>
      <c r="AH392" s="82"/>
      <c r="AI392" s="82"/>
      <c r="AJ392" s="82"/>
      <c r="AK392" s="82"/>
      <c r="AL392" s="82"/>
      <c r="AM392" s="82"/>
      <c r="AN392" s="82"/>
      <c r="AO392" s="82"/>
      <c r="AP392" s="82"/>
      <c r="AQ392" s="82"/>
      <c r="AR392" s="82"/>
      <c r="AS392" s="82"/>
      <c r="AT392" s="82"/>
      <c r="AU392" s="82"/>
      <c r="AV392" s="82"/>
      <c r="AW392" s="82"/>
      <c r="AX392" s="82"/>
      <c r="AY392" s="82"/>
      <c r="AZ392" s="82"/>
      <c r="BA392" s="82"/>
      <c r="BB392" s="82"/>
      <c r="BC392" s="82"/>
      <c r="BD392" s="82"/>
      <c r="BE392" s="82"/>
      <c r="BF392" s="82"/>
      <c r="BG392" s="82"/>
      <c r="BH392" s="82"/>
      <c r="BI392" s="82"/>
      <c r="BJ392" s="82"/>
      <c r="BK392" s="82"/>
      <c r="BL392" s="82"/>
      <c r="BM392" s="82"/>
      <c r="BN392" s="82"/>
      <c r="BO392" s="82"/>
      <c r="BP392" s="82"/>
      <c r="BQ392" s="63"/>
      <c r="BR392" s="82"/>
      <c r="BS392" s="82"/>
      <c r="BT392" s="82"/>
      <c r="BU392" s="4"/>
    </row>
    <row r="393" spans="1:73" ht="12.75" x14ac:dyDescent="0.2">
      <c r="A393" s="1"/>
      <c r="B393" s="85"/>
      <c r="C393" s="85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4"/>
      <c r="O393" s="82"/>
      <c r="P393" s="82"/>
      <c r="Q393" s="82"/>
      <c r="R393" s="63"/>
      <c r="S393" s="63"/>
      <c r="T393" s="63"/>
      <c r="U393" s="63"/>
      <c r="V393" s="63"/>
      <c r="W393" s="63"/>
      <c r="X393" s="63"/>
      <c r="Y393" s="82"/>
      <c r="Z393" s="82"/>
      <c r="AA393" s="82"/>
      <c r="AB393" s="82"/>
      <c r="AC393" s="82"/>
      <c r="AD393" s="82"/>
      <c r="AE393" s="82"/>
      <c r="AF393" s="63" t="str">
        <f t="shared" si="1"/>
        <v/>
      </c>
      <c r="AG393" s="82"/>
      <c r="AH393" s="82"/>
      <c r="AI393" s="82"/>
      <c r="AJ393" s="82"/>
      <c r="AK393" s="82"/>
      <c r="AL393" s="82"/>
      <c r="AM393" s="82"/>
      <c r="AN393" s="82"/>
      <c r="AO393" s="82"/>
      <c r="AP393" s="82"/>
      <c r="AQ393" s="82"/>
      <c r="AR393" s="82"/>
      <c r="AS393" s="82"/>
      <c r="AT393" s="82"/>
      <c r="AU393" s="82"/>
      <c r="AV393" s="82"/>
      <c r="AW393" s="82"/>
      <c r="AX393" s="82"/>
      <c r="AY393" s="82"/>
      <c r="AZ393" s="82"/>
      <c r="BA393" s="82"/>
      <c r="BB393" s="82"/>
      <c r="BC393" s="82"/>
      <c r="BD393" s="82"/>
      <c r="BE393" s="82"/>
      <c r="BF393" s="82"/>
      <c r="BG393" s="82"/>
      <c r="BH393" s="82"/>
      <c r="BI393" s="82"/>
      <c r="BJ393" s="82"/>
      <c r="BK393" s="82"/>
      <c r="BL393" s="82"/>
      <c r="BM393" s="82"/>
      <c r="BN393" s="82"/>
      <c r="BO393" s="82"/>
      <c r="BP393" s="82"/>
      <c r="BQ393" s="63"/>
      <c r="BR393" s="82"/>
      <c r="BS393" s="82"/>
      <c r="BT393" s="82"/>
      <c r="BU393" s="4"/>
    </row>
    <row r="394" spans="1:73" ht="12.75" x14ac:dyDescent="0.2">
      <c r="A394" s="1"/>
      <c r="B394" s="85"/>
      <c r="C394" s="85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4"/>
      <c r="O394" s="82"/>
      <c r="P394" s="82"/>
      <c r="Q394" s="82"/>
      <c r="R394" s="63"/>
      <c r="S394" s="63"/>
      <c r="T394" s="63"/>
      <c r="U394" s="63"/>
      <c r="V394" s="63"/>
      <c r="W394" s="63"/>
      <c r="X394" s="63"/>
      <c r="Y394" s="82"/>
      <c r="Z394" s="82"/>
      <c r="AA394" s="82"/>
      <c r="AB394" s="82"/>
      <c r="AC394" s="82"/>
      <c r="AD394" s="82"/>
      <c r="AE394" s="82"/>
      <c r="AF394" s="63" t="str">
        <f t="shared" si="1"/>
        <v/>
      </c>
      <c r="AG394" s="82"/>
      <c r="AH394" s="82"/>
      <c r="AI394" s="82"/>
      <c r="AJ394" s="82"/>
      <c r="AK394" s="82"/>
      <c r="AL394" s="82"/>
      <c r="AM394" s="82"/>
      <c r="AN394" s="82"/>
      <c r="AO394" s="82"/>
      <c r="AP394" s="82"/>
      <c r="AQ394" s="82"/>
      <c r="AR394" s="82"/>
      <c r="AS394" s="82"/>
      <c r="AT394" s="82"/>
      <c r="AU394" s="82"/>
      <c r="AV394" s="82"/>
      <c r="AW394" s="82"/>
      <c r="AX394" s="82"/>
      <c r="AY394" s="82"/>
      <c r="AZ394" s="82"/>
      <c r="BA394" s="82"/>
      <c r="BB394" s="82"/>
      <c r="BC394" s="82"/>
      <c r="BD394" s="82"/>
      <c r="BE394" s="82"/>
      <c r="BF394" s="82"/>
      <c r="BG394" s="82"/>
      <c r="BH394" s="82"/>
      <c r="BI394" s="82"/>
      <c r="BJ394" s="82"/>
      <c r="BK394" s="82"/>
      <c r="BL394" s="82"/>
      <c r="BM394" s="82"/>
      <c r="BN394" s="82"/>
      <c r="BO394" s="82"/>
      <c r="BP394" s="82"/>
      <c r="BQ394" s="63"/>
      <c r="BR394" s="82"/>
      <c r="BS394" s="82"/>
      <c r="BT394" s="82"/>
      <c r="BU394" s="4"/>
    </row>
    <row r="395" spans="1:73" ht="12.75" x14ac:dyDescent="0.2">
      <c r="A395" s="1"/>
      <c r="B395" s="85"/>
      <c r="C395" s="85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4"/>
      <c r="O395" s="82"/>
      <c r="P395" s="82"/>
      <c r="Q395" s="82"/>
      <c r="R395" s="63"/>
      <c r="S395" s="63"/>
      <c r="T395" s="63"/>
      <c r="U395" s="63"/>
      <c r="V395" s="63"/>
      <c r="W395" s="63"/>
      <c r="X395" s="63"/>
      <c r="Y395" s="82"/>
      <c r="Z395" s="82"/>
      <c r="AA395" s="82"/>
      <c r="AB395" s="82"/>
      <c r="AC395" s="82"/>
      <c r="AD395" s="82"/>
      <c r="AE395" s="82"/>
      <c r="AF395" s="63" t="str">
        <f t="shared" si="1"/>
        <v/>
      </c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  <c r="AS395" s="82"/>
      <c r="AT395" s="82"/>
      <c r="AU395" s="82"/>
      <c r="AV395" s="82"/>
      <c r="AW395" s="82"/>
      <c r="AX395" s="82"/>
      <c r="AY395" s="82"/>
      <c r="AZ395" s="82"/>
      <c r="BA395" s="82"/>
      <c r="BB395" s="82"/>
      <c r="BC395" s="82"/>
      <c r="BD395" s="82"/>
      <c r="BE395" s="82"/>
      <c r="BF395" s="82"/>
      <c r="BG395" s="82"/>
      <c r="BH395" s="82"/>
      <c r="BI395" s="82"/>
      <c r="BJ395" s="82"/>
      <c r="BK395" s="82"/>
      <c r="BL395" s="82"/>
      <c r="BM395" s="82"/>
      <c r="BN395" s="82"/>
      <c r="BO395" s="82"/>
      <c r="BP395" s="82"/>
      <c r="BQ395" s="63"/>
      <c r="BR395" s="82"/>
      <c r="BS395" s="82"/>
      <c r="BT395" s="82"/>
      <c r="BU395" s="4"/>
    </row>
    <row r="396" spans="1:73" ht="12.75" x14ac:dyDescent="0.2">
      <c r="A396" s="1"/>
      <c r="B396" s="85"/>
      <c r="C396" s="85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4"/>
      <c r="O396" s="82"/>
      <c r="P396" s="82"/>
      <c r="Q396" s="82"/>
      <c r="R396" s="63"/>
      <c r="S396" s="63"/>
      <c r="T396" s="63"/>
      <c r="U396" s="63"/>
      <c r="V396" s="63"/>
      <c r="W396" s="63"/>
      <c r="X396" s="63"/>
      <c r="Y396" s="82"/>
      <c r="Z396" s="82"/>
      <c r="AA396" s="82"/>
      <c r="AB396" s="82"/>
      <c r="AC396" s="82"/>
      <c r="AD396" s="82"/>
      <c r="AE396" s="82"/>
      <c r="AF396" s="63" t="str">
        <f t="shared" si="1"/>
        <v/>
      </c>
      <c r="AG396" s="82"/>
      <c r="AH396" s="82"/>
      <c r="AI396" s="82"/>
      <c r="AJ396" s="82"/>
      <c r="AK396" s="82"/>
      <c r="AL396" s="82"/>
      <c r="AM396" s="82"/>
      <c r="AN396" s="82"/>
      <c r="AO396" s="82"/>
      <c r="AP396" s="82"/>
      <c r="AQ396" s="82"/>
      <c r="AR396" s="82"/>
      <c r="AS396" s="82"/>
      <c r="AT396" s="82"/>
      <c r="AU396" s="82"/>
      <c r="AV396" s="82"/>
      <c r="AW396" s="82"/>
      <c r="AX396" s="82"/>
      <c r="AY396" s="82"/>
      <c r="AZ396" s="82"/>
      <c r="BA396" s="82"/>
      <c r="BB396" s="82"/>
      <c r="BC396" s="82"/>
      <c r="BD396" s="82"/>
      <c r="BE396" s="82"/>
      <c r="BF396" s="82"/>
      <c r="BG396" s="82"/>
      <c r="BH396" s="82"/>
      <c r="BI396" s="82"/>
      <c r="BJ396" s="82"/>
      <c r="BK396" s="82"/>
      <c r="BL396" s="82"/>
      <c r="BM396" s="82"/>
      <c r="BN396" s="82"/>
      <c r="BO396" s="82"/>
      <c r="BP396" s="82"/>
      <c r="BQ396" s="63"/>
      <c r="BR396" s="82"/>
      <c r="BS396" s="82"/>
      <c r="BT396" s="82"/>
      <c r="BU396" s="4"/>
    </row>
    <row r="397" spans="1:73" ht="12.75" x14ac:dyDescent="0.2">
      <c r="A397" s="1"/>
      <c r="B397" s="85"/>
      <c r="C397" s="85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4"/>
      <c r="O397" s="82"/>
      <c r="P397" s="82"/>
      <c r="Q397" s="82"/>
      <c r="R397" s="63"/>
      <c r="S397" s="63"/>
      <c r="T397" s="63"/>
      <c r="U397" s="63"/>
      <c r="V397" s="63"/>
      <c r="W397" s="63"/>
      <c r="X397" s="63"/>
      <c r="Y397" s="82"/>
      <c r="Z397" s="82"/>
      <c r="AA397" s="82"/>
      <c r="AB397" s="82"/>
      <c r="AC397" s="82"/>
      <c r="AD397" s="82"/>
      <c r="AE397" s="82"/>
      <c r="AF397" s="63" t="str">
        <f t="shared" si="1"/>
        <v/>
      </c>
      <c r="AG397" s="82"/>
      <c r="AH397" s="82"/>
      <c r="AI397" s="82"/>
      <c r="AJ397" s="82"/>
      <c r="AK397" s="82"/>
      <c r="AL397" s="82"/>
      <c r="AM397" s="82"/>
      <c r="AN397" s="82"/>
      <c r="AO397" s="82"/>
      <c r="AP397" s="82"/>
      <c r="AQ397" s="82"/>
      <c r="AR397" s="82"/>
      <c r="AS397" s="82"/>
      <c r="AT397" s="82"/>
      <c r="AU397" s="82"/>
      <c r="AV397" s="82"/>
      <c r="AW397" s="82"/>
      <c r="AX397" s="82"/>
      <c r="AY397" s="82"/>
      <c r="AZ397" s="82"/>
      <c r="BA397" s="82"/>
      <c r="BB397" s="82"/>
      <c r="BC397" s="82"/>
      <c r="BD397" s="82"/>
      <c r="BE397" s="82"/>
      <c r="BF397" s="82"/>
      <c r="BG397" s="82"/>
      <c r="BH397" s="82"/>
      <c r="BI397" s="82"/>
      <c r="BJ397" s="82"/>
      <c r="BK397" s="82"/>
      <c r="BL397" s="82"/>
      <c r="BM397" s="82"/>
      <c r="BN397" s="82"/>
      <c r="BO397" s="82"/>
      <c r="BP397" s="82"/>
      <c r="BQ397" s="63"/>
      <c r="BR397" s="82"/>
      <c r="BS397" s="82"/>
      <c r="BT397" s="82"/>
      <c r="BU397" s="4"/>
    </row>
    <row r="398" spans="1:73" ht="12.75" x14ac:dyDescent="0.2">
      <c r="A398" s="1"/>
      <c r="B398" s="85"/>
      <c r="C398" s="85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4"/>
      <c r="O398" s="82"/>
      <c r="P398" s="82"/>
      <c r="Q398" s="82"/>
      <c r="R398" s="63"/>
      <c r="S398" s="63"/>
      <c r="T398" s="63"/>
      <c r="U398" s="63"/>
      <c r="V398" s="63"/>
      <c r="W398" s="63"/>
      <c r="X398" s="63"/>
      <c r="Y398" s="82"/>
      <c r="Z398" s="82"/>
      <c r="AA398" s="82"/>
      <c r="AB398" s="82"/>
      <c r="AC398" s="82"/>
      <c r="AD398" s="82"/>
      <c r="AE398" s="82"/>
      <c r="AF398" s="63" t="str">
        <f t="shared" si="1"/>
        <v/>
      </c>
      <c r="AG398" s="82"/>
      <c r="AH398" s="82"/>
      <c r="AI398" s="82"/>
      <c r="AJ398" s="82"/>
      <c r="AK398" s="82"/>
      <c r="AL398" s="82"/>
      <c r="AM398" s="82"/>
      <c r="AN398" s="82"/>
      <c r="AO398" s="82"/>
      <c r="AP398" s="82"/>
      <c r="AQ398" s="82"/>
      <c r="AR398" s="82"/>
      <c r="AS398" s="82"/>
      <c r="AT398" s="82"/>
      <c r="AU398" s="82"/>
      <c r="AV398" s="82"/>
      <c r="AW398" s="82"/>
      <c r="AX398" s="82"/>
      <c r="AY398" s="82"/>
      <c r="AZ398" s="82"/>
      <c r="BA398" s="82"/>
      <c r="BB398" s="82"/>
      <c r="BC398" s="82"/>
      <c r="BD398" s="82"/>
      <c r="BE398" s="82"/>
      <c r="BF398" s="82"/>
      <c r="BG398" s="82"/>
      <c r="BH398" s="82"/>
      <c r="BI398" s="82"/>
      <c r="BJ398" s="82"/>
      <c r="BK398" s="82"/>
      <c r="BL398" s="82"/>
      <c r="BM398" s="82"/>
      <c r="BN398" s="82"/>
      <c r="BO398" s="82"/>
      <c r="BP398" s="82"/>
      <c r="BQ398" s="63"/>
      <c r="BR398" s="82"/>
      <c r="BS398" s="82"/>
      <c r="BT398" s="82"/>
      <c r="BU398" s="4"/>
    </row>
    <row r="399" spans="1:73" ht="12.75" x14ac:dyDescent="0.2">
      <c r="A399" s="1"/>
      <c r="B399" s="85"/>
      <c r="C399" s="85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4"/>
      <c r="O399" s="82"/>
      <c r="P399" s="82"/>
      <c r="Q399" s="82"/>
      <c r="R399" s="63"/>
      <c r="S399" s="63"/>
      <c r="T399" s="63"/>
      <c r="U399" s="63"/>
      <c r="V399" s="63"/>
      <c r="W399" s="63"/>
      <c r="X399" s="63"/>
      <c r="Y399" s="82"/>
      <c r="Z399" s="82"/>
      <c r="AA399" s="82"/>
      <c r="AB399" s="82"/>
      <c r="AC399" s="82"/>
      <c r="AD399" s="82"/>
      <c r="AE399" s="82"/>
      <c r="AF399" s="63" t="str">
        <f t="shared" si="1"/>
        <v/>
      </c>
      <c r="AG399" s="82"/>
      <c r="AH399" s="82"/>
      <c r="AI399" s="82"/>
      <c r="AJ399" s="82"/>
      <c r="AK399" s="82"/>
      <c r="AL399" s="82"/>
      <c r="AM399" s="82"/>
      <c r="AN399" s="82"/>
      <c r="AO399" s="82"/>
      <c r="AP399" s="82"/>
      <c r="AQ399" s="82"/>
      <c r="AR399" s="82"/>
      <c r="AS399" s="82"/>
      <c r="AT399" s="82"/>
      <c r="AU399" s="82"/>
      <c r="AV399" s="82"/>
      <c r="AW399" s="82"/>
      <c r="AX399" s="82"/>
      <c r="AY399" s="82"/>
      <c r="AZ399" s="82"/>
      <c r="BA399" s="82"/>
      <c r="BB399" s="82"/>
      <c r="BC399" s="82"/>
      <c r="BD399" s="82"/>
      <c r="BE399" s="82"/>
      <c r="BF399" s="82"/>
      <c r="BG399" s="82"/>
      <c r="BH399" s="82"/>
      <c r="BI399" s="82"/>
      <c r="BJ399" s="82"/>
      <c r="BK399" s="82"/>
      <c r="BL399" s="82"/>
      <c r="BM399" s="82"/>
      <c r="BN399" s="82"/>
      <c r="BO399" s="82"/>
      <c r="BP399" s="82"/>
      <c r="BQ399" s="63"/>
      <c r="BR399" s="82"/>
      <c r="BS399" s="82"/>
      <c r="BT399" s="82"/>
      <c r="BU399" s="4"/>
    </row>
    <row r="400" spans="1:73" ht="12.75" x14ac:dyDescent="0.2">
      <c r="A400" s="1"/>
      <c r="B400" s="85"/>
      <c r="C400" s="85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4"/>
      <c r="O400" s="82"/>
      <c r="P400" s="82"/>
      <c r="Q400" s="82"/>
      <c r="R400" s="63"/>
      <c r="S400" s="63"/>
      <c r="T400" s="63"/>
      <c r="U400" s="63"/>
      <c r="V400" s="63"/>
      <c r="W400" s="63"/>
      <c r="X400" s="63"/>
      <c r="Y400" s="82"/>
      <c r="Z400" s="82"/>
      <c r="AA400" s="82"/>
      <c r="AB400" s="82"/>
      <c r="AC400" s="82"/>
      <c r="AD400" s="82"/>
      <c r="AE400" s="82"/>
      <c r="AF400" s="63" t="str">
        <f t="shared" si="1"/>
        <v/>
      </c>
      <c r="AG400" s="82"/>
      <c r="AH400" s="82"/>
      <c r="AI400" s="82"/>
      <c r="AJ400" s="82"/>
      <c r="AK400" s="82"/>
      <c r="AL400" s="82"/>
      <c r="AM400" s="82"/>
      <c r="AN400" s="82"/>
      <c r="AO400" s="82"/>
      <c r="AP400" s="82"/>
      <c r="AQ400" s="82"/>
      <c r="AR400" s="82"/>
      <c r="AS400" s="82"/>
      <c r="AT400" s="82"/>
      <c r="AU400" s="82"/>
      <c r="AV400" s="82"/>
      <c r="AW400" s="82"/>
      <c r="AX400" s="82"/>
      <c r="AY400" s="82"/>
      <c r="AZ400" s="82"/>
      <c r="BA400" s="82"/>
      <c r="BB400" s="82"/>
      <c r="BC400" s="82"/>
      <c r="BD400" s="82"/>
      <c r="BE400" s="82"/>
      <c r="BF400" s="82"/>
      <c r="BG400" s="82"/>
      <c r="BH400" s="82"/>
      <c r="BI400" s="82"/>
      <c r="BJ400" s="82"/>
      <c r="BK400" s="82"/>
      <c r="BL400" s="82"/>
      <c r="BM400" s="82"/>
      <c r="BN400" s="82"/>
      <c r="BO400" s="82"/>
      <c r="BP400" s="82"/>
      <c r="BQ400" s="63"/>
      <c r="BR400" s="82"/>
      <c r="BS400" s="82"/>
      <c r="BT400" s="82"/>
      <c r="BU400" s="4"/>
    </row>
    <row r="401" spans="1:73" ht="12.75" x14ac:dyDescent="0.2">
      <c r="A401" s="1"/>
      <c r="B401" s="85"/>
      <c r="C401" s="85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4"/>
      <c r="O401" s="82"/>
      <c r="P401" s="82"/>
      <c r="Q401" s="82"/>
      <c r="R401" s="63"/>
      <c r="S401" s="63"/>
      <c r="T401" s="63"/>
      <c r="U401" s="63"/>
      <c r="V401" s="63"/>
      <c r="W401" s="63"/>
      <c r="X401" s="63"/>
      <c r="Y401" s="82"/>
      <c r="Z401" s="82"/>
      <c r="AA401" s="82"/>
      <c r="AB401" s="82"/>
      <c r="AC401" s="82"/>
      <c r="AD401" s="82"/>
      <c r="AE401" s="82"/>
      <c r="AF401" s="63" t="str">
        <f t="shared" si="1"/>
        <v/>
      </c>
      <c r="AG401" s="82"/>
      <c r="AH401" s="82"/>
      <c r="AI401" s="82"/>
      <c r="AJ401" s="82"/>
      <c r="AK401" s="82"/>
      <c r="AL401" s="82"/>
      <c r="AM401" s="82"/>
      <c r="AN401" s="82"/>
      <c r="AO401" s="82"/>
      <c r="AP401" s="82"/>
      <c r="AQ401" s="82"/>
      <c r="AR401" s="82"/>
      <c r="AS401" s="82"/>
      <c r="AT401" s="82"/>
      <c r="AU401" s="82"/>
      <c r="AV401" s="82"/>
      <c r="AW401" s="82"/>
      <c r="AX401" s="82"/>
      <c r="AY401" s="82"/>
      <c r="AZ401" s="82"/>
      <c r="BA401" s="82"/>
      <c r="BB401" s="82"/>
      <c r="BC401" s="82"/>
      <c r="BD401" s="82"/>
      <c r="BE401" s="82"/>
      <c r="BF401" s="82"/>
      <c r="BG401" s="82"/>
      <c r="BH401" s="82"/>
      <c r="BI401" s="82"/>
      <c r="BJ401" s="82"/>
      <c r="BK401" s="82"/>
      <c r="BL401" s="82"/>
      <c r="BM401" s="82"/>
      <c r="BN401" s="82"/>
      <c r="BO401" s="82"/>
      <c r="BP401" s="82"/>
      <c r="BQ401" s="63"/>
      <c r="BR401" s="82"/>
      <c r="BS401" s="82"/>
      <c r="BT401" s="82"/>
      <c r="BU401" s="4"/>
    </row>
    <row r="402" spans="1:73" ht="12.75" x14ac:dyDescent="0.2">
      <c r="A402" s="1"/>
      <c r="B402" s="85"/>
      <c r="C402" s="85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4"/>
      <c r="O402" s="82"/>
      <c r="P402" s="82"/>
      <c r="Q402" s="82"/>
      <c r="R402" s="63"/>
      <c r="S402" s="63"/>
      <c r="T402" s="63"/>
      <c r="U402" s="63"/>
      <c r="V402" s="63"/>
      <c r="W402" s="63"/>
      <c r="X402" s="63"/>
      <c r="Y402" s="82"/>
      <c r="Z402" s="82"/>
      <c r="AA402" s="82"/>
      <c r="AB402" s="82"/>
      <c r="AC402" s="82"/>
      <c r="AD402" s="82"/>
      <c r="AE402" s="82"/>
      <c r="AF402" s="63" t="str">
        <f t="shared" si="1"/>
        <v/>
      </c>
      <c r="AG402" s="82"/>
      <c r="AH402" s="82"/>
      <c r="AI402" s="82"/>
      <c r="AJ402" s="82"/>
      <c r="AK402" s="82"/>
      <c r="AL402" s="82"/>
      <c r="AM402" s="82"/>
      <c r="AN402" s="82"/>
      <c r="AO402" s="82"/>
      <c r="AP402" s="82"/>
      <c r="AQ402" s="82"/>
      <c r="AR402" s="82"/>
      <c r="AS402" s="82"/>
      <c r="AT402" s="82"/>
      <c r="AU402" s="82"/>
      <c r="AV402" s="82"/>
      <c r="AW402" s="82"/>
      <c r="AX402" s="82"/>
      <c r="AY402" s="82"/>
      <c r="AZ402" s="82"/>
      <c r="BA402" s="82"/>
      <c r="BB402" s="82"/>
      <c r="BC402" s="82"/>
      <c r="BD402" s="82"/>
      <c r="BE402" s="82"/>
      <c r="BF402" s="82"/>
      <c r="BG402" s="82"/>
      <c r="BH402" s="82"/>
      <c r="BI402" s="82"/>
      <c r="BJ402" s="82"/>
      <c r="BK402" s="82"/>
      <c r="BL402" s="82"/>
      <c r="BM402" s="82"/>
      <c r="BN402" s="82"/>
      <c r="BO402" s="82"/>
      <c r="BP402" s="82"/>
      <c r="BQ402" s="63"/>
      <c r="BR402" s="82"/>
      <c r="BS402" s="82"/>
      <c r="BT402" s="82"/>
      <c r="BU402" s="4"/>
    </row>
    <row r="403" spans="1:73" ht="12.75" x14ac:dyDescent="0.2">
      <c r="A403" s="1"/>
      <c r="B403" s="85"/>
      <c r="C403" s="85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4"/>
      <c r="O403" s="82"/>
      <c r="P403" s="82"/>
      <c r="Q403" s="82"/>
      <c r="R403" s="63"/>
      <c r="S403" s="63"/>
      <c r="T403" s="63"/>
      <c r="U403" s="63"/>
      <c r="V403" s="63"/>
      <c r="W403" s="63"/>
      <c r="X403" s="63"/>
      <c r="Y403" s="82"/>
      <c r="Z403" s="82"/>
      <c r="AA403" s="82"/>
      <c r="AB403" s="82"/>
      <c r="AC403" s="82"/>
      <c r="AD403" s="82"/>
      <c r="AE403" s="82"/>
      <c r="AF403" s="63" t="str">
        <f t="shared" si="1"/>
        <v/>
      </c>
      <c r="AG403" s="82"/>
      <c r="AH403" s="82"/>
      <c r="AI403" s="82"/>
      <c r="AJ403" s="82"/>
      <c r="AK403" s="82"/>
      <c r="AL403" s="82"/>
      <c r="AM403" s="82"/>
      <c r="AN403" s="82"/>
      <c r="AO403" s="82"/>
      <c r="AP403" s="82"/>
      <c r="AQ403" s="82"/>
      <c r="AR403" s="82"/>
      <c r="AS403" s="82"/>
      <c r="AT403" s="82"/>
      <c r="AU403" s="82"/>
      <c r="AV403" s="82"/>
      <c r="AW403" s="82"/>
      <c r="AX403" s="82"/>
      <c r="AY403" s="82"/>
      <c r="AZ403" s="82"/>
      <c r="BA403" s="82"/>
      <c r="BB403" s="82"/>
      <c r="BC403" s="82"/>
      <c r="BD403" s="82"/>
      <c r="BE403" s="82"/>
      <c r="BF403" s="82"/>
      <c r="BG403" s="82"/>
      <c r="BH403" s="82"/>
      <c r="BI403" s="82"/>
      <c r="BJ403" s="82"/>
      <c r="BK403" s="82"/>
      <c r="BL403" s="82"/>
      <c r="BM403" s="82"/>
      <c r="BN403" s="82"/>
      <c r="BO403" s="82"/>
      <c r="BP403" s="82"/>
      <c r="BQ403" s="63"/>
      <c r="BR403" s="82"/>
      <c r="BS403" s="82"/>
      <c r="BT403" s="82"/>
      <c r="BU403" s="4"/>
    </row>
    <row r="404" spans="1:73" ht="12.75" x14ac:dyDescent="0.2">
      <c r="A404" s="1"/>
      <c r="B404" s="85"/>
      <c r="C404" s="85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4"/>
      <c r="O404" s="82"/>
      <c r="P404" s="82"/>
      <c r="Q404" s="82"/>
      <c r="R404" s="63"/>
      <c r="S404" s="63"/>
      <c r="T404" s="63"/>
      <c r="U404" s="63"/>
      <c r="V404" s="63"/>
      <c r="W404" s="63"/>
      <c r="X404" s="63"/>
      <c r="Y404" s="82"/>
      <c r="Z404" s="82"/>
      <c r="AA404" s="82"/>
      <c r="AB404" s="82"/>
      <c r="AC404" s="82"/>
      <c r="AD404" s="82"/>
      <c r="AE404" s="82"/>
      <c r="AF404" s="63" t="str">
        <f t="shared" si="1"/>
        <v/>
      </c>
      <c r="AG404" s="82"/>
      <c r="AH404" s="82"/>
      <c r="AI404" s="82"/>
      <c r="AJ404" s="82"/>
      <c r="AK404" s="82"/>
      <c r="AL404" s="82"/>
      <c r="AM404" s="82"/>
      <c r="AN404" s="82"/>
      <c r="AO404" s="82"/>
      <c r="AP404" s="82"/>
      <c r="AQ404" s="82"/>
      <c r="AR404" s="82"/>
      <c r="AS404" s="82"/>
      <c r="AT404" s="82"/>
      <c r="AU404" s="82"/>
      <c r="AV404" s="82"/>
      <c r="AW404" s="82"/>
      <c r="AX404" s="82"/>
      <c r="AY404" s="82"/>
      <c r="AZ404" s="82"/>
      <c r="BA404" s="82"/>
      <c r="BB404" s="82"/>
      <c r="BC404" s="82"/>
      <c r="BD404" s="82"/>
      <c r="BE404" s="82"/>
      <c r="BF404" s="82"/>
      <c r="BG404" s="82"/>
      <c r="BH404" s="82"/>
      <c r="BI404" s="82"/>
      <c r="BJ404" s="82"/>
      <c r="BK404" s="82"/>
      <c r="BL404" s="82"/>
      <c r="BM404" s="82"/>
      <c r="BN404" s="82"/>
      <c r="BO404" s="82"/>
      <c r="BP404" s="82"/>
      <c r="BQ404" s="63"/>
      <c r="BR404" s="82"/>
      <c r="BS404" s="82"/>
      <c r="BT404" s="82"/>
      <c r="BU404" s="4"/>
    </row>
    <row r="405" spans="1:73" ht="12.75" x14ac:dyDescent="0.2">
      <c r="A405" s="1"/>
      <c r="B405" s="85"/>
      <c r="C405" s="85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4"/>
      <c r="O405" s="82"/>
      <c r="P405" s="82"/>
      <c r="Q405" s="82"/>
      <c r="R405" s="63"/>
      <c r="S405" s="63"/>
      <c r="T405" s="63"/>
      <c r="U405" s="63"/>
      <c r="V405" s="63"/>
      <c r="W405" s="63"/>
      <c r="X405" s="63"/>
      <c r="Y405" s="82"/>
      <c r="Z405" s="82"/>
      <c r="AA405" s="82"/>
      <c r="AB405" s="82"/>
      <c r="AC405" s="82"/>
      <c r="AD405" s="82"/>
      <c r="AE405" s="82"/>
      <c r="AF405" s="63" t="str">
        <f t="shared" si="1"/>
        <v/>
      </c>
      <c r="AG405" s="82"/>
      <c r="AH405" s="82"/>
      <c r="AI405" s="82"/>
      <c r="AJ405" s="82"/>
      <c r="AK405" s="82"/>
      <c r="AL405" s="82"/>
      <c r="AM405" s="82"/>
      <c r="AN405" s="82"/>
      <c r="AO405" s="82"/>
      <c r="AP405" s="82"/>
      <c r="AQ405" s="82"/>
      <c r="AR405" s="82"/>
      <c r="AS405" s="82"/>
      <c r="AT405" s="82"/>
      <c r="AU405" s="82"/>
      <c r="AV405" s="82"/>
      <c r="AW405" s="82"/>
      <c r="AX405" s="82"/>
      <c r="AY405" s="82"/>
      <c r="AZ405" s="82"/>
      <c r="BA405" s="82"/>
      <c r="BB405" s="82"/>
      <c r="BC405" s="82"/>
      <c r="BD405" s="82"/>
      <c r="BE405" s="82"/>
      <c r="BF405" s="82"/>
      <c r="BG405" s="82"/>
      <c r="BH405" s="82"/>
      <c r="BI405" s="82"/>
      <c r="BJ405" s="82"/>
      <c r="BK405" s="82"/>
      <c r="BL405" s="82"/>
      <c r="BM405" s="82"/>
      <c r="BN405" s="82"/>
      <c r="BO405" s="82"/>
      <c r="BP405" s="82"/>
      <c r="BQ405" s="63"/>
      <c r="BR405" s="82"/>
      <c r="BS405" s="82"/>
      <c r="BT405" s="82"/>
      <c r="BU405" s="4"/>
    </row>
    <row r="406" spans="1:73" ht="12.75" x14ac:dyDescent="0.2">
      <c r="A406" s="1"/>
      <c r="B406" s="85"/>
      <c r="C406" s="85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4"/>
      <c r="O406" s="82"/>
      <c r="P406" s="82"/>
      <c r="Q406" s="82"/>
      <c r="R406" s="63"/>
      <c r="S406" s="63"/>
      <c r="T406" s="63"/>
      <c r="U406" s="63"/>
      <c r="V406" s="63"/>
      <c r="W406" s="63"/>
      <c r="X406" s="63"/>
      <c r="Y406" s="82"/>
      <c r="Z406" s="82"/>
      <c r="AA406" s="82"/>
      <c r="AB406" s="82"/>
      <c r="AC406" s="82"/>
      <c r="AD406" s="82"/>
      <c r="AE406" s="82"/>
      <c r="AF406" s="63" t="str">
        <f t="shared" si="1"/>
        <v/>
      </c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  <c r="AR406" s="82"/>
      <c r="AS406" s="82"/>
      <c r="AT406" s="82"/>
      <c r="AU406" s="82"/>
      <c r="AV406" s="82"/>
      <c r="AW406" s="82"/>
      <c r="AX406" s="82"/>
      <c r="AY406" s="82"/>
      <c r="AZ406" s="82"/>
      <c r="BA406" s="82"/>
      <c r="BB406" s="82"/>
      <c r="BC406" s="82"/>
      <c r="BD406" s="82"/>
      <c r="BE406" s="82"/>
      <c r="BF406" s="82"/>
      <c r="BG406" s="82"/>
      <c r="BH406" s="82"/>
      <c r="BI406" s="82"/>
      <c r="BJ406" s="82"/>
      <c r="BK406" s="82"/>
      <c r="BL406" s="82"/>
      <c r="BM406" s="82"/>
      <c r="BN406" s="82"/>
      <c r="BO406" s="82"/>
      <c r="BP406" s="82"/>
      <c r="BQ406" s="63"/>
      <c r="BR406" s="82"/>
      <c r="BS406" s="82"/>
      <c r="BT406" s="82"/>
      <c r="BU406" s="4"/>
    </row>
    <row r="407" spans="1:73" ht="12.75" x14ac:dyDescent="0.2">
      <c r="A407" s="1"/>
      <c r="B407" s="85"/>
      <c r="C407" s="85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4"/>
      <c r="O407" s="82"/>
      <c r="P407" s="82"/>
      <c r="Q407" s="82"/>
      <c r="R407" s="63"/>
      <c r="S407" s="63"/>
      <c r="T407" s="63"/>
      <c r="U407" s="63"/>
      <c r="V407" s="63"/>
      <c r="W407" s="63"/>
      <c r="X407" s="63"/>
      <c r="Y407" s="82"/>
      <c r="Z407" s="82"/>
      <c r="AA407" s="82"/>
      <c r="AB407" s="82"/>
      <c r="AC407" s="82"/>
      <c r="AD407" s="82"/>
      <c r="AE407" s="82"/>
      <c r="AF407" s="63" t="str">
        <f t="shared" si="1"/>
        <v/>
      </c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82"/>
      <c r="AT407" s="82"/>
      <c r="AU407" s="82"/>
      <c r="AV407" s="82"/>
      <c r="AW407" s="82"/>
      <c r="AX407" s="82"/>
      <c r="AY407" s="82"/>
      <c r="AZ407" s="82"/>
      <c r="BA407" s="82"/>
      <c r="BB407" s="82"/>
      <c r="BC407" s="82"/>
      <c r="BD407" s="82"/>
      <c r="BE407" s="82"/>
      <c r="BF407" s="82"/>
      <c r="BG407" s="82"/>
      <c r="BH407" s="82"/>
      <c r="BI407" s="82"/>
      <c r="BJ407" s="82"/>
      <c r="BK407" s="82"/>
      <c r="BL407" s="82"/>
      <c r="BM407" s="82"/>
      <c r="BN407" s="82"/>
      <c r="BO407" s="82"/>
      <c r="BP407" s="82"/>
      <c r="BQ407" s="63"/>
      <c r="BR407" s="82"/>
      <c r="BS407" s="82"/>
      <c r="BT407" s="82"/>
      <c r="BU407" s="4"/>
    </row>
    <row r="408" spans="1:73" ht="12.75" x14ac:dyDescent="0.2">
      <c r="A408" s="1"/>
      <c r="B408" s="85"/>
      <c r="C408" s="85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4"/>
      <c r="O408" s="82"/>
      <c r="P408" s="82"/>
      <c r="Q408" s="82"/>
      <c r="R408" s="63"/>
      <c r="S408" s="63"/>
      <c r="T408" s="63"/>
      <c r="U408" s="63"/>
      <c r="V408" s="63"/>
      <c r="W408" s="63"/>
      <c r="X408" s="63"/>
      <c r="Y408" s="82"/>
      <c r="Z408" s="82"/>
      <c r="AA408" s="82"/>
      <c r="AB408" s="82"/>
      <c r="AC408" s="82"/>
      <c r="AD408" s="82"/>
      <c r="AE408" s="82"/>
      <c r="AF408" s="63" t="str">
        <f t="shared" si="1"/>
        <v/>
      </c>
      <c r="AG408" s="82"/>
      <c r="AH408" s="82"/>
      <c r="AI408" s="82"/>
      <c r="AJ408" s="82"/>
      <c r="AK408" s="82"/>
      <c r="AL408" s="82"/>
      <c r="AM408" s="82"/>
      <c r="AN408" s="82"/>
      <c r="AO408" s="82"/>
      <c r="AP408" s="82"/>
      <c r="AQ408" s="82"/>
      <c r="AR408" s="82"/>
      <c r="AS408" s="82"/>
      <c r="AT408" s="82"/>
      <c r="AU408" s="82"/>
      <c r="AV408" s="82"/>
      <c r="AW408" s="82"/>
      <c r="AX408" s="82"/>
      <c r="AY408" s="82"/>
      <c r="AZ408" s="82"/>
      <c r="BA408" s="82"/>
      <c r="BB408" s="82"/>
      <c r="BC408" s="82"/>
      <c r="BD408" s="82"/>
      <c r="BE408" s="82"/>
      <c r="BF408" s="82"/>
      <c r="BG408" s="82"/>
      <c r="BH408" s="82"/>
      <c r="BI408" s="82"/>
      <c r="BJ408" s="82"/>
      <c r="BK408" s="82"/>
      <c r="BL408" s="82"/>
      <c r="BM408" s="82"/>
      <c r="BN408" s="82"/>
      <c r="BO408" s="82"/>
      <c r="BP408" s="82"/>
      <c r="BQ408" s="63"/>
      <c r="BR408" s="82"/>
      <c r="BS408" s="82"/>
      <c r="BT408" s="82"/>
      <c r="BU408" s="4"/>
    </row>
    <row r="409" spans="1:73" ht="12.75" x14ac:dyDescent="0.2">
      <c r="A409" s="1"/>
      <c r="B409" s="85"/>
      <c r="C409" s="85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4"/>
      <c r="O409" s="82"/>
      <c r="P409" s="82"/>
      <c r="Q409" s="82"/>
      <c r="R409" s="63"/>
      <c r="S409" s="63"/>
      <c r="T409" s="63"/>
      <c r="U409" s="63"/>
      <c r="V409" s="63"/>
      <c r="W409" s="63"/>
      <c r="X409" s="63"/>
      <c r="Y409" s="82"/>
      <c r="Z409" s="82"/>
      <c r="AA409" s="82"/>
      <c r="AB409" s="82"/>
      <c r="AC409" s="82"/>
      <c r="AD409" s="82"/>
      <c r="AE409" s="82"/>
      <c r="AF409" s="63" t="str">
        <f t="shared" si="1"/>
        <v/>
      </c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  <c r="AS409" s="82"/>
      <c r="AT409" s="82"/>
      <c r="AU409" s="82"/>
      <c r="AV409" s="82"/>
      <c r="AW409" s="82"/>
      <c r="AX409" s="82"/>
      <c r="AY409" s="82"/>
      <c r="AZ409" s="82"/>
      <c r="BA409" s="82"/>
      <c r="BB409" s="82"/>
      <c r="BC409" s="82"/>
      <c r="BD409" s="82"/>
      <c r="BE409" s="82"/>
      <c r="BF409" s="82"/>
      <c r="BG409" s="82"/>
      <c r="BH409" s="82"/>
      <c r="BI409" s="82"/>
      <c r="BJ409" s="82"/>
      <c r="BK409" s="82"/>
      <c r="BL409" s="82"/>
      <c r="BM409" s="82"/>
      <c r="BN409" s="82"/>
      <c r="BO409" s="82"/>
      <c r="BP409" s="82"/>
      <c r="BQ409" s="63"/>
      <c r="BR409" s="82"/>
      <c r="BS409" s="82"/>
      <c r="BT409" s="82"/>
      <c r="BU409" s="4"/>
    </row>
    <row r="410" spans="1:73" ht="12.75" x14ac:dyDescent="0.2">
      <c r="A410" s="1"/>
      <c r="B410" s="85"/>
      <c r="C410" s="85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4"/>
      <c r="O410" s="82"/>
      <c r="P410" s="82"/>
      <c r="Q410" s="82"/>
      <c r="R410" s="63"/>
      <c r="S410" s="63"/>
      <c r="T410" s="63"/>
      <c r="U410" s="63"/>
      <c r="V410" s="63"/>
      <c r="W410" s="63"/>
      <c r="X410" s="63"/>
      <c r="Y410" s="82"/>
      <c r="Z410" s="82"/>
      <c r="AA410" s="82"/>
      <c r="AB410" s="82"/>
      <c r="AC410" s="82"/>
      <c r="AD410" s="82"/>
      <c r="AE410" s="82"/>
      <c r="AF410" s="63" t="str">
        <f t="shared" si="1"/>
        <v/>
      </c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  <c r="AS410" s="82"/>
      <c r="AT410" s="82"/>
      <c r="AU410" s="82"/>
      <c r="AV410" s="82"/>
      <c r="AW410" s="82"/>
      <c r="AX410" s="82"/>
      <c r="AY410" s="82"/>
      <c r="AZ410" s="82"/>
      <c r="BA410" s="82"/>
      <c r="BB410" s="82"/>
      <c r="BC410" s="82"/>
      <c r="BD410" s="82"/>
      <c r="BE410" s="82"/>
      <c r="BF410" s="82"/>
      <c r="BG410" s="82"/>
      <c r="BH410" s="82"/>
      <c r="BI410" s="82"/>
      <c r="BJ410" s="82"/>
      <c r="BK410" s="82"/>
      <c r="BL410" s="82"/>
      <c r="BM410" s="82"/>
      <c r="BN410" s="82"/>
      <c r="BO410" s="82"/>
      <c r="BP410" s="82"/>
      <c r="BQ410" s="63"/>
      <c r="BR410" s="82"/>
      <c r="BS410" s="82"/>
      <c r="BT410" s="82"/>
      <c r="BU410" s="4"/>
    </row>
    <row r="411" spans="1:73" ht="12.75" x14ac:dyDescent="0.2">
      <c r="A411" s="1"/>
      <c r="B411" s="85"/>
      <c r="C411" s="85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4"/>
      <c r="O411" s="82"/>
      <c r="P411" s="82"/>
      <c r="Q411" s="82"/>
      <c r="R411" s="63"/>
      <c r="S411" s="63"/>
      <c r="T411" s="63"/>
      <c r="U411" s="63"/>
      <c r="V411" s="63"/>
      <c r="W411" s="63"/>
      <c r="X411" s="63"/>
      <c r="Y411" s="82"/>
      <c r="Z411" s="82"/>
      <c r="AA411" s="82"/>
      <c r="AB411" s="82"/>
      <c r="AC411" s="82"/>
      <c r="AD411" s="82"/>
      <c r="AE411" s="82"/>
      <c r="AF411" s="63" t="str">
        <f t="shared" si="1"/>
        <v/>
      </c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  <c r="BF411" s="82"/>
      <c r="BG411" s="82"/>
      <c r="BH411" s="82"/>
      <c r="BI411" s="82"/>
      <c r="BJ411" s="82"/>
      <c r="BK411" s="82"/>
      <c r="BL411" s="82"/>
      <c r="BM411" s="82"/>
      <c r="BN411" s="82"/>
      <c r="BO411" s="82"/>
      <c r="BP411" s="82"/>
      <c r="BQ411" s="63"/>
      <c r="BR411" s="82"/>
      <c r="BS411" s="82"/>
      <c r="BT411" s="82"/>
      <c r="BU411" s="4"/>
    </row>
    <row r="412" spans="1:73" ht="12.75" x14ac:dyDescent="0.2">
      <c r="A412" s="1"/>
      <c r="B412" s="85"/>
      <c r="C412" s="85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4"/>
      <c r="O412" s="82"/>
      <c r="P412" s="82"/>
      <c r="Q412" s="82"/>
      <c r="R412" s="63"/>
      <c r="S412" s="63"/>
      <c r="T412" s="63"/>
      <c r="U412" s="63"/>
      <c r="V412" s="63"/>
      <c r="W412" s="63"/>
      <c r="X412" s="63"/>
      <c r="Y412" s="82"/>
      <c r="Z412" s="82"/>
      <c r="AA412" s="82"/>
      <c r="AB412" s="82"/>
      <c r="AC412" s="82"/>
      <c r="AD412" s="82"/>
      <c r="AE412" s="82"/>
      <c r="AF412" s="63" t="str">
        <f t="shared" si="1"/>
        <v/>
      </c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  <c r="BF412" s="82"/>
      <c r="BG412" s="82"/>
      <c r="BH412" s="82"/>
      <c r="BI412" s="82"/>
      <c r="BJ412" s="82"/>
      <c r="BK412" s="82"/>
      <c r="BL412" s="82"/>
      <c r="BM412" s="82"/>
      <c r="BN412" s="82"/>
      <c r="BO412" s="82"/>
      <c r="BP412" s="82"/>
      <c r="BQ412" s="63"/>
      <c r="BR412" s="82"/>
      <c r="BS412" s="82"/>
      <c r="BT412" s="82"/>
      <c r="BU412" s="4"/>
    </row>
    <row r="413" spans="1:73" ht="12.75" x14ac:dyDescent="0.2">
      <c r="A413" s="1"/>
      <c r="B413" s="85"/>
      <c r="C413" s="85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4"/>
      <c r="O413" s="82"/>
      <c r="P413" s="82"/>
      <c r="Q413" s="82"/>
      <c r="R413" s="63"/>
      <c r="S413" s="63"/>
      <c r="T413" s="63"/>
      <c r="U413" s="63"/>
      <c r="V413" s="63"/>
      <c r="W413" s="63"/>
      <c r="X413" s="63"/>
      <c r="Y413" s="82"/>
      <c r="Z413" s="82"/>
      <c r="AA413" s="82"/>
      <c r="AB413" s="82"/>
      <c r="AC413" s="82"/>
      <c r="AD413" s="82"/>
      <c r="AE413" s="82"/>
      <c r="AF413" s="63" t="str">
        <f t="shared" si="1"/>
        <v/>
      </c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  <c r="AS413" s="82"/>
      <c r="AT413" s="82"/>
      <c r="AU413" s="82"/>
      <c r="AV413" s="82"/>
      <c r="AW413" s="82"/>
      <c r="AX413" s="82"/>
      <c r="AY413" s="82"/>
      <c r="AZ413" s="82"/>
      <c r="BA413" s="82"/>
      <c r="BB413" s="82"/>
      <c r="BC413" s="82"/>
      <c r="BD413" s="82"/>
      <c r="BE413" s="82"/>
      <c r="BF413" s="82"/>
      <c r="BG413" s="82"/>
      <c r="BH413" s="82"/>
      <c r="BI413" s="82"/>
      <c r="BJ413" s="82"/>
      <c r="BK413" s="82"/>
      <c r="BL413" s="82"/>
      <c r="BM413" s="82"/>
      <c r="BN413" s="82"/>
      <c r="BO413" s="82"/>
      <c r="BP413" s="82"/>
      <c r="BQ413" s="63"/>
      <c r="BR413" s="82"/>
      <c r="BS413" s="82"/>
      <c r="BT413" s="82"/>
      <c r="BU413" s="4"/>
    </row>
    <row r="414" spans="1:73" ht="12.75" x14ac:dyDescent="0.2">
      <c r="A414" s="1"/>
      <c r="B414" s="85"/>
      <c r="C414" s="85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4"/>
      <c r="O414" s="82"/>
      <c r="P414" s="82"/>
      <c r="Q414" s="82"/>
      <c r="R414" s="63"/>
      <c r="S414" s="63"/>
      <c r="T414" s="63"/>
      <c r="U414" s="63"/>
      <c r="V414" s="63"/>
      <c r="W414" s="63"/>
      <c r="X414" s="63"/>
      <c r="Y414" s="82"/>
      <c r="Z414" s="82"/>
      <c r="AA414" s="82"/>
      <c r="AB414" s="82"/>
      <c r="AC414" s="82"/>
      <c r="AD414" s="82"/>
      <c r="AE414" s="82"/>
      <c r="AF414" s="63" t="str">
        <f t="shared" si="1"/>
        <v/>
      </c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  <c r="AU414" s="82"/>
      <c r="AV414" s="82"/>
      <c r="AW414" s="82"/>
      <c r="AX414" s="82"/>
      <c r="AY414" s="82"/>
      <c r="AZ414" s="82"/>
      <c r="BA414" s="82"/>
      <c r="BB414" s="82"/>
      <c r="BC414" s="82"/>
      <c r="BD414" s="82"/>
      <c r="BE414" s="82"/>
      <c r="BF414" s="82"/>
      <c r="BG414" s="82"/>
      <c r="BH414" s="82"/>
      <c r="BI414" s="82"/>
      <c r="BJ414" s="82"/>
      <c r="BK414" s="82"/>
      <c r="BL414" s="82"/>
      <c r="BM414" s="82"/>
      <c r="BN414" s="82"/>
      <c r="BO414" s="82"/>
      <c r="BP414" s="82"/>
      <c r="BQ414" s="63"/>
      <c r="BR414" s="82"/>
      <c r="BS414" s="82"/>
      <c r="BT414" s="82"/>
      <c r="BU414" s="4"/>
    </row>
    <row r="415" spans="1:73" ht="12.75" x14ac:dyDescent="0.2">
      <c r="A415" s="1"/>
      <c r="B415" s="85"/>
      <c r="C415" s="85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4"/>
      <c r="O415" s="82"/>
      <c r="P415" s="82"/>
      <c r="Q415" s="82"/>
      <c r="R415" s="63"/>
      <c r="S415" s="63"/>
      <c r="T415" s="63"/>
      <c r="U415" s="63"/>
      <c r="V415" s="63"/>
      <c r="W415" s="63"/>
      <c r="X415" s="63"/>
      <c r="Y415" s="82"/>
      <c r="Z415" s="82"/>
      <c r="AA415" s="82"/>
      <c r="AB415" s="82"/>
      <c r="AC415" s="82"/>
      <c r="AD415" s="82"/>
      <c r="AE415" s="82"/>
      <c r="AF415" s="63" t="str">
        <f t="shared" si="1"/>
        <v/>
      </c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  <c r="AU415" s="82"/>
      <c r="AV415" s="82"/>
      <c r="AW415" s="82"/>
      <c r="AX415" s="82"/>
      <c r="AY415" s="82"/>
      <c r="AZ415" s="82"/>
      <c r="BA415" s="82"/>
      <c r="BB415" s="82"/>
      <c r="BC415" s="82"/>
      <c r="BD415" s="82"/>
      <c r="BE415" s="82"/>
      <c r="BF415" s="82"/>
      <c r="BG415" s="82"/>
      <c r="BH415" s="82"/>
      <c r="BI415" s="82"/>
      <c r="BJ415" s="82"/>
      <c r="BK415" s="82"/>
      <c r="BL415" s="82"/>
      <c r="BM415" s="82"/>
      <c r="BN415" s="82"/>
      <c r="BO415" s="82"/>
      <c r="BP415" s="82"/>
      <c r="BQ415" s="63"/>
      <c r="BR415" s="82"/>
      <c r="BS415" s="82"/>
      <c r="BT415" s="82"/>
      <c r="BU415" s="4"/>
    </row>
    <row r="416" spans="1:73" ht="12.75" x14ac:dyDescent="0.2">
      <c r="A416" s="1"/>
      <c r="B416" s="85"/>
      <c r="C416" s="85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4"/>
      <c r="O416" s="82"/>
      <c r="P416" s="82"/>
      <c r="Q416" s="82"/>
      <c r="R416" s="63"/>
      <c r="S416" s="63"/>
      <c r="T416" s="63"/>
      <c r="U416" s="63"/>
      <c r="V416" s="63"/>
      <c r="W416" s="63"/>
      <c r="X416" s="63"/>
      <c r="Y416" s="82"/>
      <c r="Z416" s="82"/>
      <c r="AA416" s="82"/>
      <c r="AB416" s="82"/>
      <c r="AC416" s="82"/>
      <c r="AD416" s="82"/>
      <c r="AE416" s="82"/>
      <c r="AF416" s="63" t="str">
        <f t="shared" si="1"/>
        <v/>
      </c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  <c r="AU416" s="82"/>
      <c r="AV416" s="82"/>
      <c r="AW416" s="82"/>
      <c r="AX416" s="82"/>
      <c r="AY416" s="82"/>
      <c r="AZ416" s="82"/>
      <c r="BA416" s="82"/>
      <c r="BB416" s="82"/>
      <c r="BC416" s="82"/>
      <c r="BD416" s="82"/>
      <c r="BE416" s="82"/>
      <c r="BF416" s="82"/>
      <c r="BG416" s="82"/>
      <c r="BH416" s="82"/>
      <c r="BI416" s="82"/>
      <c r="BJ416" s="82"/>
      <c r="BK416" s="82"/>
      <c r="BL416" s="82"/>
      <c r="BM416" s="82"/>
      <c r="BN416" s="82"/>
      <c r="BO416" s="82"/>
      <c r="BP416" s="82"/>
      <c r="BQ416" s="63"/>
      <c r="BR416" s="82"/>
      <c r="BS416" s="82"/>
      <c r="BT416" s="82"/>
      <c r="BU416" s="4"/>
    </row>
    <row r="417" spans="1:73" ht="12.75" x14ac:dyDescent="0.2">
      <c r="A417" s="1"/>
      <c r="B417" s="85"/>
      <c r="C417" s="85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4"/>
      <c r="O417" s="82"/>
      <c r="P417" s="82"/>
      <c r="Q417" s="82"/>
      <c r="R417" s="63"/>
      <c r="S417" s="63"/>
      <c r="T417" s="63"/>
      <c r="U417" s="63"/>
      <c r="V417" s="63"/>
      <c r="W417" s="63"/>
      <c r="X417" s="63"/>
      <c r="Y417" s="82"/>
      <c r="Z417" s="82"/>
      <c r="AA417" s="82"/>
      <c r="AB417" s="82"/>
      <c r="AC417" s="82"/>
      <c r="AD417" s="82"/>
      <c r="AE417" s="82"/>
      <c r="AF417" s="63" t="str">
        <f t="shared" si="1"/>
        <v/>
      </c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  <c r="AV417" s="82"/>
      <c r="AW417" s="82"/>
      <c r="AX417" s="82"/>
      <c r="AY417" s="82"/>
      <c r="AZ417" s="82"/>
      <c r="BA417" s="82"/>
      <c r="BB417" s="82"/>
      <c r="BC417" s="82"/>
      <c r="BD417" s="82"/>
      <c r="BE417" s="82"/>
      <c r="BF417" s="82"/>
      <c r="BG417" s="82"/>
      <c r="BH417" s="82"/>
      <c r="BI417" s="82"/>
      <c r="BJ417" s="82"/>
      <c r="BK417" s="82"/>
      <c r="BL417" s="82"/>
      <c r="BM417" s="82"/>
      <c r="BN417" s="82"/>
      <c r="BO417" s="82"/>
      <c r="BP417" s="82"/>
      <c r="BQ417" s="63"/>
      <c r="BR417" s="82"/>
      <c r="BS417" s="82"/>
      <c r="BT417" s="82"/>
      <c r="BU417" s="4"/>
    </row>
    <row r="418" spans="1:73" ht="12.75" x14ac:dyDescent="0.2">
      <c r="A418" s="1"/>
      <c r="B418" s="85"/>
      <c r="C418" s="85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4"/>
      <c r="O418" s="82"/>
      <c r="P418" s="82"/>
      <c r="Q418" s="82"/>
      <c r="R418" s="63"/>
      <c r="S418" s="63"/>
      <c r="T418" s="63"/>
      <c r="U418" s="63"/>
      <c r="V418" s="63"/>
      <c r="W418" s="63"/>
      <c r="X418" s="63"/>
      <c r="Y418" s="82"/>
      <c r="Z418" s="82"/>
      <c r="AA418" s="82"/>
      <c r="AB418" s="82"/>
      <c r="AC418" s="82"/>
      <c r="AD418" s="82"/>
      <c r="AE418" s="82"/>
      <c r="AF418" s="63" t="str">
        <f t="shared" si="1"/>
        <v/>
      </c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  <c r="AV418" s="82"/>
      <c r="AW418" s="82"/>
      <c r="AX418" s="82"/>
      <c r="AY418" s="82"/>
      <c r="AZ418" s="82"/>
      <c r="BA418" s="82"/>
      <c r="BB418" s="82"/>
      <c r="BC418" s="82"/>
      <c r="BD418" s="82"/>
      <c r="BE418" s="82"/>
      <c r="BF418" s="82"/>
      <c r="BG418" s="82"/>
      <c r="BH418" s="82"/>
      <c r="BI418" s="82"/>
      <c r="BJ418" s="82"/>
      <c r="BK418" s="82"/>
      <c r="BL418" s="82"/>
      <c r="BM418" s="82"/>
      <c r="BN418" s="82"/>
      <c r="BO418" s="82"/>
      <c r="BP418" s="82"/>
      <c r="BQ418" s="63"/>
      <c r="BR418" s="82"/>
      <c r="BS418" s="82"/>
      <c r="BT418" s="82"/>
      <c r="BU418" s="4"/>
    </row>
    <row r="419" spans="1:73" ht="12.75" x14ac:dyDescent="0.2">
      <c r="A419" s="1"/>
      <c r="B419" s="85"/>
      <c r="C419" s="85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4"/>
      <c r="O419" s="82"/>
      <c r="P419" s="82"/>
      <c r="Q419" s="82"/>
      <c r="R419" s="63"/>
      <c r="S419" s="63"/>
      <c r="T419" s="63"/>
      <c r="U419" s="63"/>
      <c r="V419" s="63"/>
      <c r="W419" s="63"/>
      <c r="X419" s="63"/>
      <c r="Y419" s="82"/>
      <c r="Z419" s="82"/>
      <c r="AA419" s="82"/>
      <c r="AB419" s="82"/>
      <c r="AC419" s="82"/>
      <c r="AD419" s="82"/>
      <c r="AE419" s="82"/>
      <c r="AF419" s="63" t="str">
        <f t="shared" si="1"/>
        <v/>
      </c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  <c r="AS419" s="82"/>
      <c r="AT419" s="82"/>
      <c r="AU419" s="82"/>
      <c r="AV419" s="82"/>
      <c r="AW419" s="82"/>
      <c r="AX419" s="82"/>
      <c r="AY419" s="82"/>
      <c r="AZ419" s="82"/>
      <c r="BA419" s="82"/>
      <c r="BB419" s="82"/>
      <c r="BC419" s="82"/>
      <c r="BD419" s="82"/>
      <c r="BE419" s="82"/>
      <c r="BF419" s="82"/>
      <c r="BG419" s="82"/>
      <c r="BH419" s="82"/>
      <c r="BI419" s="82"/>
      <c r="BJ419" s="82"/>
      <c r="BK419" s="82"/>
      <c r="BL419" s="82"/>
      <c r="BM419" s="82"/>
      <c r="BN419" s="82"/>
      <c r="BO419" s="82"/>
      <c r="BP419" s="82"/>
      <c r="BQ419" s="63"/>
      <c r="BR419" s="82"/>
      <c r="BS419" s="82"/>
      <c r="BT419" s="82"/>
      <c r="BU419" s="4"/>
    </row>
    <row r="420" spans="1:73" ht="12.75" x14ac:dyDescent="0.2">
      <c r="A420" s="1"/>
      <c r="B420" s="85"/>
      <c r="C420" s="85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4"/>
      <c r="O420" s="82"/>
      <c r="P420" s="82"/>
      <c r="Q420" s="82"/>
      <c r="R420" s="63"/>
      <c r="S420" s="63"/>
      <c r="T420" s="63"/>
      <c r="U420" s="63"/>
      <c r="V420" s="63"/>
      <c r="W420" s="63"/>
      <c r="X420" s="63"/>
      <c r="Y420" s="82"/>
      <c r="Z420" s="82"/>
      <c r="AA420" s="82"/>
      <c r="AB420" s="82"/>
      <c r="AC420" s="82"/>
      <c r="AD420" s="82"/>
      <c r="AE420" s="82"/>
      <c r="AF420" s="63" t="str">
        <f t="shared" si="1"/>
        <v/>
      </c>
      <c r="AG420" s="82"/>
      <c r="AH420" s="82"/>
      <c r="AI420" s="82"/>
      <c r="AJ420" s="82"/>
      <c r="AK420" s="82"/>
      <c r="AL420" s="82"/>
      <c r="AM420" s="82"/>
      <c r="AN420" s="82"/>
      <c r="AO420" s="82"/>
      <c r="AP420" s="82"/>
      <c r="AQ420" s="82"/>
      <c r="AR420" s="82"/>
      <c r="AS420" s="82"/>
      <c r="AT420" s="82"/>
      <c r="AU420" s="82"/>
      <c r="AV420" s="82"/>
      <c r="AW420" s="82"/>
      <c r="AX420" s="82"/>
      <c r="AY420" s="82"/>
      <c r="AZ420" s="82"/>
      <c r="BA420" s="82"/>
      <c r="BB420" s="82"/>
      <c r="BC420" s="82"/>
      <c r="BD420" s="82"/>
      <c r="BE420" s="82"/>
      <c r="BF420" s="82"/>
      <c r="BG420" s="82"/>
      <c r="BH420" s="82"/>
      <c r="BI420" s="82"/>
      <c r="BJ420" s="82"/>
      <c r="BK420" s="82"/>
      <c r="BL420" s="82"/>
      <c r="BM420" s="82"/>
      <c r="BN420" s="82"/>
      <c r="BO420" s="82"/>
      <c r="BP420" s="82"/>
      <c r="BQ420" s="63"/>
      <c r="BR420" s="82"/>
      <c r="BS420" s="82"/>
      <c r="BT420" s="82"/>
      <c r="BU420" s="4"/>
    </row>
    <row r="421" spans="1:73" ht="12.75" x14ac:dyDescent="0.2">
      <c r="A421" s="1"/>
      <c r="B421" s="85"/>
      <c r="C421" s="85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4"/>
      <c r="O421" s="82"/>
      <c r="P421" s="82"/>
      <c r="Q421" s="82"/>
      <c r="R421" s="63"/>
      <c r="S421" s="63"/>
      <c r="T421" s="63"/>
      <c r="U421" s="63"/>
      <c r="V421" s="63"/>
      <c r="W421" s="63"/>
      <c r="X421" s="63"/>
      <c r="Y421" s="82"/>
      <c r="Z421" s="82"/>
      <c r="AA421" s="82"/>
      <c r="AB421" s="82"/>
      <c r="AC421" s="82"/>
      <c r="AD421" s="82"/>
      <c r="AE421" s="82"/>
      <c r="AF421" s="63" t="str">
        <f t="shared" si="1"/>
        <v/>
      </c>
      <c r="AG421" s="82"/>
      <c r="AH421" s="82"/>
      <c r="AI421" s="82"/>
      <c r="AJ421" s="82"/>
      <c r="AK421" s="82"/>
      <c r="AL421" s="82"/>
      <c r="AM421" s="82"/>
      <c r="AN421" s="82"/>
      <c r="AO421" s="82"/>
      <c r="AP421" s="82"/>
      <c r="AQ421" s="82"/>
      <c r="AR421" s="82"/>
      <c r="AS421" s="82"/>
      <c r="AT421" s="82"/>
      <c r="AU421" s="82"/>
      <c r="AV421" s="82"/>
      <c r="AW421" s="82"/>
      <c r="AX421" s="82"/>
      <c r="AY421" s="82"/>
      <c r="AZ421" s="82"/>
      <c r="BA421" s="82"/>
      <c r="BB421" s="82"/>
      <c r="BC421" s="82"/>
      <c r="BD421" s="82"/>
      <c r="BE421" s="82"/>
      <c r="BF421" s="82"/>
      <c r="BG421" s="82"/>
      <c r="BH421" s="82"/>
      <c r="BI421" s="82"/>
      <c r="BJ421" s="82"/>
      <c r="BK421" s="82"/>
      <c r="BL421" s="82"/>
      <c r="BM421" s="82"/>
      <c r="BN421" s="82"/>
      <c r="BO421" s="82"/>
      <c r="BP421" s="82"/>
      <c r="BQ421" s="63"/>
      <c r="BR421" s="82"/>
      <c r="BS421" s="82"/>
      <c r="BT421" s="82"/>
      <c r="BU421" s="4"/>
    </row>
    <row r="422" spans="1:73" ht="12.75" x14ac:dyDescent="0.2">
      <c r="A422" s="1"/>
      <c r="B422" s="85"/>
      <c r="C422" s="85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4"/>
      <c r="O422" s="82"/>
      <c r="P422" s="82"/>
      <c r="Q422" s="82"/>
      <c r="R422" s="63"/>
      <c r="S422" s="63"/>
      <c r="T422" s="63"/>
      <c r="U422" s="63"/>
      <c r="V422" s="63"/>
      <c r="W422" s="63"/>
      <c r="X422" s="63"/>
      <c r="Y422" s="82"/>
      <c r="Z422" s="82"/>
      <c r="AA422" s="82"/>
      <c r="AB422" s="82"/>
      <c r="AC422" s="82"/>
      <c r="AD422" s="82"/>
      <c r="AE422" s="82"/>
      <c r="AF422" s="63" t="str">
        <f t="shared" si="1"/>
        <v/>
      </c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  <c r="AR422" s="82"/>
      <c r="AS422" s="82"/>
      <c r="AT422" s="82"/>
      <c r="AU422" s="82"/>
      <c r="AV422" s="82"/>
      <c r="AW422" s="82"/>
      <c r="AX422" s="82"/>
      <c r="AY422" s="82"/>
      <c r="AZ422" s="82"/>
      <c r="BA422" s="82"/>
      <c r="BB422" s="82"/>
      <c r="BC422" s="82"/>
      <c r="BD422" s="82"/>
      <c r="BE422" s="82"/>
      <c r="BF422" s="82"/>
      <c r="BG422" s="82"/>
      <c r="BH422" s="82"/>
      <c r="BI422" s="82"/>
      <c r="BJ422" s="82"/>
      <c r="BK422" s="82"/>
      <c r="BL422" s="82"/>
      <c r="BM422" s="82"/>
      <c r="BN422" s="82"/>
      <c r="BO422" s="82"/>
      <c r="BP422" s="82"/>
      <c r="BQ422" s="63"/>
      <c r="BR422" s="82"/>
      <c r="BS422" s="82"/>
      <c r="BT422" s="82"/>
      <c r="BU422" s="4"/>
    </row>
    <row r="423" spans="1:73" ht="12.75" x14ac:dyDescent="0.2">
      <c r="A423" s="1"/>
      <c r="B423" s="85"/>
      <c r="C423" s="85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4"/>
      <c r="O423" s="82"/>
      <c r="P423" s="82"/>
      <c r="Q423" s="82"/>
      <c r="R423" s="63"/>
      <c r="S423" s="63"/>
      <c r="T423" s="63"/>
      <c r="U423" s="63"/>
      <c r="V423" s="63"/>
      <c r="W423" s="63"/>
      <c r="X423" s="63"/>
      <c r="Y423" s="82"/>
      <c r="Z423" s="82"/>
      <c r="AA423" s="82"/>
      <c r="AB423" s="82"/>
      <c r="AC423" s="82"/>
      <c r="AD423" s="82"/>
      <c r="AE423" s="82"/>
      <c r="AF423" s="63" t="str">
        <f t="shared" si="1"/>
        <v/>
      </c>
      <c r="AG423" s="82"/>
      <c r="AH423" s="82"/>
      <c r="AI423" s="82"/>
      <c r="AJ423" s="82"/>
      <c r="AK423" s="82"/>
      <c r="AL423" s="82"/>
      <c r="AM423" s="82"/>
      <c r="AN423" s="82"/>
      <c r="AO423" s="82"/>
      <c r="AP423" s="82"/>
      <c r="AQ423" s="82"/>
      <c r="AR423" s="82"/>
      <c r="AS423" s="82"/>
      <c r="AT423" s="82"/>
      <c r="AU423" s="82"/>
      <c r="AV423" s="82"/>
      <c r="AW423" s="82"/>
      <c r="AX423" s="82"/>
      <c r="AY423" s="82"/>
      <c r="AZ423" s="82"/>
      <c r="BA423" s="82"/>
      <c r="BB423" s="82"/>
      <c r="BC423" s="82"/>
      <c r="BD423" s="82"/>
      <c r="BE423" s="82"/>
      <c r="BF423" s="82"/>
      <c r="BG423" s="82"/>
      <c r="BH423" s="82"/>
      <c r="BI423" s="82"/>
      <c r="BJ423" s="82"/>
      <c r="BK423" s="82"/>
      <c r="BL423" s="82"/>
      <c r="BM423" s="82"/>
      <c r="BN423" s="82"/>
      <c r="BO423" s="82"/>
      <c r="BP423" s="82"/>
      <c r="BQ423" s="63"/>
      <c r="BR423" s="82"/>
      <c r="BS423" s="82"/>
      <c r="BT423" s="82"/>
      <c r="BU423" s="4"/>
    </row>
    <row r="424" spans="1:73" ht="12.75" x14ac:dyDescent="0.2">
      <c r="A424" s="1"/>
      <c r="B424" s="85"/>
      <c r="C424" s="85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4"/>
      <c r="O424" s="82"/>
      <c r="P424" s="82"/>
      <c r="Q424" s="82"/>
      <c r="R424" s="63"/>
      <c r="S424" s="63"/>
      <c r="T424" s="63"/>
      <c r="U424" s="63"/>
      <c r="V424" s="63"/>
      <c r="W424" s="63"/>
      <c r="X424" s="63"/>
      <c r="Y424" s="82"/>
      <c r="Z424" s="82"/>
      <c r="AA424" s="82"/>
      <c r="AB424" s="82"/>
      <c r="AC424" s="82"/>
      <c r="AD424" s="82"/>
      <c r="AE424" s="82"/>
      <c r="AF424" s="63" t="str">
        <f t="shared" si="1"/>
        <v/>
      </c>
      <c r="AG424" s="82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  <c r="AR424" s="82"/>
      <c r="AS424" s="82"/>
      <c r="AT424" s="82"/>
      <c r="AU424" s="82"/>
      <c r="AV424" s="82"/>
      <c r="AW424" s="82"/>
      <c r="AX424" s="82"/>
      <c r="AY424" s="82"/>
      <c r="AZ424" s="82"/>
      <c r="BA424" s="82"/>
      <c r="BB424" s="82"/>
      <c r="BC424" s="82"/>
      <c r="BD424" s="82"/>
      <c r="BE424" s="82"/>
      <c r="BF424" s="82"/>
      <c r="BG424" s="82"/>
      <c r="BH424" s="82"/>
      <c r="BI424" s="82"/>
      <c r="BJ424" s="82"/>
      <c r="BK424" s="82"/>
      <c r="BL424" s="82"/>
      <c r="BM424" s="82"/>
      <c r="BN424" s="82"/>
      <c r="BO424" s="82"/>
      <c r="BP424" s="82"/>
      <c r="BQ424" s="63"/>
      <c r="BR424" s="82"/>
      <c r="BS424" s="82"/>
      <c r="BT424" s="82"/>
      <c r="BU424" s="4"/>
    </row>
    <row r="425" spans="1:73" ht="12.75" x14ac:dyDescent="0.2">
      <c r="A425" s="1"/>
      <c r="B425" s="85"/>
      <c r="C425" s="85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4"/>
      <c r="O425" s="82"/>
      <c r="P425" s="82"/>
      <c r="Q425" s="82"/>
      <c r="R425" s="63"/>
      <c r="S425" s="63"/>
      <c r="T425" s="63"/>
      <c r="U425" s="63"/>
      <c r="V425" s="63"/>
      <c r="W425" s="63"/>
      <c r="X425" s="63"/>
      <c r="Y425" s="82"/>
      <c r="Z425" s="82"/>
      <c r="AA425" s="82"/>
      <c r="AB425" s="82"/>
      <c r="AC425" s="82"/>
      <c r="AD425" s="82"/>
      <c r="AE425" s="82"/>
      <c r="AF425" s="63" t="str">
        <f t="shared" si="1"/>
        <v/>
      </c>
      <c r="AG425" s="82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  <c r="AR425" s="82"/>
      <c r="AS425" s="82"/>
      <c r="AT425" s="82"/>
      <c r="AU425" s="82"/>
      <c r="AV425" s="82"/>
      <c r="AW425" s="82"/>
      <c r="AX425" s="82"/>
      <c r="AY425" s="82"/>
      <c r="AZ425" s="82"/>
      <c r="BA425" s="82"/>
      <c r="BB425" s="82"/>
      <c r="BC425" s="82"/>
      <c r="BD425" s="82"/>
      <c r="BE425" s="82"/>
      <c r="BF425" s="82"/>
      <c r="BG425" s="82"/>
      <c r="BH425" s="82"/>
      <c r="BI425" s="82"/>
      <c r="BJ425" s="82"/>
      <c r="BK425" s="82"/>
      <c r="BL425" s="82"/>
      <c r="BM425" s="82"/>
      <c r="BN425" s="82"/>
      <c r="BO425" s="82"/>
      <c r="BP425" s="82"/>
      <c r="BQ425" s="63"/>
      <c r="BR425" s="82"/>
      <c r="BS425" s="82"/>
      <c r="BT425" s="82"/>
      <c r="BU425" s="4"/>
    </row>
    <row r="426" spans="1:73" ht="12.75" x14ac:dyDescent="0.2">
      <c r="A426" s="1"/>
      <c r="B426" s="85"/>
      <c r="C426" s="85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4"/>
      <c r="O426" s="82"/>
      <c r="P426" s="82"/>
      <c r="Q426" s="82"/>
      <c r="R426" s="63"/>
      <c r="S426" s="63"/>
      <c r="T426" s="63"/>
      <c r="U426" s="63"/>
      <c r="V426" s="63"/>
      <c r="W426" s="63"/>
      <c r="X426" s="63"/>
      <c r="Y426" s="82"/>
      <c r="Z426" s="82"/>
      <c r="AA426" s="82"/>
      <c r="AB426" s="82"/>
      <c r="AC426" s="82"/>
      <c r="AD426" s="82"/>
      <c r="AE426" s="82"/>
      <c r="AF426" s="63" t="str">
        <f t="shared" si="1"/>
        <v/>
      </c>
      <c r="AG426" s="82"/>
      <c r="AH426" s="82"/>
      <c r="AI426" s="82"/>
      <c r="AJ426" s="82"/>
      <c r="AK426" s="82"/>
      <c r="AL426" s="82"/>
      <c r="AM426" s="82"/>
      <c r="AN426" s="82"/>
      <c r="AO426" s="82"/>
      <c r="AP426" s="82"/>
      <c r="AQ426" s="82"/>
      <c r="AR426" s="82"/>
      <c r="AS426" s="82"/>
      <c r="AT426" s="82"/>
      <c r="AU426" s="82"/>
      <c r="AV426" s="82"/>
      <c r="AW426" s="82"/>
      <c r="AX426" s="82"/>
      <c r="AY426" s="82"/>
      <c r="AZ426" s="82"/>
      <c r="BA426" s="82"/>
      <c r="BB426" s="82"/>
      <c r="BC426" s="82"/>
      <c r="BD426" s="82"/>
      <c r="BE426" s="82"/>
      <c r="BF426" s="82"/>
      <c r="BG426" s="82"/>
      <c r="BH426" s="82"/>
      <c r="BI426" s="82"/>
      <c r="BJ426" s="82"/>
      <c r="BK426" s="82"/>
      <c r="BL426" s="82"/>
      <c r="BM426" s="82"/>
      <c r="BN426" s="82"/>
      <c r="BO426" s="82"/>
      <c r="BP426" s="82"/>
      <c r="BQ426" s="63"/>
      <c r="BR426" s="82"/>
      <c r="BS426" s="82"/>
      <c r="BT426" s="82"/>
      <c r="BU426" s="4"/>
    </row>
    <row r="427" spans="1:73" ht="12.75" x14ac:dyDescent="0.2">
      <c r="A427" s="1"/>
      <c r="B427" s="85"/>
      <c r="C427" s="85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4"/>
      <c r="O427" s="82"/>
      <c r="P427" s="82"/>
      <c r="Q427" s="82"/>
      <c r="R427" s="63"/>
      <c r="S427" s="63"/>
      <c r="T427" s="63"/>
      <c r="U427" s="63"/>
      <c r="V427" s="63"/>
      <c r="W427" s="63"/>
      <c r="X427" s="63"/>
      <c r="Y427" s="82"/>
      <c r="Z427" s="82"/>
      <c r="AA427" s="82"/>
      <c r="AB427" s="82"/>
      <c r="AC427" s="82"/>
      <c r="AD427" s="82"/>
      <c r="AE427" s="82"/>
      <c r="AF427" s="63" t="str">
        <f t="shared" si="1"/>
        <v/>
      </c>
      <c r="AG427" s="82"/>
      <c r="AH427" s="82"/>
      <c r="AI427" s="82"/>
      <c r="AJ427" s="82"/>
      <c r="AK427" s="82"/>
      <c r="AL427" s="82"/>
      <c r="AM427" s="82"/>
      <c r="AN427" s="82"/>
      <c r="AO427" s="82"/>
      <c r="AP427" s="82"/>
      <c r="AQ427" s="82"/>
      <c r="AR427" s="82"/>
      <c r="AS427" s="82"/>
      <c r="AT427" s="82"/>
      <c r="AU427" s="82"/>
      <c r="AV427" s="82"/>
      <c r="AW427" s="82"/>
      <c r="AX427" s="82"/>
      <c r="AY427" s="82"/>
      <c r="AZ427" s="82"/>
      <c r="BA427" s="82"/>
      <c r="BB427" s="82"/>
      <c r="BC427" s="82"/>
      <c r="BD427" s="82"/>
      <c r="BE427" s="82"/>
      <c r="BF427" s="82"/>
      <c r="BG427" s="82"/>
      <c r="BH427" s="82"/>
      <c r="BI427" s="82"/>
      <c r="BJ427" s="82"/>
      <c r="BK427" s="82"/>
      <c r="BL427" s="82"/>
      <c r="BM427" s="82"/>
      <c r="BN427" s="82"/>
      <c r="BO427" s="82"/>
      <c r="BP427" s="82"/>
      <c r="BQ427" s="63"/>
      <c r="BR427" s="82"/>
      <c r="BS427" s="82"/>
      <c r="BT427" s="82"/>
      <c r="BU427" s="4"/>
    </row>
    <row r="428" spans="1:73" ht="12.75" x14ac:dyDescent="0.2">
      <c r="A428" s="1"/>
      <c r="B428" s="85"/>
      <c r="C428" s="85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4"/>
      <c r="O428" s="82"/>
      <c r="P428" s="82"/>
      <c r="Q428" s="82"/>
      <c r="R428" s="63"/>
      <c r="S428" s="63"/>
      <c r="T428" s="63"/>
      <c r="U428" s="63"/>
      <c r="V428" s="63"/>
      <c r="W428" s="63"/>
      <c r="X428" s="63"/>
      <c r="Y428" s="82"/>
      <c r="Z428" s="82"/>
      <c r="AA428" s="82"/>
      <c r="AB428" s="82"/>
      <c r="AC428" s="82"/>
      <c r="AD428" s="82"/>
      <c r="AE428" s="82"/>
      <c r="AF428" s="63" t="str">
        <f t="shared" si="1"/>
        <v/>
      </c>
      <c r="AG428" s="82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  <c r="AR428" s="82"/>
      <c r="AS428" s="82"/>
      <c r="AT428" s="82"/>
      <c r="AU428" s="82"/>
      <c r="AV428" s="82"/>
      <c r="AW428" s="82"/>
      <c r="AX428" s="82"/>
      <c r="AY428" s="82"/>
      <c r="AZ428" s="82"/>
      <c r="BA428" s="82"/>
      <c r="BB428" s="82"/>
      <c r="BC428" s="82"/>
      <c r="BD428" s="82"/>
      <c r="BE428" s="82"/>
      <c r="BF428" s="82"/>
      <c r="BG428" s="82"/>
      <c r="BH428" s="82"/>
      <c r="BI428" s="82"/>
      <c r="BJ428" s="82"/>
      <c r="BK428" s="82"/>
      <c r="BL428" s="82"/>
      <c r="BM428" s="82"/>
      <c r="BN428" s="82"/>
      <c r="BO428" s="82"/>
      <c r="BP428" s="82"/>
      <c r="BQ428" s="63"/>
      <c r="BR428" s="82"/>
      <c r="BS428" s="82"/>
      <c r="BT428" s="82"/>
      <c r="BU428" s="4"/>
    </row>
    <row r="429" spans="1:73" ht="12.75" x14ac:dyDescent="0.2">
      <c r="A429" s="1"/>
      <c r="B429" s="85"/>
      <c r="C429" s="85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4"/>
      <c r="O429" s="82"/>
      <c r="P429" s="82"/>
      <c r="Q429" s="82"/>
      <c r="R429" s="63"/>
      <c r="S429" s="63"/>
      <c r="T429" s="63"/>
      <c r="U429" s="63"/>
      <c r="V429" s="63"/>
      <c r="W429" s="63"/>
      <c r="X429" s="63"/>
      <c r="Y429" s="82"/>
      <c r="Z429" s="82"/>
      <c r="AA429" s="82"/>
      <c r="AB429" s="82"/>
      <c r="AC429" s="82"/>
      <c r="AD429" s="82"/>
      <c r="AE429" s="82"/>
      <c r="AF429" s="63" t="str">
        <f t="shared" si="1"/>
        <v/>
      </c>
      <c r="AG429" s="82"/>
      <c r="AH429" s="82"/>
      <c r="AI429" s="82"/>
      <c r="AJ429" s="82"/>
      <c r="AK429" s="82"/>
      <c r="AL429" s="82"/>
      <c r="AM429" s="82"/>
      <c r="AN429" s="82"/>
      <c r="AO429" s="82"/>
      <c r="AP429" s="82"/>
      <c r="AQ429" s="82"/>
      <c r="AR429" s="82"/>
      <c r="AS429" s="82"/>
      <c r="AT429" s="82"/>
      <c r="AU429" s="82"/>
      <c r="AV429" s="82"/>
      <c r="AW429" s="82"/>
      <c r="AX429" s="82"/>
      <c r="AY429" s="82"/>
      <c r="AZ429" s="82"/>
      <c r="BA429" s="82"/>
      <c r="BB429" s="82"/>
      <c r="BC429" s="82"/>
      <c r="BD429" s="82"/>
      <c r="BE429" s="82"/>
      <c r="BF429" s="82"/>
      <c r="BG429" s="82"/>
      <c r="BH429" s="82"/>
      <c r="BI429" s="82"/>
      <c r="BJ429" s="82"/>
      <c r="BK429" s="82"/>
      <c r="BL429" s="82"/>
      <c r="BM429" s="82"/>
      <c r="BN429" s="82"/>
      <c r="BO429" s="82"/>
      <c r="BP429" s="82"/>
      <c r="BQ429" s="63"/>
      <c r="BR429" s="82"/>
      <c r="BS429" s="82"/>
      <c r="BT429" s="82"/>
      <c r="BU429" s="4"/>
    </row>
    <row r="430" spans="1:73" ht="12.75" x14ac:dyDescent="0.2">
      <c r="A430" s="1"/>
      <c r="B430" s="85"/>
      <c r="C430" s="85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4"/>
      <c r="O430" s="82"/>
      <c r="P430" s="82"/>
      <c r="Q430" s="82"/>
      <c r="R430" s="63"/>
      <c r="S430" s="63"/>
      <c r="T430" s="63"/>
      <c r="U430" s="63"/>
      <c r="V430" s="63"/>
      <c r="W430" s="63"/>
      <c r="X430" s="63"/>
      <c r="Y430" s="82"/>
      <c r="Z430" s="82"/>
      <c r="AA430" s="82"/>
      <c r="AB430" s="82"/>
      <c r="AC430" s="82"/>
      <c r="AD430" s="82"/>
      <c r="AE430" s="82"/>
      <c r="AF430" s="63" t="str">
        <f t="shared" si="1"/>
        <v/>
      </c>
      <c r="AG430" s="82"/>
      <c r="AH430" s="82"/>
      <c r="AI430" s="82"/>
      <c r="AJ430" s="82"/>
      <c r="AK430" s="82"/>
      <c r="AL430" s="82"/>
      <c r="AM430" s="82"/>
      <c r="AN430" s="82"/>
      <c r="AO430" s="82"/>
      <c r="AP430" s="82"/>
      <c r="AQ430" s="82"/>
      <c r="AR430" s="82"/>
      <c r="AS430" s="82"/>
      <c r="AT430" s="82"/>
      <c r="AU430" s="82"/>
      <c r="AV430" s="82"/>
      <c r="AW430" s="82"/>
      <c r="AX430" s="82"/>
      <c r="AY430" s="82"/>
      <c r="AZ430" s="82"/>
      <c r="BA430" s="82"/>
      <c r="BB430" s="82"/>
      <c r="BC430" s="82"/>
      <c r="BD430" s="82"/>
      <c r="BE430" s="82"/>
      <c r="BF430" s="82"/>
      <c r="BG430" s="82"/>
      <c r="BH430" s="82"/>
      <c r="BI430" s="82"/>
      <c r="BJ430" s="82"/>
      <c r="BK430" s="82"/>
      <c r="BL430" s="82"/>
      <c r="BM430" s="82"/>
      <c r="BN430" s="82"/>
      <c r="BO430" s="82"/>
      <c r="BP430" s="82"/>
      <c r="BQ430" s="63"/>
      <c r="BR430" s="82"/>
      <c r="BS430" s="82"/>
      <c r="BT430" s="82"/>
      <c r="BU430" s="4"/>
    </row>
    <row r="431" spans="1:73" ht="12.75" x14ac:dyDescent="0.2">
      <c r="A431" s="1"/>
      <c r="B431" s="85"/>
      <c r="C431" s="85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4"/>
      <c r="O431" s="82"/>
      <c r="P431" s="82"/>
      <c r="Q431" s="82"/>
      <c r="R431" s="63"/>
      <c r="S431" s="63"/>
      <c r="T431" s="63"/>
      <c r="U431" s="63"/>
      <c r="V431" s="63"/>
      <c r="W431" s="63"/>
      <c r="X431" s="63"/>
      <c r="Y431" s="82"/>
      <c r="Z431" s="82"/>
      <c r="AA431" s="82"/>
      <c r="AB431" s="82"/>
      <c r="AC431" s="82"/>
      <c r="AD431" s="82"/>
      <c r="AE431" s="82"/>
      <c r="AF431" s="63" t="str">
        <f t="shared" si="1"/>
        <v/>
      </c>
      <c r="AG431" s="82"/>
      <c r="AH431" s="82"/>
      <c r="AI431" s="82"/>
      <c r="AJ431" s="82"/>
      <c r="AK431" s="82"/>
      <c r="AL431" s="82"/>
      <c r="AM431" s="82"/>
      <c r="AN431" s="82"/>
      <c r="AO431" s="82"/>
      <c r="AP431" s="82"/>
      <c r="AQ431" s="82"/>
      <c r="AR431" s="82"/>
      <c r="AS431" s="82"/>
      <c r="AT431" s="82"/>
      <c r="AU431" s="82"/>
      <c r="AV431" s="82"/>
      <c r="AW431" s="82"/>
      <c r="AX431" s="82"/>
      <c r="AY431" s="82"/>
      <c r="AZ431" s="82"/>
      <c r="BA431" s="82"/>
      <c r="BB431" s="82"/>
      <c r="BC431" s="82"/>
      <c r="BD431" s="82"/>
      <c r="BE431" s="82"/>
      <c r="BF431" s="82"/>
      <c r="BG431" s="82"/>
      <c r="BH431" s="82"/>
      <c r="BI431" s="82"/>
      <c r="BJ431" s="82"/>
      <c r="BK431" s="82"/>
      <c r="BL431" s="82"/>
      <c r="BM431" s="82"/>
      <c r="BN431" s="82"/>
      <c r="BO431" s="82"/>
      <c r="BP431" s="82"/>
      <c r="BQ431" s="63"/>
      <c r="BR431" s="82"/>
      <c r="BS431" s="82"/>
      <c r="BT431" s="82"/>
      <c r="BU431" s="4"/>
    </row>
    <row r="432" spans="1:73" ht="12.75" x14ac:dyDescent="0.2">
      <c r="A432" s="1"/>
      <c r="B432" s="85"/>
      <c r="C432" s="85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4"/>
      <c r="O432" s="82"/>
      <c r="P432" s="82"/>
      <c r="Q432" s="82"/>
      <c r="R432" s="63"/>
      <c r="S432" s="63"/>
      <c r="T432" s="63"/>
      <c r="U432" s="63"/>
      <c r="V432" s="63"/>
      <c r="W432" s="63"/>
      <c r="X432" s="63"/>
      <c r="Y432" s="82"/>
      <c r="Z432" s="82"/>
      <c r="AA432" s="82"/>
      <c r="AB432" s="82"/>
      <c r="AC432" s="82"/>
      <c r="AD432" s="82"/>
      <c r="AE432" s="82"/>
      <c r="AF432" s="63" t="str">
        <f t="shared" si="1"/>
        <v/>
      </c>
      <c r="AG432" s="82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  <c r="AR432" s="82"/>
      <c r="AS432" s="82"/>
      <c r="AT432" s="82"/>
      <c r="AU432" s="82"/>
      <c r="AV432" s="82"/>
      <c r="AW432" s="82"/>
      <c r="AX432" s="82"/>
      <c r="AY432" s="82"/>
      <c r="AZ432" s="82"/>
      <c r="BA432" s="82"/>
      <c r="BB432" s="82"/>
      <c r="BC432" s="82"/>
      <c r="BD432" s="82"/>
      <c r="BE432" s="82"/>
      <c r="BF432" s="82"/>
      <c r="BG432" s="82"/>
      <c r="BH432" s="82"/>
      <c r="BI432" s="82"/>
      <c r="BJ432" s="82"/>
      <c r="BK432" s="82"/>
      <c r="BL432" s="82"/>
      <c r="BM432" s="82"/>
      <c r="BN432" s="82"/>
      <c r="BO432" s="82"/>
      <c r="BP432" s="82"/>
      <c r="BQ432" s="63"/>
      <c r="BR432" s="82"/>
      <c r="BS432" s="82"/>
      <c r="BT432" s="82"/>
      <c r="BU432" s="4"/>
    </row>
    <row r="433" spans="1:73" ht="12.75" x14ac:dyDescent="0.2">
      <c r="A433" s="1"/>
      <c r="B433" s="85"/>
      <c r="C433" s="85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4"/>
      <c r="O433" s="82"/>
      <c r="P433" s="82"/>
      <c r="Q433" s="82"/>
      <c r="R433" s="63"/>
      <c r="S433" s="63"/>
      <c r="T433" s="63"/>
      <c r="U433" s="63"/>
      <c r="V433" s="63"/>
      <c r="W433" s="63"/>
      <c r="X433" s="63"/>
      <c r="Y433" s="82"/>
      <c r="Z433" s="82"/>
      <c r="AA433" s="82"/>
      <c r="AB433" s="82"/>
      <c r="AC433" s="82"/>
      <c r="AD433" s="82"/>
      <c r="AE433" s="82"/>
      <c r="AF433" s="63" t="str">
        <f t="shared" si="1"/>
        <v/>
      </c>
      <c r="AG433" s="82"/>
      <c r="AH433" s="82"/>
      <c r="AI433" s="82"/>
      <c r="AJ433" s="82"/>
      <c r="AK433" s="82"/>
      <c r="AL433" s="82"/>
      <c r="AM433" s="82"/>
      <c r="AN433" s="82"/>
      <c r="AO433" s="82"/>
      <c r="AP433" s="82"/>
      <c r="AQ433" s="82"/>
      <c r="AR433" s="82"/>
      <c r="AS433" s="82"/>
      <c r="AT433" s="82"/>
      <c r="AU433" s="82"/>
      <c r="AV433" s="82"/>
      <c r="AW433" s="82"/>
      <c r="AX433" s="82"/>
      <c r="AY433" s="82"/>
      <c r="AZ433" s="82"/>
      <c r="BA433" s="82"/>
      <c r="BB433" s="82"/>
      <c r="BC433" s="82"/>
      <c r="BD433" s="82"/>
      <c r="BE433" s="82"/>
      <c r="BF433" s="82"/>
      <c r="BG433" s="82"/>
      <c r="BH433" s="82"/>
      <c r="BI433" s="82"/>
      <c r="BJ433" s="82"/>
      <c r="BK433" s="82"/>
      <c r="BL433" s="82"/>
      <c r="BM433" s="82"/>
      <c r="BN433" s="82"/>
      <c r="BO433" s="82"/>
      <c r="BP433" s="82"/>
      <c r="BQ433" s="63"/>
      <c r="BR433" s="82"/>
      <c r="BS433" s="82"/>
      <c r="BT433" s="82"/>
      <c r="BU433" s="4"/>
    </row>
    <row r="434" spans="1:73" ht="12.75" x14ac:dyDescent="0.2">
      <c r="A434" s="1"/>
      <c r="B434" s="85"/>
      <c r="C434" s="85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4"/>
      <c r="O434" s="82"/>
      <c r="P434" s="82"/>
      <c r="Q434" s="82"/>
      <c r="R434" s="63"/>
      <c r="S434" s="63"/>
      <c r="T434" s="63"/>
      <c r="U434" s="63"/>
      <c r="V434" s="63"/>
      <c r="W434" s="63"/>
      <c r="X434" s="63"/>
      <c r="Y434" s="82"/>
      <c r="Z434" s="82"/>
      <c r="AA434" s="82"/>
      <c r="AB434" s="82"/>
      <c r="AC434" s="82"/>
      <c r="AD434" s="82"/>
      <c r="AE434" s="82"/>
      <c r="AF434" s="63" t="str">
        <f t="shared" si="1"/>
        <v/>
      </c>
      <c r="AG434" s="82"/>
      <c r="AH434" s="82"/>
      <c r="AI434" s="82"/>
      <c r="AJ434" s="82"/>
      <c r="AK434" s="82"/>
      <c r="AL434" s="82"/>
      <c r="AM434" s="82"/>
      <c r="AN434" s="82"/>
      <c r="AO434" s="82"/>
      <c r="AP434" s="82"/>
      <c r="AQ434" s="82"/>
      <c r="AR434" s="82"/>
      <c r="AS434" s="82"/>
      <c r="AT434" s="82"/>
      <c r="AU434" s="82"/>
      <c r="AV434" s="82"/>
      <c r="AW434" s="82"/>
      <c r="AX434" s="82"/>
      <c r="AY434" s="82"/>
      <c r="AZ434" s="82"/>
      <c r="BA434" s="82"/>
      <c r="BB434" s="82"/>
      <c r="BC434" s="82"/>
      <c r="BD434" s="82"/>
      <c r="BE434" s="82"/>
      <c r="BF434" s="82"/>
      <c r="BG434" s="82"/>
      <c r="BH434" s="82"/>
      <c r="BI434" s="82"/>
      <c r="BJ434" s="82"/>
      <c r="BK434" s="82"/>
      <c r="BL434" s="82"/>
      <c r="BM434" s="82"/>
      <c r="BN434" s="82"/>
      <c r="BO434" s="82"/>
      <c r="BP434" s="82"/>
      <c r="BQ434" s="63"/>
      <c r="BR434" s="82"/>
      <c r="BS434" s="82"/>
      <c r="BT434" s="82"/>
      <c r="BU434" s="4"/>
    </row>
    <row r="435" spans="1:73" ht="12.75" x14ac:dyDescent="0.2">
      <c r="A435" s="1"/>
      <c r="B435" s="85"/>
      <c r="C435" s="85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4"/>
      <c r="O435" s="82"/>
      <c r="P435" s="82"/>
      <c r="Q435" s="82"/>
      <c r="R435" s="63"/>
      <c r="S435" s="63"/>
      <c r="T435" s="63"/>
      <c r="U435" s="63"/>
      <c r="V435" s="63"/>
      <c r="W435" s="63"/>
      <c r="X435" s="63"/>
      <c r="Y435" s="82"/>
      <c r="Z435" s="82"/>
      <c r="AA435" s="82"/>
      <c r="AB435" s="82"/>
      <c r="AC435" s="82"/>
      <c r="AD435" s="82"/>
      <c r="AE435" s="82"/>
      <c r="AF435" s="63" t="str">
        <f t="shared" si="1"/>
        <v/>
      </c>
      <c r="AG435" s="82"/>
      <c r="AH435" s="82"/>
      <c r="AI435" s="82"/>
      <c r="AJ435" s="82"/>
      <c r="AK435" s="82"/>
      <c r="AL435" s="82"/>
      <c r="AM435" s="82"/>
      <c r="AN435" s="82"/>
      <c r="AO435" s="82"/>
      <c r="AP435" s="82"/>
      <c r="AQ435" s="82"/>
      <c r="AR435" s="82"/>
      <c r="AS435" s="82"/>
      <c r="AT435" s="82"/>
      <c r="AU435" s="82"/>
      <c r="AV435" s="82"/>
      <c r="AW435" s="82"/>
      <c r="AX435" s="82"/>
      <c r="AY435" s="82"/>
      <c r="AZ435" s="82"/>
      <c r="BA435" s="82"/>
      <c r="BB435" s="82"/>
      <c r="BC435" s="82"/>
      <c r="BD435" s="82"/>
      <c r="BE435" s="82"/>
      <c r="BF435" s="82"/>
      <c r="BG435" s="82"/>
      <c r="BH435" s="82"/>
      <c r="BI435" s="82"/>
      <c r="BJ435" s="82"/>
      <c r="BK435" s="82"/>
      <c r="BL435" s="82"/>
      <c r="BM435" s="82"/>
      <c r="BN435" s="82"/>
      <c r="BO435" s="82"/>
      <c r="BP435" s="82"/>
      <c r="BQ435" s="63"/>
      <c r="BR435" s="82"/>
      <c r="BS435" s="82"/>
      <c r="BT435" s="82"/>
      <c r="BU435" s="4"/>
    </row>
    <row r="436" spans="1:73" ht="12.75" x14ac:dyDescent="0.2">
      <c r="A436" s="1"/>
      <c r="B436" s="85"/>
      <c r="C436" s="85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4"/>
      <c r="O436" s="82"/>
      <c r="P436" s="82"/>
      <c r="Q436" s="82"/>
      <c r="R436" s="63"/>
      <c r="S436" s="63"/>
      <c r="T436" s="63"/>
      <c r="U436" s="63"/>
      <c r="V436" s="63"/>
      <c r="W436" s="63"/>
      <c r="X436" s="63"/>
      <c r="Y436" s="82"/>
      <c r="Z436" s="82"/>
      <c r="AA436" s="82"/>
      <c r="AB436" s="82"/>
      <c r="AC436" s="82"/>
      <c r="AD436" s="82"/>
      <c r="AE436" s="82"/>
      <c r="AF436" s="63" t="str">
        <f t="shared" si="1"/>
        <v/>
      </c>
      <c r="AG436" s="82"/>
      <c r="AH436" s="82"/>
      <c r="AI436" s="82"/>
      <c r="AJ436" s="82"/>
      <c r="AK436" s="82"/>
      <c r="AL436" s="82"/>
      <c r="AM436" s="82"/>
      <c r="AN436" s="82"/>
      <c r="AO436" s="82"/>
      <c r="AP436" s="82"/>
      <c r="AQ436" s="82"/>
      <c r="AR436" s="82"/>
      <c r="AS436" s="82"/>
      <c r="AT436" s="82"/>
      <c r="AU436" s="82"/>
      <c r="AV436" s="82"/>
      <c r="AW436" s="82"/>
      <c r="AX436" s="82"/>
      <c r="AY436" s="82"/>
      <c r="AZ436" s="82"/>
      <c r="BA436" s="82"/>
      <c r="BB436" s="82"/>
      <c r="BC436" s="82"/>
      <c r="BD436" s="82"/>
      <c r="BE436" s="82"/>
      <c r="BF436" s="82"/>
      <c r="BG436" s="82"/>
      <c r="BH436" s="82"/>
      <c r="BI436" s="82"/>
      <c r="BJ436" s="82"/>
      <c r="BK436" s="82"/>
      <c r="BL436" s="82"/>
      <c r="BM436" s="82"/>
      <c r="BN436" s="82"/>
      <c r="BO436" s="82"/>
      <c r="BP436" s="82"/>
      <c r="BQ436" s="63"/>
      <c r="BR436" s="82"/>
      <c r="BS436" s="82"/>
      <c r="BT436" s="82"/>
      <c r="BU436" s="4"/>
    </row>
    <row r="437" spans="1:73" ht="12.75" x14ac:dyDescent="0.2">
      <c r="A437" s="1"/>
      <c r="B437" s="85"/>
      <c r="C437" s="85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4"/>
      <c r="O437" s="82"/>
      <c r="P437" s="82"/>
      <c r="Q437" s="82"/>
      <c r="R437" s="63"/>
      <c r="S437" s="63"/>
      <c r="T437" s="63"/>
      <c r="U437" s="63"/>
      <c r="V437" s="63"/>
      <c r="W437" s="63"/>
      <c r="X437" s="63"/>
      <c r="Y437" s="82"/>
      <c r="Z437" s="82"/>
      <c r="AA437" s="82"/>
      <c r="AB437" s="82"/>
      <c r="AC437" s="82"/>
      <c r="AD437" s="82"/>
      <c r="AE437" s="82"/>
      <c r="AF437" s="63" t="str">
        <f t="shared" si="1"/>
        <v/>
      </c>
      <c r="AG437" s="82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  <c r="AR437" s="82"/>
      <c r="AS437" s="82"/>
      <c r="AT437" s="82"/>
      <c r="AU437" s="82"/>
      <c r="AV437" s="82"/>
      <c r="AW437" s="82"/>
      <c r="AX437" s="82"/>
      <c r="AY437" s="82"/>
      <c r="AZ437" s="82"/>
      <c r="BA437" s="82"/>
      <c r="BB437" s="82"/>
      <c r="BC437" s="82"/>
      <c r="BD437" s="82"/>
      <c r="BE437" s="82"/>
      <c r="BF437" s="82"/>
      <c r="BG437" s="82"/>
      <c r="BH437" s="82"/>
      <c r="BI437" s="82"/>
      <c r="BJ437" s="82"/>
      <c r="BK437" s="82"/>
      <c r="BL437" s="82"/>
      <c r="BM437" s="82"/>
      <c r="BN437" s="82"/>
      <c r="BO437" s="82"/>
      <c r="BP437" s="82"/>
      <c r="BQ437" s="63"/>
      <c r="BR437" s="82"/>
      <c r="BS437" s="82"/>
      <c r="BT437" s="82"/>
      <c r="BU437" s="4"/>
    </row>
    <row r="438" spans="1:73" ht="12.75" x14ac:dyDescent="0.2">
      <c r="A438" s="1"/>
      <c r="B438" s="85"/>
      <c r="C438" s="85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4"/>
      <c r="O438" s="82"/>
      <c r="P438" s="82"/>
      <c r="Q438" s="82"/>
      <c r="R438" s="63"/>
      <c r="S438" s="63"/>
      <c r="T438" s="63"/>
      <c r="U438" s="63"/>
      <c r="V438" s="63"/>
      <c r="W438" s="63"/>
      <c r="X438" s="63"/>
      <c r="Y438" s="82"/>
      <c r="Z438" s="82"/>
      <c r="AA438" s="82"/>
      <c r="AB438" s="82"/>
      <c r="AC438" s="82"/>
      <c r="AD438" s="82"/>
      <c r="AE438" s="82"/>
      <c r="AF438" s="63" t="str">
        <f t="shared" si="1"/>
        <v/>
      </c>
      <c r="AG438" s="82"/>
      <c r="AH438" s="82"/>
      <c r="AI438" s="82"/>
      <c r="AJ438" s="82"/>
      <c r="AK438" s="82"/>
      <c r="AL438" s="82"/>
      <c r="AM438" s="82"/>
      <c r="AN438" s="82"/>
      <c r="AO438" s="82"/>
      <c r="AP438" s="82"/>
      <c r="AQ438" s="82"/>
      <c r="AR438" s="82"/>
      <c r="AS438" s="82"/>
      <c r="AT438" s="82"/>
      <c r="AU438" s="82"/>
      <c r="AV438" s="82"/>
      <c r="AW438" s="82"/>
      <c r="AX438" s="82"/>
      <c r="AY438" s="82"/>
      <c r="AZ438" s="82"/>
      <c r="BA438" s="82"/>
      <c r="BB438" s="82"/>
      <c r="BC438" s="82"/>
      <c r="BD438" s="82"/>
      <c r="BE438" s="82"/>
      <c r="BF438" s="82"/>
      <c r="BG438" s="82"/>
      <c r="BH438" s="82"/>
      <c r="BI438" s="82"/>
      <c r="BJ438" s="82"/>
      <c r="BK438" s="82"/>
      <c r="BL438" s="82"/>
      <c r="BM438" s="82"/>
      <c r="BN438" s="82"/>
      <c r="BO438" s="82"/>
      <c r="BP438" s="82"/>
      <c r="BQ438" s="63"/>
      <c r="BR438" s="82"/>
      <c r="BS438" s="82"/>
      <c r="BT438" s="82"/>
      <c r="BU438" s="4"/>
    </row>
    <row r="439" spans="1:73" ht="12.75" x14ac:dyDescent="0.2">
      <c r="A439" s="1"/>
      <c r="B439" s="85"/>
      <c r="C439" s="85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4"/>
      <c r="O439" s="82"/>
      <c r="P439" s="82"/>
      <c r="Q439" s="82"/>
      <c r="R439" s="63"/>
      <c r="S439" s="63"/>
      <c r="T439" s="63"/>
      <c r="U439" s="63"/>
      <c r="V439" s="63"/>
      <c r="W439" s="63"/>
      <c r="X439" s="63"/>
      <c r="Y439" s="82"/>
      <c r="Z439" s="82"/>
      <c r="AA439" s="82"/>
      <c r="AB439" s="82"/>
      <c r="AC439" s="82"/>
      <c r="AD439" s="82"/>
      <c r="AE439" s="82"/>
      <c r="AF439" s="63" t="str">
        <f t="shared" si="1"/>
        <v/>
      </c>
      <c r="AG439" s="82"/>
      <c r="AH439" s="82"/>
      <c r="AI439" s="82"/>
      <c r="AJ439" s="82"/>
      <c r="AK439" s="82"/>
      <c r="AL439" s="82"/>
      <c r="AM439" s="82"/>
      <c r="AN439" s="82"/>
      <c r="AO439" s="82"/>
      <c r="AP439" s="82"/>
      <c r="AQ439" s="82"/>
      <c r="AR439" s="82"/>
      <c r="AS439" s="82"/>
      <c r="AT439" s="82"/>
      <c r="AU439" s="82"/>
      <c r="AV439" s="82"/>
      <c r="AW439" s="82"/>
      <c r="AX439" s="82"/>
      <c r="AY439" s="82"/>
      <c r="AZ439" s="82"/>
      <c r="BA439" s="82"/>
      <c r="BB439" s="82"/>
      <c r="BC439" s="82"/>
      <c r="BD439" s="82"/>
      <c r="BE439" s="82"/>
      <c r="BF439" s="82"/>
      <c r="BG439" s="82"/>
      <c r="BH439" s="82"/>
      <c r="BI439" s="82"/>
      <c r="BJ439" s="82"/>
      <c r="BK439" s="82"/>
      <c r="BL439" s="82"/>
      <c r="BM439" s="82"/>
      <c r="BN439" s="82"/>
      <c r="BO439" s="82"/>
      <c r="BP439" s="82"/>
      <c r="BQ439" s="63"/>
      <c r="BR439" s="82"/>
      <c r="BS439" s="82"/>
      <c r="BT439" s="82"/>
      <c r="BU439" s="4"/>
    </row>
    <row r="440" spans="1:73" ht="12.75" x14ac:dyDescent="0.2">
      <c r="A440" s="1"/>
      <c r="B440" s="85"/>
      <c r="C440" s="85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4"/>
      <c r="O440" s="82"/>
      <c r="P440" s="82"/>
      <c r="Q440" s="82"/>
      <c r="R440" s="63"/>
      <c r="S440" s="63"/>
      <c r="T440" s="63"/>
      <c r="U440" s="63"/>
      <c r="V440" s="63"/>
      <c r="W440" s="63"/>
      <c r="X440" s="63"/>
      <c r="Y440" s="82"/>
      <c r="Z440" s="82"/>
      <c r="AA440" s="82"/>
      <c r="AB440" s="82"/>
      <c r="AC440" s="82"/>
      <c r="AD440" s="82"/>
      <c r="AE440" s="82"/>
      <c r="AF440" s="63" t="str">
        <f t="shared" si="1"/>
        <v/>
      </c>
      <c r="AG440" s="82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  <c r="AR440" s="82"/>
      <c r="AS440" s="82"/>
      <c r="AT440" s="82"/>
      <c r="AU440" s="82"/>
      <c r="AV440" s="82"/>
      <c r="AW440" s="82"/>
      <c r="AX440" s="82"/>
      <c r="AY440" s="82"/>
      <c r="AZ440" s="82"/>
      <c r="BA440" s="82"/>
      <c r="BB440" s="82"/>
      <c r="BC440" s="82"/>
      <c r="BD440" s="82"/>
      <c r="BE440" s="82"/>
      <c r="BF440" s="82"/>
      <c r="BG440" s="82"/>
      <c r="BH440" s="82"/>
      <c r="BI440" s="82"/>
      <c r="BJ440" s="82"/>
      <c r="BK440" s="82"/>
      <c r="BL440" s="82"/>
      <c r="BM440" s="82"/>
      <c r="BN440" s="82"/>
      <c r="BO440" s="82"/>
      <c r="BP440" s="82"/>
      <c r="BQ440" s="63"/>
      <c r="BR440" s="82"/>
      <c r="BS440" s="82"/>
      <c r="BT440" s="82"/>
      <c r="BU440" s="4"/>
    </row>
    <row r="441" spans="1:73" ht="12.75" x14ac:dyDescent="0.2">
      <c r="A441" s="1"/>
      <c r="B441" s="85"/>
      <c r="C441" s="85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4"/>
      <c r="O441" s="82"/>
      <c r="P441" s="82"/>
      <c r="Q441" s="82"/>
      <c r="R441" s="63"/>
      <c r="S441" s="63"/>
      <c r="T441" s="63"/>
      <c r="U441" s="63"/>
      <c r="V441" s="63"/>
      <c r="W441" s="63"/>
      <c r="X441" s="63"/>
      <c r="Y441" s="82"/>
      <c r="Z441" s="82"/>
      <c r="AA441" s="82"/>
      <c r="AB441" s="82"/>
      <c r="AC441" s="82"/>
      <c r="AD441" s="82"/>
      <c r="AE441" s="82"/>
      <c r="AF441" s="63" t="str">
        <f t="shared" si="1"/>
        <v/>
      </c>
      <c r="AG441" s="82"/>
      <c r="AH441" s="82"/>
      <c r="AI441" s="82"/>
      <c r="AJ441" s="82"/>
      <c r="AK441" s="82"/>
      <c r="AL441" s="82"/>
      <c r="AM441" s="82"/>
      <c r="AN441" s="82"/>
      <c r="AO441" s="82"/>
      <c r="AP441" s="82"/>
      <c r="AQ441" s="82"/>
      <c r="AR441" s="82"/>
      <c r="AS441" s="82"/>
      <c r="AT441" s="82"/>
      <c r="AU441" s="82"/>
      <c r="AV441" s="82"/>
      <c r="AW441" s="82"/>
      <c r="AX441" s="82"/>
      <c r="AY441" s="82"/>
      <c r="AZ441" s="82"/>
      <c r="BA441" s="82"/>
      <c r="BB441" s="82"/>
      <c r="BC441" s="82"/>
      <c r="BD441" s="82"/>
      <c r="BE441" s="82"/>
      <c r="BF441" s="82"/>
      <c r="BG441" s="82"/>
      <c r="BH441" s="82"/>
      <c r="BI441" s="82"/>
      <c r="BJ441" s="82"/>
      <c r="BK441" s="82"/>
      <c r="BL441" s="82"/>
      <c r="BM441" s="82"/>
      <c r="BN441" s="82"/>
      <c r="BO441" s="82"/>
      <c r="BP441" s="82"/>
      <c r="BQ441" s="63"/>
      <c r="BR441" s="82"/>
      <c r="BS441" s="82"/>
      <c r="BT441" s="82"/>
      <c r="BU441" s="4"/>
    </row>
    <row r="442" spans="1:73" ht="12.75" x14ac:dyDescent="0.2">
      <c r="A442" s="1"/>
      <c r="B442" s="85"/>
      <c r="C442" s="85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4"/>
      <c r="O442" s="82"/>
      <c r="P442" s="82"/>
      <c r="Q442" s="82"/>
      <c r="R442" s="63"/>
      <c r="S442" s="63"/>
      <c r="T442" s="63"/>
      <c r="U442" s="63"/>
      <c r="V442" s="63"/>
      <c r="W442" s="63"/>
      <c r="X442" s="63"/>
      <c r="Y442" s="82"/>
      <c r="Z442" s="82"/>
      <c r="AA442" s="82"/>
      <c r="AB442" s="82"/>
      <c r="AC442" s="82"/>
      <c r="AD442" s="82"/>
      <c r="AE442" s="82"/>
      <c r="AF442" s="63" t="str">
        <f t="shared" si="1"/>
        <v/>
      </c>
      <c r="AG442" s="82"/>
      <c r="AH442" s="82"/>
      <c r="AI442" s="82"/>
      <c r="AJ442" s="82"/>
      <c r="AK442" s="82"/>
      <c r="AL442" s="82"/>
      <c r="AM442" s="82"/>
      <c r="AN442" s="82"/>
      <c r="AO442" s="82"/>
      <c r="AP442" s="82"/>
      <c r="AQ442" s="82"/>
      <c r="AR442" s="82"/>
      <c r="AS442" s="82"/>
      <c r="AT442" s="82"/>
      <c r="AU442" s="82"/>
      <c r="AV442" s="82"/>
      <c r="AW442" s="82"/>
      <c r="AX442" s="82"/>
      <c r="AY442" s="82"/>
      <c r="AZ442" s="82"/>
      <c r="BA442" s="82"/>
      <c r="BB442" s="82"/>
      <c r="BC442" s="82"/>
      <c r="BD442" s="82"/>
      <c r="BE442" s="82"/>
      <c r="BF442" s="82"/>
      <c r="BG442" s="82"/>
      <c r="BH442" s="82"/>
      <c r="BI442" s="82"/>
      <c r="BJ442" s="82"/>
      <c r="BK442" s="82"/>
      <c r="BL442" s="82"/>
      <c r="BM442" s="82"/>
      <c r="BN442" s="82"/>
      <c r="BO442" s="82"/>
      <c r="BP442" s="82"/>
      <c r="BQ442" s="63"/>
      <c r="BR442" s="82"/>
      <c r="BS442" s="82"/>
      <c r="BT442" s="82"/>
      <c r="BU442" s="4"/>
    </row>
    <row r="443" spans="1:73" ht="12.75" x14ac:dyDescent="0.2">
      <c r="A443" s="1"/>
      <c r="B443" s="85"/>
      <c r="C443" s="85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4"/>
      <c r="O443" s="82"/>
      <c r="P443" s="82"/>
      <c r="Q443" s="82"/>
      <c r="R443" s="63"/>
      <c r="S443" s="63"/>
      <c r="T443" s="63"/>
      <c r="U443" s="63"/>
      <c r="V443" s="63"/>
      <c r="W443" s="63"/>
      <c r="X443" s="63"/>
      <c r="Y443" s="82"/>
      <c r="Z443" s="82"/>
      <c r="AA443" s="82"/>
      <c r="AB443" s="82"/>
      <c r="AC443" s="82"/>
      <c r="AD443" s="82"/>
      <c r="AE443" s="82"/>
      <c r="AF443" s="63" t="str">
        <f t="shared" si="1"/>
        <v/>
      </c>
      <c r="AG443" s="82"/>
      <c r="AH443" s="82"/>
      <c r="AI443" s="82"/>
      <c r="AJ443" s="82"/>
      <c r="AK443" s="82"/>
      <c r="AL443" s="82"/>
      <c r="AM443" s="82"/>
      <c r="AN443" s="82"/>
      <c r="AO443" s="82"/>
      <c r="AP443" s="82"/>
      <c r="AQ443" s="82"/>
      <c r="AR443" s="82"/>
      <c r="AS443" s="82"/>
      <c r="AT443" s="82"/>
      <c r="AU443" s="82"/>
      <c r="AV443" s="82"/>
      <c r="AW443" s="82"/>
      <c r="AX443" s="82"/>
      <c r="AY443" s="82"/>
      <c r="AZ443" s="82"/>
      <c r="BA443" s="82"/>
      <c r="BB443" s="82"/>
      <c r="BC443" s="82"/>
      <c r="BD443" s="82"/>
      <c r="BE443" s="82"/>
      <c r="BF443" s="82"/>
      <c r="BG443" s="82"/>
      <c r="BH443" s="82"/>
      <c r="BI443" s="82"/>
      <c r="BJ443" s="82"/>
      <c r="BK443" s="82"/>
      <c r="BL443" s="82"/>
      <c r="BM443" s="82"/>
      <c r="BN443" s="82"/>
      <c r="BO443" s="82"/>
      <c r="BP443" s="82"/>
      <c r="BQ443" s="63"/>
      <c r="BR443" s="82"/>
      <c r="BS443" s="82"/>
      <c r="BT443" s="82"/>
      <c r="BU443" s="4"/>
    </row>
    <row r="444" spans="1:73" ht="12.75" x14ac:dyDescent="0.2">
      <c r="A444" s="1"/>
      <c r="B444" s="85"/>
      <c r="C444" s="85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4"/>
      <c r="O444" s="82"/>
      <c r="P444" s="82"/>
      <c r="Q444" s="82"/>
      <c r="R444" s="63"/>
      <c r="S444" s="63"/>
      <c r="T444" s="63"/>
      <c r="U444" s="63"/>
      <c r="V444" s="63"/>
      <c r="W444" s="63"/>
      <c r="X444" s="63"/>
      <c r="Y444" s="82"/>
      <c r="Z444" s="82"/>
      <c r="AA444" s="82"/>
      <c r="AB444" s="82"/>
      <c r="AC444" s="82"/>
      <c r="AD444" s="82"/>
      <c r="AE444" s="82"/>
      <c r="AF444" s="63" t="str">
        <f t="shared" si="1"/>
        <v/>
      </c>
      <c r="AG444" s="82"/>
      <c r="AH444" s="82"/>
      <c r="AI444" s="82"/>
      <c r="AJ444" s="82"/>
      <c r="AK444" s="82"/>
      <c r="AL444" s="82"/>
      <c r="AM444" s="82"/>
      <c r="AN444" s="82"/>
      <c r="AO444" s="82"/>
      <c r="AP444" s="82"/>
      <c r="AQ444" s="82"/>
      <c r="AR444" s="82"/>
      <c r="AS444" s="82"/>
      <c r="AT444" s="82"/>
      <c r="AU444" s="82"/>
      <c r="AV444" s="82"/>
      <c r="AW444" s="82"/>
      <c r="AX444" s="82"/>
      <c r="AY444" s="82"/>
      <c r="AZ444" s="82"/>
      <c r="BA444" s="82"/>
      <c r="BB444" s="82"/>
      <c r="BC444" s="82"/>
      <c r="BD444" s="82"/>
      <c r="BE444" s="82"/>
      <c r="BF444" s="82"/>
      <c r="BG444" s="82"/>
      <c r="BH444" s="82"/>
      <c r="BI444" s="82"/>
      <c r="BJ444" s="82"/>
      <c r="BK444" s="82"/>
      <c r="BL444" s="82"/>
      <c r="BM444" s="82"/>
      <c r="BN444" s="82"/>
      <c r="BO444" s="82"/>
      <c r="BP444" s="82"/>
      <c r="BQ444" s="63"/>
      <c r="BR444" s="82"/>
      <c r="BS444" s="82"/>
      <c r="BT444" s="82"/>
      <c r="BU444" s="4"/>
    </row>
    <row r="445" spans="1:73" ht="12.75" x14ac:dyDescent="0.2">
      <c r="A445" s="1"/>
      <c r="B445" s="85"/>
      <c r="C445" s="85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4"/>
      <c r="O445" s="82"/>
      <c r="P445" s="82"/>
      <c r="Q445" s="82"/>
      <c r="R445" s="63"/>
      <c r="S445" s="63"/>
      <c r="T445" s="63"/>
      <c r="U445" s="63"/>
      <c r="V445" s="63"/>
      <c r="W445" s="63"/>
      <c r="X445" s="63"/>
      <c r="Y445" s="82"/>
      <c r="Z445" s="82"/>
      <c r="AA445" s="82"/>
      <c r="AB445" s="82"/>
      <c r="AC445" s="82"/>
      <c r="AD445" s="82"/>
      <c r="AE445" s="82"/>
      <c r="AF445" s="63" t="str">
        <f t="shared" si="1"/>
        <v/>
      </c>
      <c r="AG445" s="82"/>
      <c r="AH445" s="82"/>
      <c r="AI445" s="82"/>
      <c r="AJ445" s="82"/>
      <c r="AK445" s="82"/>
      <c r="AL445" s="82"/>
      <c r="AM445" s="82"/>
      <c r="AN445" s="82"/>
      <c r="AO445" s="82"/>
      <c r="AP445" s="82"/>
      <c r="AQ445" s="82"/>
      <c r="AR445" s="82"/>
      <c r="AS445" s="82"/>
      <c r="AT445" s="82"/>
      <c r="AU445" s="82"/>
      <c r="AV445" s="82"/>
      <c r="AW445" s="82"/>
      <c r="AX445" s="82"/>
      <c r="AY445" s="82"/>
      <c r="AZ445" s="82"/>
      <c r="BA445" s="82"/>
      <c r="BB445" s="82"/>
      <c r="BC445" s="82"/>
      <c r="BD445" s="82"/>
      <c r="BE445" s="82"/>
      <c r="BF445" s="82"/>
      <c r="BG445" s="82"/>
      <c r="BH445" s="82"/>
      <c r="BI445" s="82"/>
      <c r="BJ445" s="82"/>
      <c r="BK445" s="82"/>
      <c r="BL445" s="82"/>
      <c r="BM445" s="82"/>
      <c r="BN445" s="82"/>
      <c r="BO445" s="82"/>
      <c r="BP445" s="82"/>
      <c r="BQ445" s="63"/>
      <c r="BR445" s="82"/>
      <c r="BS445" s="82"/>
      <c r="BT445" s="82"/>
      <c r="BU445" s="4"/>
    </row>
    <row r="446" spans="1:73" ht="12.75" x14ac:dyDescent="0.2">
      <c r="A446" s="1"/>
      <c r="B446" s="85"/>
      <c r="C446" s="85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4"/>
      <c r="O446" s="82"/>
      <c r="P446" s="82"/>
      <c r="Q446" s="82"/>
      <c r="R446" s="63"/>
      <c r="S446" s="63"/>
      <c r="T446" s="63"/>
      <c r="U446" s="63"/>
      <c r="V446" s="63"/>
      <c r="W446" s="63"/>
      <c r="X446" s="63"/>
      <c r="Y446" s="82"/>
      <c r="Z446" s="82"/>
      <c r="AA446" s="82"/>
      <c r="AB446" s="82"/>
      <c r="AC446" s="82"/>
      <c r="AD446" s="82"/>
      <c r="AE446" s="82"/>
      <c r="AF446" s="63" t="str">
        <f t="shared" si="1"/>
        <v/>
      </c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  <c r="AR446" s="82"/>
      <c r="AS446" s="82"/>
      <c r="AT446" s="82"/>
      <c r="AU446" s="82"/>
      <c r="AV446" s="82"/>
      <c r="AW446" s="82"/>
      <c r="AX446" s="82"/>
      <c r="AY446" s="82"/>
      <c r="AZ446" s="82"/>
      <c r="BA446" s="82"/>
      <c r="BB446" s="82"/>
      <c r="BC446" s="82"/>
      <c r="BD446" s="82"/>
      <c r="BE446" s="82"/>
      <c r="BF446" s="82"/>
      <c r="BG446" s="82"/>
      <c r="BH446" s="82"/>
      <c r="BI446" s="82"/>
      <c r="BJ446" s="82"/>
      <c r="BK446" s="82"/>
      <c r="BL446" s="82"/>
      <c r="BM446" s="82"/>
      <c r="BN446" s="82"/>
      <c r="BO446" s="82"/>
      <c r="BP446" s="82"/>
      <c r="BQ446" s="63"/>
      <c r="BR446" s="82"/>
      <c r="BS446" s="82"/>
      <c r="BT446" s="82"/>
      <c r="BU446" s="4"/>
    </row>
    <row r="447" spans="1:73" ht="12.75" x14ac:dyDescent="0.2">
      <c r="A447" s="1"/>
      <c r="B447" s="85"/>
      <c r="C447" s="85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4"/>
      <c r="O447" s="82"/>
      <c r="P447" s="82"/>
      <c r="Q447" s="82"/>
      <c r="R447" s="63"/>
      <c r="S447" s="63"/>
      <c r="T447" s="63"/>
      <c r="U447" s="63"/>
      <c r="V447" s="63"/>
      <c r="W447" s="63"/>
      <c r="X447" s="63"/>
      <c r="Y447" s="82"/>
      <c r="Z447" s="82"/>
      <c r="AA447" s="82"/>
      <c r="AB447" s="82"/>
      <c r="AC447" s="82"/>
      <c r="AD447" s="82"/>
      <c r="AE447" s="82"/>
      <c r="AF447" s="63" t="str">
        <f t="shared" si="1"/>
        <v/>
      </c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  <c r="AR447" s="82"/>
      <c r="AS447" s="82"/>
      <c r="AT447" s="82"/>
      <c r="AU447" s="82"/>
      <c r="AV447" s="82"/>
      <c r="AW447" s="82"/>
      <c r="AX447" s="82"/>
      <c r="AY447" s="82"/>
      <c r="AZ447" s="82"/>
      <c r="BA447" s="82"/>
      <c r="BB447" s="82"/>
      <c r="BC447" s="82"/>
      <c r="BD447" s="82"/>
      <c r="BE447" s="82"/>
      <c r="BF447" s="82"/>
      <c r="BG447" s="82"/>
      <c r="BH447" s="82"/>
      <c r="BI447" s="82"/>
      <c r="BJ447" s="82"/>
      <c r="BK447" s="82"/>
      <c r="BL447" s="82"/>
      <c r="BM447" s="82"/>
      <c r="BN447" s="82"/>
      <c r="BO447" s="82"/>
      <c r="BP447" s="82"/>
      <c r="BQ447" s="63"/>
      <c r="BR447" s="82"/>
      <c r="BS447" s="82"/>
      <c r="BT447" s="82"/>
      <c r="BU447" s="4"/>
    </row>
    <row r="448" spans="1:73" ht="12.75" x14ac:dyDescent="0.2">
      <c r="A448" s="1"/>
      <c r="B448" s="85"/>
      <c r="C448" s="85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4"/>
      <c r="O448" s="82"/>
      <c r="P448" s="82"/>
      <c r="Q448" s="82"/>
      <c r="R448" s="63"/>
      <c r="S448" s="63"/>
      <c r="T448" s="63"/>
      <c r="U448" s="63"/>
      <c r="V448" s="63"/>
      <c r="W448" s="63"/>
      <c r="X448" s="63"/>
      <c r="Y448" s="82"/>
      <c r="Z448" s="82"/>
      <c r="AA448" s="82"/>
      <c r="AB448" s="82"/>
      <c r="AC448" s="82"/>
      <c r="AD448" s="82"/>
      <c r="AE448" s="82"/>
      <c r="AF448" s="63" t="str">
        <f t="shared" si="1"/>
        <v/>
      </c>
      <c r="AG448" s="82"/>
      <c r="AH448" s="82"/>
      <c r="AI448" s="82"/>
      <c r="AJ448" s="82"/>
      <c r="AK448" s="82"/>
      <c r="AL448" s="82"/>
      <c r="AM448" s="82"/>
      <c r="AN448" s="82"/>
      <c r="AO448" s="82"/>
      <c r="AP448" s="82"/>
      <c r="AQ448" s="82"/>
      <c r="AR448" s="82"/>
      <c r="AS448" s="82"/>
      <c r="AT448" s="82"/>
      <c r="AU448" s="82"/>
      <c r="AV448" s="82"/>
      <c r="AW448" s="82"/>
      <c r="AX448" s="82"/>
      <c r="AY448" s="82"/>
      <c r="AZ448" s="82"/>
      <c r="BA448" s="82"/>
      <c r="BB448" s="82"/>
      <c r="BC448" s="82"/>
      <c r="BD448" s="82"/>
      <c r="BE448" s="82"/>
      <c r="BF448" s="82"/>
      <c r="BG448" s="82"/>
      <c r="BH448" s="82"/>
      <c r="BI448" s="82"/>
      <c r="BJ448" s="82"/>
      <c r="BK448" s="82"/>
      <c r="BL448" s="82"/>
      <c r="BM448" s="82"/>
      <c r="BN448" s="82"/>
      <c r="BO448" s="82"/>
      <c r="BP448" s="82"/>
      <c r="BQ448" s="63"/>
      <c r="BR448" s="82"/>
      <c r="BS448" s="82"/>
      <c r="BT448" s="82"/>
      <c r="BU448" s="4"/>
    </row>
    <row r="449" spans="1:73" ht="12.75" x14ac:dyDescent="0.2">
      <c r="A449" s="1"/>
      <c r="B449" s="85"/>
      <c r="C449" s="85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4"/>
      <c r="O449" s="82"/>
      <c r="P449" s="82"/>
      <c r="Q449" s="82"/>
      <c r="R449" s="63"/>
      <c r="S449" s="63"/>
      <c r="T449" s="63"/>
      <c r="U449" s="63"/>
      <c r="V449" s="63"/>
      <c r="W449" s="63"/>
      <c r="X449" s="63"/>
      <c r="Y449" s="82"/>
      <c r="Z449" s="82"/>
      <c r="AA449" s="82"/>
      <c r="AB449" s="82"/>
      <c r="AC449" s="82"/>
      <c r="AD449" s="82"/>
      <c r="AE449" s="82"/>
      <c r="AF449" s="63" t="str">
        <f t="shared" si="1"/>
        <v/>
      </c>
      <c r="AG449" s="82"/>
      <c r="AH449" s="82"/>
      <c r="AI449" s="82"/>
      <c r="AJ449" s="82"/>
      <c r="AK449" s="82"/>
      <c r="AL449" s="82"/>
      <c r="AM449" s="82"/>
      <c r="AN449" s="82"/>
      <c r="AO449" s="82"/>
      <c r="AP449" s="82"/>
      <c r="AQ449" s="82"/>
      <c r="AR449" s="82"/>
      <c r="AS449" s="82"/>
      <c r="AT449" s="82"/>
      <c r="AU449" s="82"/>
      <c r="AV449" s="82"/>
      <c r="AW449" s="82"/>
      <c r="AX449" s="82"/>
      <c r="AY449" s="82"/>
      <c r="AZ449" s="82"/>
      <c r="BA449" s="82"/>
      <c r="BB449" s="82"/>
      <c r="BC449" s="82"/>
      <c r="BD449" s="82"/>
      <c r="BE449" s="82"/>
      <c r="BF449" s="82"/>
      <c r="BG449" s="82"/>
      <c r="BH449" s="82"/>
      <c r="BI449" s="82"/>
      <c r="BJ449" s="82"/>
      <c r="BK449" s="82"/>
      <c r="BL449" s="82"/>
      <c r="BM449" s="82"/>
      <c r="BN449" s="82"/>
      <c r="BO449" s="82"/>
      <c r="BP449" s="82"/>
      <c r="BQ449" s="63"/>
      <c r="BR449" s="82"/>
      <c r="BS449" s="82"/>
      <c r="BT449" s="82"/>
      <c r="BU449" s="4"/>
    </row>
    <row r="450" spans="1:73" ht="12.75" x14ac:dyDescent="0.2">
      <c r="A450" s="1"/>
      <c r="B450" s="85"/>
      <c r="C450" s="85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4"/>
      <c r="O450" s="82"/>
      <c r="P450" s="82"/>
      <c r="Q450" s="82"/>
      <c r="R450" s="63"/>
      <c r="S450" s="63"/>
      <c r="T450" s="63"/>
      <c r="U450" s="63"/>
      <c r="V450" s="63"/>
      <c r="W450" s="63"/>
      <c r="X450" s="63"/>
      <c r="Y450" s="82"/>
      <c r="Z450" s="82"/>
      <c r="AA450" s="82"/>
      <c r="AB450" s="82"/>
      <c r="AC450" s="82"/>
      <c r="AD450" s="82"/>
      <c r="AE450" s="82"/>
      <c r="AF450" s="63" t="str">
        <f t="shared" si="1"/>
        <v/>
      </c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82"/>
      <c r="AT450" s="82"/>
      <c r="AU450" s="82"/>
      <c r="AV450" s="82"/>
      <c r="AW450" s="82"/>
      <c r="AX450" s="82"/>
      <c r="AY450" s="82"/>
      <c r="AZ450" s="82"/>
      <c r="BA450" s="82"/>
      <c r="BB450" s="82"/>
      <c r="BC450" s="82"/>
      <c r="BD450" s="82"/>
      <c r="BE450" s="82"/>
      <c r="BF450" s="82"/>
      <c r="BG450" s="82"/>
      <c r="BH450" s="82"/>
      <c r="BI450" s="82"/>
      <c r="BJ450" s="82"/>
      <c r="BK450" s="82"/>
      <c r="BL450" s="82"/>
      <c r="BM450" s="82"/>
      <c r="BN450" s="82"/>
      <c r="BO450" s="82"/>
      <c r="BP450" s="82"/>
      <c r="BQ450" s="63"/>
      <c r="BR450" s="82"/>
      <c r="BS450" s="82"/>
      <c r="BT450" s="82"/>
      <c r="BU450" s="4"/>
    </row>
    <row r="451" spans="1:73" ht="12.75" x14ac:dyDescent="0.2">
      <c r="A451" s="1"/>
      <c r="B451" s="85"/>
      <c r="C451" s="85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4"/>
      <c r="O451" s="82"/>
      <c r="P451" s="82"/>
      <c r="Q451" s="82"/>
      <c r="R451" s="63"/>
      <c r="S451" s="63"/>
      <c r="T451" s="63"/>
      <c r="U451" s="63"/>
      <c r="V451" s="63"/>
      <c r="W451" s="63"/>
      <c r="X451" s="63"/>
      <c r="Y451" s="82"/>
      <c r="Z451" s="82"/>
      <c r="AA451" s="82"/>
      <c r="AB451" s="82"/>
      <c r="AC451" s="82"/>
      <c r="AD451" s="82"/>
      <c r="AE451" s="82"/>
      <c r="AF451" s="63" t="str">
        <f t="shared" si="1"/>
        <v/>
      </c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82"/>
      <c r="AT451" s="82"/>
      <c r="AU451" s="82"/>
      <c r="AV451" s="82"/>
      <c r="AW451" s="82"/>
      <c r="AX451" s="82"/>
      <c r="AY451" s="82"/>
      <c r="AZ451" s="82"/>
      <c r="BA451" s="82"/>
      <c r="BB451" s="82"/>
      <c r="BC451" s="82"/>
      <c r="BD451" s="82"/>
      <c r="BE451" s="82"/>
      <c r="BF451" s="82"/>
      <c r="BG451" s="82"/>
      <c r="BH451" s="82"/>
      <c r="BI451" s="82"/>
      <c r="BJ451" s="82"/>
      <c r="BK451" s="82"/>
      <c r="BL451" s="82"/>
      <c r="BM451" s="82"/>
      <c r="BN451" s="82"/>
      <c r="BO451" s="82"/>
      <c r="BP451" s="82"/>
      <c r="BQ451" s="63"/>
      <c r="BR451" s="82"/>
      <c r="BS451" s="82"/>
      <c r="BT451" s="82"/>
      <c r="BU451" s="4"/>
    </row>
    <row r="452" spans="1:73" ht="12.75" x14ac:dyDescent="0.2">
      <c r="A452" s="1"/>
      <c r="B452" s="85"/>
      <c r="C452" s="85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4"/>
      <c r="O452" s="82"/>
      <c r="P452" s="82"/>
      <c r="Q452" s="82"/>
      <c r="R452" s="63"/>
      <c r="S452" s="63"/>
      <c r="T452" s="63"/>
      <c r="U452" s="63"/>
      <c r="V452" s="63"/>
      <c r="W452" s="63"/>
      <c r="X452" s="63"/>
      <c r="Y452" s="82"/>
      <c r="Z452" s="82"/>
      <c r="AA452" s="82"/>
      <c r="AB452" s="82"/>
      <c r="AC452" s="82"/>
      <c r="AD452" s="82"/>
      <c r="AE452" s="82"/>
      <c r="AF452" s="63" t="str">
        <f t="shared" si="1"/>
        <v/>
      </c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  <c r="AS452" s="82"/>
      <c r="AT452" s="82"/>
      <c r="AU452" s="82"/>
      <c r="AV452" s="82"/>
      <c r="AW452" s="82"/>
      <c r="AX452" s="82"/>
      <c r="AY452" s="82"/>
      <c r="AZ452" s="82"/>
      <c r="BA452" s="82"/>
      <c r="BB452" s="82"/>
      <c r="BC452" s="82"/>
      <c r="BD452" s="82"/>
      <c r="BE452" s="82"/>
      <c r="BF452" s="82"/>
      <c r="BG452" s="82"/>
      <c r="BH452" s="82"/>
      <c r="BI452" s="82"/>
      <c r="BJ452" s="82"/>
      <c r="BK452" s="82"/>
      <c r="BL452" s="82"/>
      <c r="BM452" s="82"/>
      <c r="BN452" s="82"/>
      <c r="BO452" s="82"/>
      <c r="BP452" s="82"/>
      <c r="BQ452" s="63"/>
      <c r="BR452" s="82"/>
      <c r="BS452" s="82"/>
      <c r="BT452" s="82"/>
      <c r="BU452" s="4"/>
    </row>
    <row r="453" spans="1:73" ht="12.75" x14ac:dyDescent="0.2">
      <c r="A453" s="1"/>
      <c r="B453" s="85"/>
      <c r="C453" s="85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4"/>
      <c r="O453" s="82"/>
      <c r="P453" s="82"/>
      <c r="Q453" s="82"/>
      <c r="R453" s="63"/>
      <c r="S453" s="63"/>
      <c r="T453" s="63"/>
      <c r="U453" s="63"/>
      <c r="V453" s="63"/>
      <c r="W453" s="63"/>
      <c r="X453" s="63"/>
      <c r="Y453" s="82"/>
      <c r="Z453" s="82"/>
      <c r="AA453" s="82"/>
      <c r="AB453" s="82"/>
      <c r="AC453" s="82"/>
      <c r="AD453" s="82"/>
      <c r="AE453" s="82"/>
      <c r="AF453" s="63" t="str">
        <f t="shared" si="1"/>
        <v/>
      </c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82"/>
      <c r="AT453" s="82"/>
      <c r="AU453" s="82"/>
      <c r="AV453" s="82"/>
      <c r="AW453" s="82"/>
      <c r="AX453" s="82"/>
      <c r="AY453" s="82"/>
      <c r="AZ453" s="82"/>
      <c r="BA453" s="82"/>
      <c r="BB453" s="82"/>
      <c r="BC453" s="82"/>
      <c r="BD453" s="82"/>
      <c r="BE453" s="82"/>
      <c r="BF453" s="82"/>
      <c r="BG453" s="82"/>
      <c r="BH453" s="82"/>
      <c r="BI453" s="82"/>
      <c r="BJ453" s="82"/>
      <c r="BK453" s="82"/>
      <c r="BL453" s="82"/>
      <c r="BM453" s="82"/>
      <c r="BN453" s="82"/>
      <c r="BO453" s="82"/>
      <c r="BP453" s="82"/>
      <c r="BQ453" s="63"/>
      <c r="BR453" s="82"/>
      <c r="BS453" s="82"/>
      <c r="BT453" s="82"/>
      <c r="BU453" s="4"/>
    </row>
    <row r="454" spans="1:73" ht="12.75" x14ac:dyDescent="0.2">
      <c r="A454" s="1"/>
      <c r="B454" s="85"/>
      <c r="C454" s="85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4"/>
      <c r="O454" s="82"/>
      <c r="P454" s="82"/>
      <c r="Q454" s="82"/>
      <c r="R454" s="63"/>
      <c r="S454" s="63"/>
      <c r="T454" s="63"/>
      <c r="U454" s="63"/>
      <c r="V454" s="63"/>
      <c r="W454" s="63"/>
      <c r="X454" s="63"/>
      <c r="Y454" s="82"/>
      <c r="Z454" s="82"/>
      <c r="AA454" s="82"/>
      <c r="AB454" s="82"/>
      <c r="AC454" s="82"/>
      <c r="AD454" s="82"/>
      <c r="AE454" s="82"/>
      <c r="AF454" s="63" t="str">
        <f t="shared" si="1"/>
        <v/>
      </c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  <c r="AS454" s="82"/>
      <c r="AT454" s="82"/>
      <c r="AU454" s="82"/>
      <c r="AV454" s="82"/>
      <c r="AW454" s="82"/>
      <c r="AX454" s="82"/>
      <c r="AY454" s="82"/>
      <c r="AZ454" s="82"/>
      <c r="BA454" s="82"/>
      <c r="BB454" s="82"/>
      <c r="BC454" s="82"/>
      <c r="BD454" s="82"/>
      <c r="BE454" s="82"/>
      <c r="BF454" s="82"/>
      <c r="BG454" s="82"/>
      <c r="BH454" s="82"/>
      <c r="BI454" s="82"/>
      <c r="BJ454" s="82"/>
      <c r="BK454" s="82"/>
      <c r="BL454" s="82"/>
      <c r="BM454" s="82"/>
      <c r="BN454" s="82"/>
      <c r="BO454" s="82"/>
      <c r="BP454" s="82"/>
      <c r="BQ454" s="63"/>
      <c r="BR454" s="82"/>
      <c r="BS454" s="82"/>
      <c r="BT454" s="82"/>
      <c r="BU454" s="4"/>
    </row>
    <row r="455" spans="1:73" ht="12.75" x14ac:dyDescent="0.2">
      <c r="A455" s="1"/>
      <c r="B455" s="85"/>
      <c r="C455" s="85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4"/>
      <c r="O455" s="82"/>
      <c r="P455" s="82"/>
      <c r="Q455" s="82"/>
      <c r="R455" s="63"/>
      <c r="S455" s="63"/>
      <c r="T455" s="63"/>
      <c r="U455" s="63"/>
      <c r="V455" s="63"/>
      <c r="W455" s="63"/>
      <c r="X455" s="63"/>
      <c r="Y455" s="82"/>
      <c r="Z455" s="82"/>
      <c r="AA455" s="82"/>
      <c r="AB455" s="82"/>
      <c r="AC455" s="82"/>
      <c r="AD455" s="82"/>
      <c r="AE455" s="82"/>
      <c r="AF455" s="63" t="str">
        <f t="shared" si="1"/>
        <v/>
      </c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  <c r="AS455" s="82"/>
      <c r="AT455" s="82"/>
      <c r="AU455" s="82"/>
      <c r="AV455" s="82"/>
      <c r="AW455" s="82"/>
      <c r="AX455" s="82"/>
      <c r="AY455" s="82"/>
      <c r="AZ455" s="82"/>
      <c r="BA455" s="82"/>
      <c r="BB455" s="82"/>
      <c r="BC455" s="82"/>
      <c r="BD455" s="82"/>
      <c r="BE455" s="82"/>
      <c r="BF455" s="82"/>
      <c r="BG455" s="82"/>
      <c r="BH455" s="82"/>
      <c r="BI455" s="82"/>
      <c r="BJ455" s="82"/>
      <c r="BK455" s="82"/>
      <c r="BL455" s="82"/>
      <c r="BM455" s="82"/>
      <c r="BN455" s="82"/>
      <c r="BO455" s="82"/>
      <c r="BP455" s="82"/>
      <c r="BQ455" s="63"/>
      <c r="BR455" s="82"/>
      <c r="BS455" s="82"/>
      <c r="BT455" s="82"/>
      <c r="BU455" s="4"/>
    </row>
    <row r="456" spans="1:73" ht="12.75" x14ac:dyDescent="0.2">
      <c r="A456" s="1"/>
      <c r="B456" s="85"/>
      <c r="C456" s="85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4"/>
      <c r="O456" s="82"/>
      <c r="P456" s="82"/>
      <c r="Q456" s="82"/>
      <c r="R456" s="63"/>
      <c r="S456" s="63"/>
      <c r="T456" s="63"/>
      <c r="U456" s="63"/>
      <c r="V456" s="63"/>
      <c r="W456" s="63"/>
      <c r="X456" s="63"/>
      <c r="Y456" s="82"/>
      <c r="Z456" s="82"/>
      <c r="AA456" s="82"/>
      <c r="AB456" s="82"/>
      <c r="AC456" s="82"/>
      <c r="AD456" s="82"/>
      <c r="AE456" s="82"/>
      <c r="AF456" s="63" t="str">
        <f t="shared" si="1"/>
        <v/>
      </c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  <c r="AS456" s="82"/>
      <c r="AT456" s="82"/>
      <c r="AU456" s="82"/>
      <c r="AV456" s="82"/>
      <c r="AW456" s="82"/>
      <c r="AX456" s="82"/>
      <c r="AY456" s="82"/>
      <c r="AZ456" s="82"/>
      <c r="BA456" s="82"/>
      <c r="BB456" s="82"/>
      <c r="BC456" s="82"/>
      <c r="BD456" s="82"/>
      <c r="BE456" s="82"/>
      <c r="BF456" s="82"/>
      <c r="BG456" s="82"/>
      <c r="BH456" s="82"/>
      <c r="BI456" s="82"/>
      <c r="BJ456" s="82"/>
      <c r="BK456" s="82"/>
      <c r="BL456" s="82"/>
      <c r="BM456" s="82"/>
      <c r="BN456" s="82"/>
      <c r="BO456" s="82"/>
      <c r="BP456" s="82"/>
      <c r="BQ456" s="63"/>
      <c r="BR456" s="82"/>
      <c r="BS456" s="82"/>
      <c r="BT456" s="82"/>
      <c r="BU456" s="4"/>
    </row>
    <row r="457" spans="1:73" ht="12.75" x14ac:dyDescent="0.2">
      <c r="A457" s="1"/>
      <c r="B457" s="85"/>
      <c r="C457" s="85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4"/>
      <c r="O457" s="82"/>
      <c r="P457" s="82"/>
      <c r="Q457" s="82"/>
      <c r="R457" s="63"/>
      <c r="S457" s="63"/>
      <c r="T457" s="63"/>
      <c r="U457" s="63"/>
      <c r="V457" s="63"/>
      <c r="W457" s="63"/>
      <c r="X457" s="63"/>
      <c r="Y457" s="82"/>
      <c r="Z457" s="82"/>
      <c r="AA457" s="82"/>
      <c r="AB457" s="82"/>
      <c r="AC457" s="82"/>
      <c r="AD457" s="82"/>
      <c r="AE457" s="82"/>
      <c r="AF457" s="63" t="str">
        <f t="shared" si="1"/>
        <v/>
      </c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  <c r="AR457" s="82"/>
      <c r="AS457" s="82"/>
      <c r="AT457" s="82"/>
      <c r="AU457" s="82"/>
      <c r="AV457" s="82"/>
      <c r="AW457" s="82"/>
      <c r="AX457" s="82"/>
      <c r="AY457" s="82"/>
      <c r="AZ457" s="82"/>
      <c r="BA457" s="82"/>
      <c r="BB457" s="82"/>
      <c r="BC457" s="82"/>
      <c r="BD457" s="82"/>
      <c r="BE457" s="82"/>
      <c r="BF457" s="82"/>
      <c r="BG457" s="82"/>
      <c r="BH457" s="82"/>
      <c r="BI457" s="82"/>
      <c r="BJ457" s="82"/>
      <c r="BK457" s="82"/>
      <c r="BL457" s="82"/>
      <c r="BM457" s="82"/>
      <c r="BN457" s="82"/>
      <c r="BO457" s="82"/>
      <c r="BP457" s="82"/>
      <c r="BQ457" s="63"/>
      <c r="BR457" s="82"/>
      <c r="BS457" s="82"/>
      <c r="BT457" s="82"/>
      <c r="BU457" s="4"/>
    </row>
    <row r="458" spans="1:73" ht="12.75" x14ac:dyDescent="0.2">
      <c r="A458" s="1"/>
      <c r="B458" s="85"/>
      <c r="C458" s="85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4"/>
      <c r="O458" s="82"/>
      <c r="P458" s="82"/>
      <c r="Q458" s="82"/>
      <c r="R458" s="63"/>
      <c r="S458" s="63"/>
      <c r="T458" s="63"/>
      <c r="U458" s="63"/>
      <c r="V458" s="63"/>
      <c r="W458" s="63"/>
      <c r="X458" s="63"/>
      <c r="Y458" s="82"/>
      <c r="Z458" s="82"/>
      <c r="AA458" s="82"/>
      <c r="AB458" s="82"/>
      <c r="AC458" s="82"/>
      <c r="AD458" s="82"/>
      <c r="AE458" s="82"/>
      <c r="AF458" s="63" t="str">
        <f t="shared" si="1"/>
        <v/>
      </c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  <c r="AR458" s="82"/>
      <c r="AS458" s="82"/>
      <c r="AT458" s="82"/>
      <c r="AU458" s="82"/>
      <c r="AV458" s="82"/>
      <c r="AW458" s="82"/>
      <c r="AX458" s="82"/>
      <c r="AY458" s="82"/>
      <c r="AZ458" s="82"/>
      <c r="BA458" s="82"/>
      <c r="BB458" s="82"/>
      <c r="BC458" s="82"/>
      <c r="BD458" s="82"/>
      <c r="BE458" s="82"/>
      <c r="BF458" s="82"/>
      <c r="BG458" s="82"/>
      <c r="BH458" s="82"/>
      <c r="BI458" s="82"/>
      <c r="BJ458" s="82"/>
      <c r="BK458" s="82"/>
      <c r="BL458" s="82"/>
      <c r="BM458" s="82"/>
      <c r="BN458" s="82"/>
      <c r="BO458" s="82"/>
      <c r="BP458" s="82"/>
      <c r="BQ458" s="63"/>
      <c r="BR458" s="82"/>
      <c r="BS458" s="82"/>
      <c r="BT458" s="82"/>
      <c r="BU458" s="4"/>
    </row>
    <row r="459" spans="1:73" ht="12.75" x14ac:dyDescent="0.2">
      <c r="A459" s="1"/>
      <c r="B459" s="85"/>
      <c r="C459" s="85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4"/>
      <c r="O459" s="82"/>
      <c r="P459" s="82"/>
      <c r="Q459" s="82"/>
      <c r="R459" s="63"/>
      <c r="S459" s="63"/>
      <c r="T459" s="63"/>
      <c r="U459" s="63"/>
      <c r="V459" s="63"/>
      <c r="W459" s="63"/>
      <c r="X459" s="63"/>
      <c r="Y459" s="82"/>
      <c r="Z459" s="82"/>
      <c r="AA459" s="82"/>
      <c r="AB459" s="82"/>
      <c r="AC459" s="82"/>
      <c r="AD459" s="82"/>
      <c r="AE459" s="82"/>
      <c r="AF459" s="63" t="str">
        <f t="shared" si="1"/>
        <v/>
      </c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  <c r="AR459" s="82"/>
      <c r="AS459" s="82"/>
      <c r="AT459" s="82"/>
      <c r="AU459" s="82"/>
      <c r="AV459" s="82"/>
      <c r="AW459" s="82"/>
      <c r="AX459" s="82"/>
      <c r="AY459" s="82"/>
      <c r="AZ459" s="82"/>
      <c r="BA459" s="82"/>
      <c r="BB459" s="82"/>
      <c r="BC459" s="82"/>
      <c r="BD459" s="82"/>
      <c r="BE459" s="82"/>
      <c r="BF459" s="82"/>
      <c r="BG459" s="82"/>
      <c r="BH459" s="82"/>
      <c r="BI459" s="82"/>
      <c r="BJ459" s="82"/>
      <c r="BK459" s="82"/>
      <c r="BL459" s="82"/>
      <c r="BM459" s="82"/>
      <c r="BN459" s="82"/>
      <c r="BO459" s="82"/>
      <c r="BP459" s="82"/>
      <c r="BQ459" s="63"/>
      <c r="BR459" s="82"/>
      <c r="BS459" s="82"/>
      <c r="BT459" s="82"/>
      <c r="BU459" s="4"/>
    </row>
    <row r="460" spans="1:73" ht="12.75" x14ac:dyDescent="0.2">
      <c r="A460" s="1"/>
      <c r="B460" s="85"/>
      <c r="C460" s="85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4"/>
      <c r="O460" s="82"/>
      <c r="P460" s="82"/>
      <c r="Q460" s="82"/>
      <c r="R460" s="63"/>
      <c r="S460" s="63"/>
      <c r="T460" s="63"/>
      <c r="U460" s="63"/>
      <c r="V460" s="63"/>
      <c r="W460" s="63"/>
      <c r="X460" s="63"/>
      <c r="Y460" s="82"/>
      <c r="Z460" s="82"/>
      <c r="AA460" s="82"/>
      <c r="AB460" s="82"/>
      <c r="AC460" s="82"/>
      <c r="AD460" s="82"/>
      <c r="AE460" s="82"/>
      <c r="AF460" s="63" t="str">
        <f t="shared" si="1"/>
        <v/>
      </c>
      <c r="AG460" s="82"/>
      <c r="AH460" s="82"/>
      <c r="AI460" s="82"/>
      <c r="AJ460" s="82"/>
      <c r="AK460" s="82"/>
      <c r="AL460" s="82"/>
      <c r="AM460" s="82"/>
      <c r="AN460" s="82"/>
      <c r="AO460" s="82"/>
      <c r="AP460" s="82"/>
      <c r="AQ460" s="82"/>
      <c r="AR460" s="82"/>
      <c r="AS460" s="82"/>
      <c r="AT460" s="82"/>
      <c r="AU460" s="82"/>
      <c r="AV460" s="82"/>
      <c r="AW460" s="82"/>
      <c r="AX460" s="82"/>
      <c r="AY460" s="82"/>
      <c r="AZ460" s="82"/>
      <c r="BA460" s="82"/>
      <c r="BB460" s="82"/>
      <c r="BC460" s="82"/>
      <c r="BD460" s="82"/>
      <c r="BE460" s="82"/>
      <c r="BF460" s="82"/>
      <c r="BG460" s="82"/>
      <c r="BH460" s="82"/>
      <c r="BI460" s="82"/>
      <c r="BJ460" s="82"/>
      <c r="BK460" s="82"/>
      <c r="BL460" s="82"/>
      <c r="BM460" s="82"/>
      <c r="BN460" s="82"/>
      <c r="BO460" s="82"/>
      <c r="BP460" s="82"/>
      <c r="BQ460" s="63"/>
      <c r="BR460" s="82"/>
      <c r="BS460" s="82"/>
      <c r="BT460" s="82"/>
      <c r="BU460" s="4"/>
    </row>
    <row r="461" spans="1:73" ht="12.75" x14ac:dyDescent="0.2">
      <c r="A461" s="1"/>
      <c r="B461" s="85"/>
      <c r="C461" s="85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4"/>
      <c r="O461" s="82"/>
      <c r="P461" s="82"/>
      <c r="Q461" s="82"/>
      <c r="R461" s="63"/>
      <c r="S461" s="63"/>
      <c r="T461" s="63"/>
      <c r="U461" s="63"/>
      <c r="V461" s="63"/>
      <c r="W461" s="63"/>
      <c r="X461" s="63"/>
      <c r="Y461" s="82"/>
      <c r="Z461" s="82"/>
      <c r="AA461" s="82"/>
      <c r="AB461" s="82"/>
      <c r="AC461" s="82"/>
      <c r="AD461" s="82"/>
      <c r="AE461" s="82"/>
      <c r="AF461" s="63" t="str">
        <f t="shared" si="1"/>
        <v/>
      </c>
      <c r="AG461" s="82"/>
      <c r="AH461" s="82"/>
      <c r="AI461" s="82"/>
      <c r="AJ461" s="82"/>
      <c r="AK461" s="82"/>
      <c r="AL461" s="82"/>
      <c r="AM461" s="82"/>
      <c r="AN461" s="82"/>
      <c r="AO461" s="82"/>
      <c r="AP461" s="82"/>
      <c r="AQ461" s="82"/>
      <c r="AR461" s="82"/>
      <c r="AS461" s="82"/>
      <c r="AT461" s="82"/>
      <c r="AU461" s="82"/>
      <c r="AV461" s="82"/>
      <c r="AW461" s="82"/>
      <c r="AX461" s="82"/>
      <c r="AY461" s="82"/>
      <c r="AZ461" s="82"/>
      <c r="BA461" s="82"/>
      <c r="BB461" s="82"/>
      <c r="BC461" s="82"/>
      <c r="BD461" s="82"/>
      <c r="BE461" s="82"/>
      <c r="BF461" s="82"/>
      <c r="BG461" s="82"/>
      <c r="BH461" s="82"/>
      <c r="BI461" s="82"/>
      <c r="BJ461" s="82"/>
      <c r="BK461" s="82"/>
      <c r="BL461" s="82"/>
      <c r="BM461" s="82"/>
      <c r="BN461" s="82"/>
      <c r="BO461" s="82"/>
      <c r="BP461" s="82"/>
      <c r="BQ461" s="63"/>
      <c r="BR461" s="82"/>
      <c r="BS461" s="82"/>
      <c r="BT461" s="82"/>
      <c r="BU461" s="4"/>
    </row>
    <row r="462" spans="1:73" ht="12.75" x14ac:dyDescent="0.2">
      <c r="A462" s="1"/>
      <c r="B462" s="85"/>
      <c r="C462" s="85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4"/>
      <c r="O462" s="82"/>
      <c r="P462" s="82"/>
      <c r="Q462" s="82"/>
      <c r="R462" s="63"/>
      <c r="S462" s="63"/>
      <c r="T462" s="63"/>
      <c r="U462" s="63"/>
      <c r="V462" s="63"/>
      <c r="W462" s="63"/>
      <c r="X462" s="63"/>
      <c r="Y462" s="82"/>
      <c r="Z462" s="82"/>
      <c r="AA462" s="82"/>
      <c r="AB462" s="82"/>
      <c r="AC462" s="82"/>
      <c r="AD462" s="82"/>
      <c r="AE462" s="82"/>
      <c r="AF462" s="63" t="str">
        <f t="shared" si="1"/>
        <v/>
      </c>
      <c r="AG462" s="82"/>
      <c r="AH462" s="82"/>
      <c r="AI462" s="82"/>
      <c r="AJ462" s="82"/>
      <c r="AK462" s="82"/>
      <c r="AL462" s="82"/>
      <c r="AM462" s="82"/>
      <c r="AN462" s="82"/>
      <c r="AO462" s="82"/>
      <c r="AP462" s="82"/>
      <c r="AQ462" s="82"/>
      <c r="AR462" s="82"/>
      <c r="AS462" s="82"/>
      <c r="AT462" s="82"/>
      <c r="AU462" s="82"/>
      <c r="AV462" s="82"/>
      <c r="AW462" s="82"/>
      <c r="AX462" s="82"/>
      <c r="AY462" s="82"/>
      <c r="AZ462" s="82"/>
      <c r="BA462" s="82"/>
      <c r="BB462" s="82"/>
      <c r="BC462" s="82"/>
      <c r="BD462" s="82"/>
      <c r="BE462" s="82"/>
      <c r="BF462" s="82"/>
      <c r="BG462" s="82"/>
      <c r="BH462" s="82"/>
      <c r="BI462" s="82"/>
      <c r="BJ462" s="82"/>
      <c r="BK462" s="82"/>
      <c r="BL462" s="82"/>
      <c r="BM462" s="82"/>
      <c r="BN462" s="82"/>
      <c r="BO462" s="82"/>
      <c r="BP462" s="82"/>
      <c r="BQ462" s="63"/>
      <c r="BR462" s="82"/>
      <c r="BS462" s="82"/>
      <c r="BT462" s="82"/>
      <c r="BU462" s="4"/>
    </row>
    <row r="463" spans="1:73" ht="12.75" x14ac:dyDescent="0.2">
      <c r="A463" s="1"/>
      <c r="B463" s="85"/>
      <c r="C463" s="85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4"/>
      <c r="O463" s="82"/>
      <c r="P463" s="82"/>
      <c r="Q463" s="82"/>
      <c r="R463" s="63"/>
      <c r="S463" s="63"/>
      <c r="T463" s="63"/>
      <c r="U463" s="63"/>
      <c r="V463" s="63"/>
      <c r="W463" s="63"/>
      <c r="X463" s="63"/>
      <c r="Y463" s="82"/>
      <c r="Z463" s="82"/>
      <c r="AA463" s="82"/>
      <c r="AB463" s="82"/>
      <c r="AC463" s="82"/>
      <c r="AD463" s="82"/>
      <c r="AE463" s="82"/>
      <c r="AF463" s="63" t="str">
        <f t="shared" si="1"/>
        <v/>
      </c>
      <c r="AG463" s="82"/>
      <c r="AH463" s="82"/>
      <c r="AI463" s="82"/>
      <c r="AJ463" s="82"/>
      <c r="AK463" s="82"/>
      <c r="AL463" s="82"/>
      <c r="AM463" s="82"/>
      <c r="AN463" s="82"/>
      <c r="AO463" s="82"/>
      <c r="AP463" s="82"/>
      <c r="AQ463" s="82"/>
      <c r="AR463" s="82"/>
      <c r="AS463" s="82"/>
      <c r="AT463" s="82"/>
      <c r="AU463" s="82"/>
      <c r="AV463" s="82"/>
      <c r="AW463" s="82"/>
      <c r="AX463" s="82"/>
      <c r="AY463" s="82"/>
      <c r="AZ463" s="82"/>
      <c r="BA463" s="82"/>
      <c r="BB463" s="82"/>
      <c r="BC463" s="82"/>
      <c r="BD463" s="82"/>
      <c r="BE463" s="82"/>
      <c r="BF463" s="82"/>
      <c r="BG463" s="82"/>
      <c r="BH463" s="82"/>
      <c r="BI463" s="82"/>
      <c r="BJ463" s="82"/>
      <c r="BK463" s="82"/>
      <c r="BL463" s="82"/>
      <c r="BM463" s="82"/>
      <c r="BN463" s="82"/>
      <c r="BO463" s="82"/>
      <c r="BP463" s="82"/>
      <c r="BQ463" s="63"/>
      <c r="BR463" s="82"/>
      <c r="BS463" s="82"/>
      <c r="BT463" s="82"/>
      <c r="BU463" s="4"/>
    </row>
    <row r="464" spans="1:73" ht="12.75" x14ac:dyDescent="0.2">
      <c r="A464" s="1"/>
      <c r="B464" s="85"/>
      <c r="C464" s="85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4"/>
      <c r="O464" s="82"/>
      <c r="P464" s="82"/>
      <c r="Q464" s="82"/>
      <c r="R464" s="63"/>
      <c r="S464" s="63"/>
      <c r="T464" s="63"/>
      <c r="U464" s="63"/>
      <c r="V464" s="63"/>
      <c r="W464" s="63"/>
      <c r="X464" s="63"/>
      <c r="Y464" s="82"/>
      <c r="Z464" s="82"/>
      <c r="AA464" s="82"/>
      <c r="AB464" s="82"/>
      <c r="AC464" s="82"/>
      <c r="AD464" s="82"/>
      <c r="AE464" s="82"/>
      <c r="AF464" s="63" t="str">
        <f t="shared" si="1"/>
        <v/>
      </c>
      <c r="AG464" s="82"/>
      <c r="AH464" s="82"/>
      <c r="AI464" s="82"/>
      <c r="AJ464" s="82"/>
      <c r="AK464" s="82"/>
      <c r="AL464" s="82"/>
      <c r="AM464" s="82"/>
      <c r="AN464" s="82"/>
      <c r="AO464" s="82"/>
      <c r="AP464" s="82"/>
      <c r="AQ464" s="82"/>
      <c r="AR464" s="82"/>
      <c r="AS464" s="82"/>
      <c r="AT464" s="82"/>
      <c r="AU464" s="82"/>
      <c r="AV464" s="82"/>
      <c r="AW464" s="82"/>
      <c r="AX464" s="82"/>
      <c r="AY464" s="82"/>
      <c r="AZ464" s="82"/>
      <c r="BA464" s="82"/>
      <c r="BB464" s="82"/>
      <c r="BC464" s="82"/>
      <c r="BD464" s="82"/>
      <c r="BE464" s="82"/>
      <c r="BF464" s="82"/>
      <c r="BG464" s="82"/>
      <c r="BH464" s="82"/>
      <c r="BI464" s="82"/>
      <c r="BJ464" s="82"/>
      <c r="BK464" s="82"/>
      <c r="BL464" s="82"/>
      <c r="BM464" s="82"/>
      <c r="BN464" s="82"/>
      <c r="BO464" s="82"/>
      <c r="BP464" s="82"/>
      <c r="BQ464" s="63"/>
      <c r="BR464" s="82"/>
      <c r="BS464" s="82"/>
      <c r="BT464" s="82"/>
      <c r="BU464" s="4"/>
    </row>
    <row r="465" spans="1:73" ht="12.75" x14ac:dyDescent="0.2">
      <c r="A465" s="1"/>
      <c r="B465" s="85"/>
      <c r="C465" s="85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4"/>
      <c r="O465" s="82"/>
      <c r="P465" s="82"/>
      <c r="Q465" s="82"/>
      <c r="R465" s="63"/>
      <c r="S465" s="63"/>
      <c r="T465" s="63"/>
      <c r="U465" s="63"/>
      <c r="V465" s="63"/>
      <c r="W465" s="63"/>
      <c r="X465" s="63"/>
      <c r="Y465" s="82"/>
      <c r="Z465" s="82"/>
      <c r="AA465" s="82"/>
      <c r="AB465" s="82"/>
      <c r="AC465" s="82"/>
      <c r="AD465" s="82"/>
      <c r="AE465" s="82"/>
      <c r="AF465" s="63" t="str">
        <f t="shared" si="1"/>
        <v/>
      </c>
      <c r="AG465" s="82"/>
      <c r="AH465" s="82"/>
      <c r="AI465" s="82"/>
      <c r="AJ465" s="82"/>
      <c r="AK465" s="82"/>
      <c r="AL465" s="82"/>
      <c r="AM465" s="82"/>
      <c r="AN465" s="82"/>
      <c r="AO465" s="82"/>
      <c r="AP465" s="82"/>
      <c r="AQ465" s="82"/>
      <c r="AR465" s="82"/>
      <c r="AS465" s="82"/>
      <c r="AT465" s="82"/>
      <c r="AU465" s="82"/>
      <c r="AV465" s="82"/>
      <c r="AW465" s="82"/>
      <c r="AX465" s="82"/>
      <c r="AY465" s="82"/>
      <c r="AZ465" s="82"/>
      <c r="BA465" s="82"/>
      <c r="BB465" s="82"/>
      <c r="BC465" s="82"/>
      <c r="BD465" s="82"/>
      <c r="BE465" s="82"/>
      <c r="BF465" s="82"/>
      <c r="BG465" s="82"/>
      <c r="BH465" s="82"/>
      <c r="BI465" s="82"/>
      <c r="BJ465" s="82"/>
      <c r="BK465" s="82"/>
      <c r="BL465" s="82"/>
      <c r="BM465" s="82"/>
      <c r="BN465" s="82"/>
      <c r="BO465" s="82"/>
      <c r="BP465" s="82"/>
      <c r="BQ465" s="63"/>
      <c r="BR465" s="82"/>
      <c r="BS465" s="82"/>
      <c r="BT465" s="82"/>
      <c r="BU465" s="4"/>
    </row>
    <row r="466" spans="1:73" ht="12.75" x14ac:dyDescent="0.2">
      <c r="A466" s="1"/>
      <c r="B466" s="85"/>
      <c r="C466" s="85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4"/>
      <c r="O466" s="82"/>
      <c r="P466" s="82"/>
      <c r="Q466" s="82"/>
      <c r="R466" s="63"/>
      <c r="S466" s="63"/>
      <c r="T466" s="63"/>
      <c r="U466" s="63"/>
      <c r="V466" s="63"/>
      <c r="W466" s="63"/>
      <c r="X466" s="63"/>
      <c r="Y466" s="82"/>
      <c r="Z466" s="82"/>
      <c r="AA466" s="82"/>
      <c r="AB466" s="82"/>
      <c r="AC466" s="82"/>
      <c r="AD466" s="82"/>
      <c r="AE466" s="82"/>
      <c r="AF466" s="63" t="str">
        <f t="shared" si="1"/>
        <v/>
      </c>
      <c r="AG466" s="82"/>
      <c r="AH466" s="82"/>
      <c r="AI466" s="82"/>
      <c r="AJ466" s="82"/>
      <c r="AK466" s="82"/>
      <c r="AL466" s="82"/>
      <c r="AM466" s="82"/>
      <c r="AN466" s="82"/>
      <c r="AO466" s="82"/>
      <c r="AP466" s="82"/>
      <c r="AQ466" s="82"/>
      <c r="AR466" s="82"/>
      <c r="AS466" s="82"/>
      <c r="AT466" s="82"/>
      <c r="AU466" s="82"/>
      <c r="AV466" s="82"/>
      <c r="AW466" s="82"/>
      <c r="AX466" s="82"/>
      <c r="AY466" s="82"/>
      <c r="AZ466" s="82"/>
      <c r="BA466" s="82"/>
      <c r="BB466" s="82"/>
      <c r="BC466" s="82"/>
      <c r="BD466" s="82"/>
      <c r="BE466" s="82"/>
      <c r="BF466" s="82"/>
      <c r="BG466" s="82"/>
      <c r="BH466" s="82"/>
      <c r="BI466" s="82"/>
      <c r="BJ466" s="82"/>
      <c r="BK466" s="82"/>
      <c r="BL466" s="82"/>
      <c r="BM466" s="82"/>
      <c r="BN466" s="82"/>
      <c r="BO466" s="82"/>
      <c r="BP466" s="82"/>
      <c r="BQ466" s="63"/>
      <c r="BR466" s="82"/>
      <c r="BS466" s="82"/>
      <c r="BT466" s="82"/>
      <c r="BU466" s="4"/>
    </row>
    <row r="467" spans="1:73" ht="12.75" x14ac:dyDescent="0.2">
      <c r="A467" s="1"/>
      <c r="B467" s="85"/>
      <c r="C467" s="85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4"/>
      <c r="O467" s="82"/>
      <c r="P467" s="82"/>
      <c r="Q467" s="82"/>
      <c r="R467" s="63"/>
      <c r="S467" s="63"/>
      <c r="T467" s="63"/>
      <c r="U467" s="63"/>
      <c r="V467" s="63"/>
      <c r="W467" s="63"/>
      <c r="X467" s="63"/>
      <c r="Y467" s="82"/>
      <c r="Z467" s="82"/>
      <c r="AA467" s="82"/>
      <c r="AB467" s="82"/>
      <c r="AC467" s="82"/>
      <c r="AD467" s="82"/>
      <c r="AE467" s="82"/>
      <c r="AF467" s="63" t="str">
        <f t="shared" si="1"/>
        <v/>
      </c>
      <c r="AG467" s="82"/>
      <c r="AH467" s="82"/>
      <c r="AI467" s="82"/>
      <c r="AJ467" s="82"/>
      <c r="AK467" s="82"/>
      <c r="AL467" s="82"/>
      <c r="AM467" s="82"/>
      <c r="AN467" s="82"/>
      <c r="AO467" s="82"/>
      <c r="AP467" s="82"/>
      <c r="AQ467" s="82"/>
      <c r="AR467" s="82"/>
      <c r="AS467" s="82"/>
      <c r="AT467" s="82"/>
      <c r="AU467" s="82"/>
      <c r="AV467" s="82"/>
      <c r="AW467" s="82"/>
      <c r="AX467" s="82"/>
      <c r="AY467" s="82"/>
      <c r="AZ467" s="82"/>
      <c r="BA467" s="82"/>
      <c r="BB467" s="82"/>
      <c r="BC467" s="82"/>
      <c r="BD467" s="82"/>
      <c r="BE467" s="82"/>
      <c r="BF467" s="82"/>
      <c r="BG467" s="82"/>
      <c r="BH467" s="82"/>
      <c r="BI467" s="82"/>
      <c r="BJ467" s="82"/>
      <c r="BK467" s="82"/>
      <c r="BL467" s="82"/>
      <c r="BM467" s="82"/>
      <c r="BN467" s="82"/>
      <c r="BO467" s="82"/>
      <c r="BP467" s="82"/>
      <c r="BQ467" s="63"/>
      <c r="BR467" s="82"/>
      <c r="BS467" s="82"/>
      <c r="BT467" s="82"/>
      <c r="BU467" s="4"/>
    </row>
    <row r="468" spans="1:73" ht="12.75" x14ac:dyDescent="0.2">
      <c r="A468" s="1"/>
      <c r="B468" s="85"/>
      <c r="C468" s="85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4"/>
      <c r="O468" s="82"/>
      <c r="P468" s="82"/>
      <c r="Q468" s="82"/>
      <c r="R468" s="63"/>
      <c r="S468" s="63"/>
      <c r="T468" s="63"/>
      <c r="U468" s="63"/>
      <c r="V468" s="63"/>
      <c r="W468" s="63"/>
      <c r="X468" s="63"/>
      <c r="Y468" s="82"/>
      <c r="Z468" s="82"/>
      <c r="AA468" s="82"/>
      <c r="AB468" s="82"/>
      <c r="AC468" s="82"/>
      <c r="AD468" s="82"/>
      <c r="AE468" s="82"/>
      <c r="AF468" s="63" t="str">
        <f t="shared" si="1"/>
        <v/>
      </c>
      <c r="AG468" s="82"/>
      <c r="AH468" s="82"/>
      <c r="AI468" s="82"/>
      <c r="AJ468" s="82"/>
      <c r="AK468" s="82"/>
      <c r="AL468" s="82"/>
      <c r="AM468" s="82"/>
      <c r="AN468" s="82"/>
      <c r="AO468" s="82"/>
      <c r="AP468" s="82"/>
      <c r="AQ468" s="82"/>
      <c r="AR468" s="82"/>
      <c r="AS468" s="82"/>
      <c r="AT468" s="82"/>
      <c r="AU468" s="82"/>
      <c r="AV468" s="82"/>
      <c r="AW468" s="82"/>
      <c r="AX468" s="82"/>
      <c r="AY468" s="82"/>
      <c r="AZ468" s="82"/>
      <c r="BA468" s="82"/>
      <c r="BB468" s="82"/>
      <c r="BC468" s="82"/>
      <c r="BD468" s="82"/>
      <c r="BE468" s="82"/>
      <c r="BF468" s="82"/>
      <c r="BG468" s="82"/>
      <c r="BH468" s="82"/>
      <c r="BI468" s="82"/>
      <c r="BJ468" s="82"/>
      <c r="BK468" s="82"/>
      <c r="BL468" s="82"/>
      <c r="BM468" s="82"/>
      <c r="BN468" s="82"/>
      <c r="BO468" s="82"/>
      <c r="BP468" s="82"/>
      <c r="BQ468" s="63"/>
      <c r="BR468" s="82"/>
      <c r="BS468" s="82"/>
      <c r="BT468" s="82"/>
      <c r="BU468" s="4"/>
    </row>
    <row r="469" spans="1:73" ht="12.75" x14ac:dyDescent="0.2">
      <c r="A469" s="1"/>
      <c r="B469" s="85"/>
      <c r="C469" s="85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4"/>
      <c r="O469" s="82"/>
      <c r="P469" s="82"/>
      <c r="Q469" s="82"/>
      <c r="R469" s="63"/>
      <c r="S469" s="63"/>
      <c r="T469" s="63"/>
      <c r="U469" s="63"/>
      <c r="V469" s="63"/>
      <c r="W469" s="63"/>
      <c r="X469" s="63"/>
      <c r="Y469" s="82"/>
      <c r="Z469" s="82"/>
      <c r="AA469" s="82"/>
      <c r="AB469" s="82"/>
      <c r="AC469" s="82"/>
      <c r="AD469" s="82"/>
      <c r="AE469" s="82"/>
      <c r="AF469" s="63" t="str">
        <f t="shared" si="1"/>
        <v/>
      </c>
      <c r="AG469" s="82"/>
      <c r="AH469" s="82"/>
      <c r="AI469" s="82"/>
      <c r="AJ469" s="82"/>
      <c r="AK469" s="82"/>
      <c r="AL469" s="82"/>
      <c r="AM469" s="82"/>
      <c r="AN469" s="82"/>
      <c r="AO469" s="82"/>
      <c r="AP469" s="82"/>
      <c r="AQ469" s="82"/>
      <c r="AR469" s="82"/>
      <c r="AS469" s="82"/>
      <c r="AT469" s="82"/>
      <c r="AU469" s="82"/>
      <c r="AV469" s="82"/>
      <c r="AW469" s="82"/>
      <c r="AX469" s="82"/>
      <c r="AY469" s="82"/>
      <c r="AZ469" s="82"/>
      <c r="BA469" s="82"/>
      <c r="BB469" s="82"/>
      <c r="BC469" s="82"/>
      <c r="BD469" s="82"/>
      <c r="BE469" s="82"/>
      <c r="BF469" s="82"/>
      <c r="BG469" s="82"/>
      <c r="BH469" s="82"/>
      <c r="BI469" s="82"/>
      <c r="BJ469" s="82"/>
      <c r="BK469" s="82"/>
      <c r="BL469" s="82"/>
      <c r="BM469" s="82"/>
      <c r="BN469" s="82"/>
      <c r="BO469" s="82"/>
      <c r="BP469" s="82"/>
      <c r="BQ469" s="63"/>
      <c r="BR469" s="82"/>
      <c r="BS469" s="82"/>
      <c r="BT469" s="82"/>
      <c r="BU469" s="4"/>
    </row>
    <row r="470" spans="1:73" ht="12.75" x14ac:dyDescent="0.2">
      <c r="A470" s="1"/>
      <c r="B470" s="85"/>
      <c r="C470" s="85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4"/>
      <c r="O470" s="82"/>
      <c r="P470" s="82"/>
      <c r="Q470" s="82"/>
      <c r="R470" s="63"/>
      <c r="S470" s="63"/>
      <c r="T470" s="63"/>
      <c r="U470" s="63"/>
      <c r="V470" s="63"/>
      <c r="W470" s="63"/>
      <c r="X470" s="63"/>
      <c r="Y470" s="82"/>
      <c r="Z470" s="82"/>
      <c r="AA470" s="82"/>
      <c r="AB470" s="82"/>
      <c r="AC470" s="82"/>
      <c r="AD470" s="82"/>
      <c r="AE470" s="82"/>
      <c r="AF470" s="63" t="str">
        <f t="shared" si="1"/>
        <v/>
      </c>
      <c r="AG470" s="82"/>
      <c r="AH470" s="82"/>
      <c r="AI470" s="82"/>
      <c r="AJ470" s="82"/>
      <c r="AK470" s="82"/>
      <c r="AL470" s="82"/>
      <c r="AM470" s="82"/>
      <c r="AN470" s="82"/>
      <c r="AO470" s="82"/>
      <c r="AP470" s="82"/>
      <c r="AQ470" s="82"/>
      <c r="AR470" s="82"/>
      <c r="AS470" s="82"/>
      <c r="AT470" s="82"/>
      <c r="AU470" s="82"/>
      <c r="AV470" s="82"/>
      <c r="AW470" s="82"/>
      <c r="AX470" s="82"/>
      <c r="AY470" s="82"/>
      <c r="AZ470" s="82"/>
      <c r="BA470" s="82"/>
      <c r="BB470" s="82"/>
      <c r="BC470" s="82"/>
      <c r="BD470" s="82"/>
      <c r="BE470" s="82"/>
      <c r="BF470" s="82"/>
      <c r="BG470" s="82"/>
      <c r="BH470" s="82"/>
      <c r="BI470" s="82"/>
      <c r="BJ470" s="82"/>
      <c r="BK470" s="82"/>
      <c r="BL470" s="82"/>
      <c r="BM470" s="82"/>
      <c r="BN470" s="82"/>
      <c r="BO470" s="82"/>
      <c r="BP470" s="82"/>
      <c r="BQ470" s="63"/>
      <c r="BR470" s="82"/>
      <c r="BS470" s="82"/>
      <c r="BT470" s="82"/>
      <c r="BU470" s="4"/>
    </row>
    <row r="471" spans="1:73" ht="12.75" x14ac:dyDescent="0.2">
      <c r="A471" s="1"/>
      <c r="B471" s="85"/>
      <c r="C471" s="85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4"/>
      <c r="O471" s="82"/>
      <c r="P471" s="82"/>
      <c r="Q471" s="82"/>
      <c r="R471" s="63"/>
      <c r="S471" s="63"/>
      <c r="T471" s="63"/>
      <c r="U471" s="63"/>
      <c r="V471" s="63"/>
      <c r="W471" s="63"/>
      <c r="X471" s="63"/>
      <c r="Y471" s="82"/>
      <c r="Z471" s="82"/>
      <c r="AA471" s="82"/>
      <c r="AB471" s="82"/>
      <c r="AC471" s="82"/>
      <c r="AD471" s="82"/>
      <c r="AE471" s="82"/>
      <c r="AF471" s="63" t="str">
        <f t="shared" si="1"/>
        <v/>
      </c>
      <c r="AG471" s="82"/>
      <c r="AH471" s="82"/>
      <c r="AI471" s="82"/>
      <c r="AJ471" s="82"/>
      <c r="AK471" s="82"/>
      <c r="AL471" s="82"/>
      <c r="AM471" s="82"/>
      <c r="AN471" s="82"/>
      <c r="AO471" s="82"/>
      <c r="AP471" s="82"/>
      <c r="AQ471" s="82"/>
      <c r="AR471" s="82"/>
      <c r="AS471" s="82"/>
      <c r="AT471" s="82"/>
      <c r="AU471" s="82"/>
      <c r="AV471" s="82"/>
      <c r="AW471" s="82"/>
      <c r="AX471" s="82"/>
      <c r="AY471" s="82"/>
      <c r="AZ471" s="82"/>
      <c r="BA471" s="82"/>
      <c r="BB471" s="82"/>
      <c r="BC471" s="82"/>
      <c r="BD471" s="82"/>
      <c r="BE471" s="82"/>
      <c r="BF471" s="82"/>
      <c r="BG471" s="82"/>
      <c r="BH471" s="82"/>
      <c r="BI471" s="82"/>
      <c r="BJ471" s="82"/>
      <c r="BK471" s="82"/>
      <c r="BL471" s="82"/>
      <c r="BM471" s="82"/>
      <c r="BN471" s="82"/>
      <c r="BO471" s="82"/>
      <c r="BP471" s="82"/>
      <c r="BQ471" s="63"/>
      <c r="BR471" s="82"/>
      <c r="BS471" s="82"/>
      <c r="BT471" s="82"/>
      <c r="BU471" s="4"/>
    </row>
    <row r="472" spans="1:73" ht="12.75" x14ac:dyDescent="0.2">
      <c r="A472" s="1"/>
      <c r="B472" s="85"/>
      <c r="C472" s="85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4"/>
      <c r="O472" s="82"/>
      <c r="P472" s="82"/>
      <c r="Q472" s="82"/>
      <c r="R472" s="63"/>
      <c r="S472" s="63"/>
      <c r="T472" s="63"/>
      <c r="U472" s="63"/>
      <c r="V472" s="63"/>
      <c r="W472" s="63"/>
      <c r="X472" s="63"/>
      <c r="Y472" s="82"/>
      <c r="Z472" s="82"/>
      <c r="AA472" s="82"/>
      <c r="AB472" s="82"/>
      <c r="AC472" s="82"/>
      <c r="AD472" s="82"/>
      <c r="AE472" s="82"/>
      <c r="AF472" s="63" t="str">
        <f t="shared" si="1"/>
        <v/>
      </c>
      <c r="AG472" s="82"/>
      <c r="AH472" s="82"/>
      <c r="AI472" s="82"/>
      <c r="AJ472" s="82"/>
      <c r="AK472" s="82"/>
      <c r="AL472" s="82"/>
      <c r="AM472" s="82"/>
      <c r="AN472" s="82"/>
      <c r="AO472" s="82"/>
      <c r="AP472" s="82"/>
      <c r="AQ472" s="82"/>
      <c r="AR472" s="82"/>
      <c r="AS472" s="82"/>
      <c r="AT472" s="82"/>
      <c r="AU472" s="82"/>
      <c r="AV472" s="82"/>
      <c r="AW472" s="82"/>
      <c r="AX472" s="82"/>
      <c r="AY472" s="82"/>
      <c r="AZ472" s="82"/>
      <c r="BA472" s="82"/>
      <c r="BB472" s="82"/>
      <c r="BC472" s="82"/>
      <c r="BD472" s="82"/>
      <c r="BE472" s="82"/>
      <c r="BF472" s="82"/>
      <c r="BG472" s="82"/>
      <c r="BH472" s="82"/>
      <c r="BI472" s="82"/>
      <c r="BJ472" s="82"/>
      <c r="BK472" s="82"/>
      <c r="BL472" s="82"/>
      <c r="BM472" s="82"/>
      <c r="BN472" s="82"/>
      <c r="BO472" s="82"/>
      <c r="BP472" s="82"/>
      <c r="BQ472" s="63"/>
      <c r="BR472" s="82"/>
      <c r="BS472" s="82"/>
      <c r="BT472" s="82"/>
      <c r="BU472" s="4"/>
    </row>
    <row r="473" spans="1:73" ht="12.75" x14ac:dyDescent="0.2">
      <c r="A473" s="1"/>
      <c r="B473" s="85"/>
      <c r="C473" s="85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4"/>
      <c r="O473" s="82"/>
      <c r="P473" s="82"/>
      <c r="Q473" s="82"/>
      <c r="R473" s="63"/>
      <c r="S473" s="63"/>
      <c r="T473" s="63"/>
      <c r="U473" s="63"/>
      <c r="V473" s="63"/>
      <c r="W473" s="63"/>
      <c r="X473" s="63"/>
      <c r="Y473" s="82"/>
      <c r="Z473" s="82"/>
      <c r="AA473" s="82"/>
      <c r="AB473" s="82"/>
      <c r="AC473" s="82"/>
      <c r="AD473" s="82"/>
      <c r="AE473" s="82"/>
      <c r="AF473" s="63" t="str">
        <f t="shared" si="1"/>
        <v/>
      </c>
      <c r="AG473" s="82"/>
      <c r="AH473" s="82"/>
      <c r="AI473" s="82"/>
      <c r="AJ473" s="82"/>
      <c r="AK473" s="82"/>
      <c r="AL473" s="82"/>
      <c r="AM473" s="82"/>
      <c r="AN473" s="82"/>
      <c r="AO473" s="82"/>
      <c r="AP473" s="82"/>
      <c r="AQ473" s="82"/>
      <c r="AR473" s="82"/>
      <c r="AS473" s="82"/>
      <c r="AT473" s="82"/>
      <c r="AU473" s="82"/>
      <c r="AV473" s="82"/>
      <c r="AW473" s="82"/>
      <c r="AX473" s="82"/>
      <c r="AY473" s="82"/>
      <c r="AZ473" s="82"/>
      <c r="BA473" s="82"/>
      <c r="BB473" s="82"/>
      <c r="BC473" s="82"/>
      <c r="BD473" s="82"/>
      <c r="BE473" s="82"/>
      <c r="BF473" s="82"/>
      <c r="BG473" s="82"/>
      <c r="BH473" s="82"/>
      <c r="BI473" s="82"/>
      <c r="BJ473" s="82"/>
      <c r="BK473" s="82"/>
      <c r="BL473" s="82"/>
      <c r="BM473" s="82"/>
      <c r="BN473" s="82"/>
      <c r="BO473" s="82"/>
      <c r="BP473" s="82"/>
      <c r="BQ473" s="63"/>
      <c r="BR473" s="82"/>
      <c r="BS473" s="82"/>
      <c r="BT473" s="82"/>
      <c r="BU473" s="4"/>
    </row>
    <row r="474" spans="1:73" ht="12.75" x14ac:dyDescent="0.2">
      <c r="A474" s="1"/>
      <c r="B474" s="85"/>
      <c r="C474" s="85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4"/>
      <c r="O474" s="82"/>
      <c r="P474" s="82"/>
      <c r="Q474" s="82"/>
      <c r="R474" s="63"/>
      <c r="S474" s="63"/>
      <c r="T474" s="63"/>
      <c r="U474" s="63"/>
      <c r="V474" s="63"/>
      <c r="W474" s="63"/>
      <c r="X474" s="63"/>
      <c r="Y474" s="82"/>
      <c r="Z474" s="82"/>
      <c r="AA474" s="82"/>
      <c r="AB474" s="82"/>
      <c r="AC474" s="82"/>
      <c r="AD474" s="82"/>
      <c r="AE474" s="82"/>
      <c r="AF474" s="63" t="str">
        <f t="shared" si="1"/>
        <v/>
      </c>
      <c r="AG474" s="82"/>
      <c r="AH474" s="82"/>
      <c r="AI474" s="82"/>
      <c r="AJ474" s="82"/>
      <c r="AK474" s="82"/>
      <c r="AL474" s="82"/>
      <c r="AM474" s="82"/>
      <c r="AN474" s="82"/>
      <c r="AO474" s="82"/>
      <c r="AP474" s="82"/>
      <c r="AQ474" s="82"/>
      <c r="AR474" s="82"/>
      <c r="AS474" s="82"/>
      <c r="AT474" s="82"/>
      <c r="AU474" s="82"/>
      <c r="AV474" s="82"/>
      <c r="AW474" s="82"/>
      <c r="AX474" s="82"/>
      <c r="AY474" s="82"/>
      <c r="AZ474" s="82"/>
      <c r="BA474" s="82"/>
      <c r="BB474" s="82"/>
      <c r="BC474" s="82"/>
      <c r="BD474" s="82"/>
      <c r="BE474" s="82"/>
      <c r="BF474" s="82"/>
      <c r="BG474" s="82"/>
      <c r="BH474" s="82"/>
      <c r="BI474" s="82"/>
      <c r="BJ474" s="82"/>
      <c r="BK474" s="82"/>
      <c r="BL474" s="82"/>
      <c r="BM474" s="82"/>
      <c r="BN474" s="82"/>
      <c r="BO474" s="82"/>
      <c r="BP474" s="82"/>
      <c r="BQ474" s="63"/>
      <c r="BR474" s="82"/>
      <c r="BS474" s="82"/>
      <c r="BT474" s="82"/>
      <c r="BU474" s="4"/>
    </row>
    <row r="475" spans="1:73" ht="12.75" x14ac:dyDescent="0.2">
      <c r="A475" s="1"/>
      <c r="B475" s="85"/>
      <c r="C475" s="85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4"/>
      <c r="O475" s="82"/>
      <c r="P475" s="82"/>
      <c r="Q475" s="82"/>
      <c r="R475" s="63"/>
      <c r="S475" s="63"/>
      <c r="T475" s="63"/>
      <c r="U475" s="63"/>
      <c r="V475" s="63"/>
      <c r="W475" s="63"/>
      <c r="X475" s="63"/>
      <c r="Y475" s="82"/>
      <c r="Z475" s="82"/>
      <c r="AA475" s="82"/>
      <c r="AB475" s="82"/>
      <c r="AC475" s="82"/>
      <c r="AD475" s="82"/>
      <c r="AE475" s="82"/>
      <c r="AF475" s="63" t="str">
        <f t="shared" si="1"/>
        <v/>
      </c>
      <c r="AG475" s="82"/>
      <c r="AH475" s="82"/>
      <c r="AI475" s="82"/>
      <c r="AJ475" s="82"/>
      <c r="AK475" s="82"/>
      <c r="AL475" s="82"/>
      <c r="AM475" s="82"/>
      <c r="AN475" s="82"/>
      <c r="AO475" s="82"/>
      <c r="AP475" s="82"/>
      <c r="AQ475" s="82"/>
      <c r="AR475" s="82"/>
      <c r="AS475" s="82"/>
      <c r="AT475" s="82"/>
      <c r="AU475" s="82"/>
      <c r="AV475" s="82"/>
      <c r="AW475" s="82"/>
      <c r="AX475" s="82"/>
      <c r="AY475" s="82"/>
      <c r="AZ475" s="82"/>
      <c r="BA475" s="82"/>
      <c r="BB475" s="82"/>
      <c r="BC475" s="82"/>
      <c r="BD475" s="82"/>
      <c r="BE475" s="82"/>
      <c r="BF475" s="82"/>
      <c r="BG475" s="82"/>
      <c r="BH475" s="82"/>
      <c r="BI475" s="82"/>
      <c r="BJ475" s="82"/>
      <c r="BK475" s="82"/>
      <c r="BL475" s="82"/>
      <c r="BM475" s="82"/>
      <c r="BN475" s="82"/>
      <c r="BO475" s="82"/>
      <c r="BP475" s="82"/>
      <c r="BQ475" s="63"/>
      <c r="BR475" s="82"/>
      <c r="BS475" s="82"/>
      <c r="BT475" s="82"/>
      <c r="BU475" s="4"/>
    </row>
    <row r="476" spans="1:73" ht="12.75" x14ac:dyDescent="0.2">
      <c r="A476" s="1"/>
      <c r="B476" s="85"/>
      <c r="C476" s="85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4"/>
      <c r="O476" s="82"/>
      <c r="P476" s="82"/>
      <c r="Q476" s="82"/>
      <c r="R476" s="63"/>
      <c r="S476" s="63"/>
      <c r="T476" s="63"/>
      <c r="U476" s="63"/>
      <c r="V476" s="63"/>
      <c r="W476" s="63"/>
      <c r="X476" s="63"/>
      <c r="Y476" s="82"/>
      <c r="Z476" s="82"/>
      <c r="AA476" s="82"/>
      <c r="AB476" s="82"/>
      <c r="AC476" s="82"/>
      <c r="AD476" s="82"/>
      <c r="AE476" s="82"/>
      <c r="AF476" s="63" t="str">
        <f t="shared" si="1"/>
        <v/>
      </c>
      <c r="AG476" s="82"/>
      <c r="AH476" s="82"/>
      <c r="AI476" s="82"/>
      <c r="AJ476" s="82"/>
      <c r="AK476" s="82"/>
      <c r="AL476" s="82"/>
      <c r="AM476" s="82"/>
      <c r="AN476" s="82"/>
      <c r="AO476" s="82"/>
      <c r="AP476" s="82"/>
      <c r="AQ476" s="82"/>
      <c r="AR476" s="82"/>
      <c r="AS476" s="82"/>
      <c r="AT476" s="82"/>
      <c r="AU476" s="82"/>
      <c r="AV476" s="82"/>
      <c r="AW476" s="82"/>
      <c r="AX476" s="82"/>
      <c r="AY476" s="82"/>
      <c r="AZ476" s="82"/>
      <c r="BA476" s="82"/>
      <c r="BB476" s="82"/>
      <c r="BC476" s="82"/>
      <c r="BD476" s="82"/>
      <c r="BE476" s="82"/>
      <c r="BF476" s="82"/>
      <c r="BG476" s="82"/>
      <c r="BH476" s="82"/>
      <c r="BI476" s="82"/>
      <c r="BJ476" s="82"/>
      <c r="BK476" s="82"/>
      <c r="BL476" s="82"/>
      <c r="BM476" s="82"/>
      <c r="BN476" s="82"/>
      <c r="BO476" s="82"/>
      <c r="BP476" s="82"/>
      <c r="BQ476" s="63"/>
      <c r="BR476" s="82"/>
      <c r="BS476" s="82"/>
      <c r="BT476" s="82"/>
      <c r="BU476" s="4"/>
    </row>
    <row r="477" spans="1:73" ht="12.75" x14ac:dyDescent="0.2">
      <c r="A477" s="1"/>
      <c r="B477" s="85"/>
      <c r="C477" s="85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4"/>
      <c r="O477" s="82"/>
      <c r="P477" s="82"/>
      <c r="Q477" s="82"/>
      <c r="R477" s="63"/>
      <c r="S477" s="63"/>
      <c r="T477" s="63"/>
      <c r="U477" s="63"/>
      <c r="V477" s="63"/>
      <c r="W477" s="63"/>
      <c r="X477" s="63"/>
      <c r="Y477" s="82"/>
      <c r="Z477" s="82"/>
      <c r="AA477" s="82"/>
      <c r="AB477" s="82"/>
      <c r="AC477" s="82"/>
      <c r="AD477" s="82"/>
      <c r="AE477" s="82"/>
      <c r="AF477" s="63" t="str">
        <f t="shared" si="1"/>
        <v/>
      </c>
      <c r="AG477" s="82"/>
      <c r="AH477" s="82"/>
      <c r="AI477" s="82"/>
      <c r="AJ477" s="82"/>
      <c r="AK477" s="82"/>
      <c r="AL477" s="82"/>
      <c r="AM477" s="82"/>
      <c r="AN477" s="82"/>
      <c r="AO477" s="82"/>
      <c r="AP477" s="82"/>
      <c r="AQ477" s="82"/>
      <c r="AR477" s="82"/>
      <c r="AS477" s="82"/>
      <c r="AT477" s="82"/>
      <c r="AU477" s="82"/>
      <c r="AV477" s="82"/>
      <c r="AW477" s="82"/>
      <c r="AX477" s="82"/>
      <c r="AY477" s="82"/>
      <c r="AZ477" s="82"/>
      <c r="BA477" s="82"/>
      <c r="BB477" s="82"/>
      <c r="BC477" s="82"/>
      <c r="BD477" s="82"/>
      <c r="BE477" s="82"/>
      <c r="BF477" s="82"/>
      <c r="BG477" s="82"/>
      <c r="BH477" s="82"/>
      <c r="BI477" s="82"/>
      <c r="BJ477" s="82"/>
      <c r="BK477" s="82"/>
      <c r="BL477" s="82"/>
      <c r="BM477" s="82"/>
      <c r="BN477" s="82"/>
      <c r="BO477" s="82"/>
      <c r="BP477" s="82"/>
      <c r="BQ477" s="63"/>
      <c r="BR477" s="82"/>
      <c r="BS477" s="82"/>
      <c r="BT477" s="82"/>
      <c r="BU477" s="4"/>
    </row>
    <row r="478" spans="1:73" ht="12.75" x14ac:dyDescent="0.2">
      <c r="A478" s="1"/>
      <c r="B478" s="85"/>
      <c r="C478" s="85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4"/>
      <c r="O478" s="82"/>
      <c r="P478" s="82"/>
      <c r="Q478" s="82"/>
      <c r="R478" s="63"/>
      <c r="S478" s="63"/>
      <c r="T478" s="63"/>
      <c r="U478" s="63"/>
      <c r="V478" s="63"/>
      <c r="W478" s="63"/>
      <c r="X478" s="63"/>
      <c r="Y478" s="82"/>
      <c r="Z478" s="82"/>
      <c r="AA478" s="82"/>
      <c r="AB478" s="82"/>
      <c r="AC478" s="82"/>
      <c r="AD478" s="82"/>
      <c r="AE478" s="82"/>
      <c r="AF478" s="63" t="str">
        <f t="shared" si="1"/>
        <v/>
      </c>
      <c r="AG478" s="82"/>
      <c r="AH478" s="82"/>
      <c r="AI478" s="82"/>
      <c r="AJ478" s="82"/>
      <c r="AK478" s="82"/>
      <c r="AL478" s="82"/>
      <c r="AM478" s="82"/>
      <c r="AN478" s="82"/>
      <c r="AO478" s="82"/>
      <c r="AP478" s="82"/>
      <c r="AQ478" s="82"/>
      <c r="AR478" s="82"/>
      <c r="AS478" s="82"/>
      <c r="AT478" s="82"/>
      <c r="AU478" s="82"/>
      <c r="AV478" s="82"/>
      <c r="AW478" s="82"/>
      <c r="AX478" s="82"/>
      <c r="AY478" s="82"/>
      <c r="AZ478" s="82"/>
      <c r="BA478" s="82"/>
      <c r="BB478" s="82"/>
      <c r="BC478" s="82"/>
      <c r="BD478" s="82"/>
      <c r="BE478" s="82"/>
      <c r="BF478" s="82"/>
      <c r="BG478" s="82"/>
      <c r="BH478" s="82"/>
      <c r="BI478" s="82"/>
      <c r="BJ478" s="82"/>
      <c r="BK478" s="82"/>
      <c r="BL478" s="82"/>
      <c r="BM478" s="82"/>
      <c r="BN478" s="82"/>
      <c r="BO478" s="82"/>
      <c r="BP478" s="82"/>
      <c r="BQ478" s="63"/>
      <c r="BR478" s="82"/>
      <c r="BS478" s="82"/>
      <c r="BT478" s="82"/>
      <c r="BU478" s="4"/>
    </row>
    <row r="479" spans="1:73" ht="12.75" x14ac:dyDescent="0.2">
      <c r="A479" s="1"/>
      <c r="B479" s="85"/>
      <c r="C479" s="85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4"/>
      <c r="O479" s="82"/>
      <c r="P479" s="82"/>
      <c r="Q479" s="82"/>
      <c r="R479" s="63"/>
      <c r="S479" s="63"/>
      <c r="T479" s="63"/>
      <c r="U479" s="63"/>
      <c r="V479" s="63"/>
      <c r="W479" s="63"/>
      <c r="X479" s="63"/>
      <c r="Y479" s="82"/>
      <c r="Z479" s="82"/>
      <c r="AA479" s="82"/>
      <c r="AB479" s="82"/>
      <c r="AC479" s="82"/>
      <c r="AD479" s="82"/>
      <c r="AE479" s="82"/>
      <c r="AF479" s="63" t="str">
        <f t="shared" si="1"/>
        <v/>
      </c>
      <c r="AG479" s="82"/>
      <c r="AH479" s="82"/>
      <c r="AI479" s="82"/>
      <c r="AJ479" s="82"/>
      <c r="AK479" s="82"/>
      <c r="AL479" s="82"/>
      <c r="AM479" s="82"/>
      <c r="AN479" s="82"/>
      <c r="AO479" s="82"/>
      <c r="AP479" s="82"/>
      <c r="AQ479" s="82"/>
      <c r="AR479" s="82"/>
      <c r="AS479" s="82"/>
      <c r="AT479" s="82"/>
      <c r="AU479" s="82"/>
      <c r="AV479" s="82"/>
      <c r="AW479" s="82"/>
      <c r="AX479" s="82"/>
      <c r="AY479" s="82"/>
      <c r="AZ479" s="82"/>
      <c r="BA479" s="82"/>
      <c r="BB479" s="82"/>
      <c r="BC479" s="82"/>
      <c r="BD479" s="82"/>
      <c r="BE479" s="82"/>
      <c r="BF479" s="82"/>
      <c r="BG479" s="82"/>
      <c r="BH479" s="82"/>
      <c r="BI479" s="82"/>
      <c r="BJ479" s="82"/>
      <c r="BK479" s="82"/>
      <c r="BL479" s="82"/>
      <c r="BM479" s="82"/>
      <c r="BN479" s="82"/>
      <c r="BO479" s="82"/>
      <c r="BP479" s="82"/>
      <c r="BQ479" s="63"/>
      <c r="BR479" s="82"/>
      <c r="BS479" s="82"/>
      <c r="BT479" s="82"/>
      <c r="BU479" s="4"/>
    </row>
    <row r="480" spans="1:73" ht="12.75" x14ac:dyDescent="0.2">
      <c r="A480" s="1"/>
      <c r="B480" s="85"/>
      <c r="C480" s="85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4"/>
      <c r="O480" s="82"/>
      <c r="P480" s="82"/>
      <c r="Q480" s="82"/>
      <c r="R480" s="63"/>
      <c r="S480" s="63"/>
      <c r="T480" s="63"/>
      <c r="U480" s="63"/>
      <c r="V480" s="63"/>
      <c r="W480" s="63"/>
      <c r="X480" s="63"/>
      <c r="Y480" s="82"/>
      <c r="Z480" s="82"/>
      <c r="AA480" s="82"/>
      <c r="AB480" s="82"/>
      <c r="AC480" s="82"/>
      <c r="AD480" s="82"/>
      <c r="AE480" s="82"/>
      <c r="AF480" s="63" t="str">
        <f t="shared" si="1"/>
        <v/>
      </c>
      <c r="AG480" s="82"/>
      <c r="AH480" s="82"/>
      <c r="AI480" s="82"/>
      <c r="AJ480" s="82"/>
      <c r="AK480" s="82"/>
      <c r="AL480" s="82"/>
      <c r="AM480" s="82"/>
      <c r="AN480" s="82"/>
      <c r="AO480" s="82"/>
      <c r="AP480" s="82"/>
      <c r="AQ480" s="82"/>
      <c r="AR480" s="82"/>
      <c r="AS480" s="82"/>
      <c r="AT480" s="82"/>
      <c r="AU480" s="82"/>
      <c r="AV480" s="82"/>
      <c r="AW480" s="82"/>
      <c r="AX480" s="82"/>
      <c r="AY480" s="82"/>
      <c r="AZ480" s="82"/>
      <c r="BA480" s="82"/>
      <c r="BB480" s="82"/>
      <c r="BC480" s="82"/>
      <c r="BD480" s="82"/>
      <c r="BE480" s="82"/>
      <c r="BF480" s="82"/>
      <c r="BG480" s="82"/>
      <c r="BH480" s="82"/>
      <c r="BI480" s="82"/>
      <c r="BJ480" s="82"/>
      <c r="BK480" s="82"/>
      <c r="BL480" s="82"/>
      <c r="BM480" s="82"/>
      <c r="BN480" s="82"/>
      <c r="BO480" s="82"/>
      <c r="BP480" s="82"/>
      <c r="BQ480" s="63"/>
      <c r="BR480" s="82"/>
      <c r="BS480" s="82"/>
      <c r="BT480" s="82"/>
      <c r="BU480" s="4"/>
    </row>
    <row r="481" spans="1:73" ht="12.75" x14ac:dyDescent="0.2">
      <c r="A481" s="1"/>
      <c r="B481" s="85"/>
      <c r="C481" s="85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4"/>
      <c r="O481" s="82"/>
      <c r="P481" s="82"/>
      <c r="Q481" s="82"/>
      <c r="R481" s="63"/>
      <c r="S481" s="63"/>
      <c r="T481" s="63"/>
      <c r="U481" s="63"/>
      <c r="V481" s="63"/>
      <c r="W481" s="63"/>
      <c r="X481" s="63"/>
      <c r="Y481" s="82"/>
      <c r="Z481" s="82"/>
      <c r="AA481" s="82"/>
      <c r="AB481" s="82"/>
      <c r="AC481" s="82"/>
      <c r="AD481" s="82"/>
      <c r="AE481" s="82"/>
      <c r="AF481" s="63" t="str">
        <f t="shared" si="1"/>
        <v/>
      </c>
      <c r="AG481" s="82"/>
      <c r="AH481" s="82"/>
      <c r="AI481" s="82"/>
      <c r="AJ481" s="82"/>
      <c r="AK481" s="82"/>
      <c r="AL481" s="82"/>
      <c r="AM481" s="82"/>
      <c r="AN481" s="82"/>
      <c r="AO481" s="82"/>
      <c r="AP481" s="82"/>
      <c r="AQ481" s="82"/>
      <c r="AR481" s="82"/>
      <c r="AS481" s="82"/>
      <c r="AT481" s="82"/>
      <c r="AU481" s="82"/>
      <c r="AV481" s="82"/>
      <c r="AW481" s="82"/>
      <c r="AX481" s="82"/>
      <c r="AY481" s="82"/>
      <c r="AZ481" s="82"/>
      <c r="BA481" s="82"/>
      <c r="BB481" s="82"/>
      <c r="BC481" s="82"/>
      <c r="BD481" s="82"/>
      <c r="BE481" s="82"/>
      <c r="BF481" s="82"/>
      <c r="BG481" s="82"/>
      <c r="BH481" s="82"/>
      <c r="BI481" s="82"/>
      <c r="BJ481" s="82"/>
      <c r="BK481" s="82"/>
      <c r="BL481" s="82"/>
      <c r="BM481" s="82"/>
      <c r="BN481" s="82"/>
      <c r="BO481" s="82"/>
      <c r="BP481" s="82"/>
      <c r="BQ481" s="63"/>
      <c r="BR481" s="82"/>
      <c r="BS481" s="82"/>
      <c r="BT481" s="82"/>
      <c r="BU481" s="4"/>
    </row>
    <row r="482" spans="1:73" ht="12.75" x14ac:dyDescent="0.2">
      <c r="A482" s="1"/>
      <c r="B482" s="85"/>
      <c r="C482" s="85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4"/>
      <c r="O482" s="82"/>
      <c r="P482" s="82"/>
      <c r="Q482" s="82"/>
      <c r="R482" s="63"/>
      <c r="S482" s="63"/>
      <c r="T482" s="63"/>
      <c r="U482" s="63"/>
      <c r="V482" s="63"/>
      <c r="W482" s="63"/>
      <c r="X482" s="63"/>
      <c r="Y482" s="82"/>
      <c r="Z482" s="82"/>
      <c r="AA482" s="82"/>
      <c r="AB482" s="82"/>
      <c r="AC482" s="82"/>
      <c r="AD482" s="82"/>
      <c r="AE482" s="82"/>
      <c r="AF482" s="63" t="str">
        <f t="shared" si="1"/>
        <v/>
      </c>
      <c r="AG482" s="82"/>
      <c r="AH482" s="82"/>
      <c r="AI482" s="82"/>
      <c r="AJ482" s="82"/>
      <c r="AK482" s="82"/>
      <c r="AL482" s="82"/>
      <c r="AM482" s="82"/>
      <c r="AN482" s="82"/>
      <c r="AO482" s="82"/>
      <c r="AP482" s="82"/>
      <c r="AQ482" s="82"/>
      <c r="AR482" s="82"/>
      <c r="AS482" s="82"/>
      <c r="AT482" s="82"/>
      <c r="AU482" s="82"/>
      <c r="AV482" s="82"/>
      <c r="AW482" s="82"/>
      <c r="AX482" s="82"/>
      <c r="AY482" s="82"/>
      <c r="AZ482" s="82"/>
      <c r="BA482" s="82"/>
      <c r="BB482" s="82"/>
      <c r="BC482" s="82"/>
      <c r="BD482" s="82"/>
      <c r="BE482" s="82"/>
      <c r="BF482" s="82"/>
      <c r="BG482" s="82"/>
      <c r="BH482" s="82"/>
      <c r="BI482" s="82"/>
      <c r="BJ482" s="82"/>
      <c r="BK482" s="82"/>
      <c r="BL482" s="82"/>
      <c r="BM482" s="82"/>
      <c r="BN482" s="82"/>
      <c r="BO482" s="82"/>
      <c r="BP482" s="82"/>
      <c r="BQ482" s="63"/>
      <c r="BR482" s="82"/>
      <c r="BS482" s="82"/>
      <c r="BT482" s="82"/>
      <c r="BU482" s="4"/>
    </row>
    <row r="483" spans="1:73" ht="12.75" x14ac:dyDescent="0.2">
      <c r="A483" s="1"/>
      <c r="B483" s="85"/>
      <c r="C483" s="85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4"/>
      <c r="O483" s="82"/>
      <c r="P483" s="82"/>
      <c r="Q483" s="82"/>
      <c r="R483" s="63"/>
      <c r="S483" s="63"/>
      <c r="T483" s="63"/>
      <c r="U483" s="63"/>
      <c r="V483" s="63"/>
      <c r="W483" s="63"/>
      <c r="X483" s="63"/>
      <c r="Y483" s="82"/>
      <c r="Z483" s="82"/>
      <c r="AA483" s="82"/>
      <c r="AB483" s="82"/>
      <c r="AC483" s="82"/>
      <c r="AD483" s="82"/>
      <c r="AE483" s="82"/>
      <c r="AF483" s="63" t="str">
        <f t="shared" si="1"/>
        <v/>
      </c>
      <c r="AG483" s="82"/>
      <c r="AH483" s="82"/>
      <c r="AI483" s="82"/>
      <c r="AJ483" s="82"/>
      <c r="AK483" s="82"/>
      <c r="AL483" s="82"/>
      <c r="AM483" s="82"/>
      <c r="AN483" s="82"/>
      <c r="AO483" s="82"/>
      <c r="AP483" s="82"/>
      <c r="AQ483" s="82"/>
      <c r="AR483" s="82"/>
      <c r="AS483" s="82"/>
      <c r="AT483" s="82"/>
      <c r="AU483" s="82"/>
      <c r="AV483" s="82"/>
      <c r="AW483" s="82"/>
      <c r="AX483" s="82"/>
      <c r="AY483" s="82"/>
      <c r="AZ483" s="82"/>
      <c r="BA483" s="82"/>
      <c r="BB483" s="82"/>
      <c r="BC483" s="82"/>
      <c r="BD483" s="82"/>
      <c r="BE483" s="82"/>
      <c r="BF483" s="82"/>
      <c r="BG483" s="82"/>
      <c r="BH483" s="82"/>
      <c r="BI483" s="82"/>
      <c r="BJ483" s="82"/>
      <c r="BK483" s="82"/>
      <c r="BL483" s="82"/>
      <c r="BM483" s="82"/>
      <c r="BN483" s="82"/>
      <c r="BO483" s="82"/>
      <c r="BP483" s="82"/>
      <c r="BQ483" s="63"/>
      <c r="BR483" s="82"/>
      <c r="BS483" s="82"/>
      <c r="BT483" s="82"/>
      <c r="BU483" s="4"/>
    </row>
    <row r="484" spans="1:73" ht="12.75" x14ac:dyDescent="0.2">
      <c r="A484" s="1"/>
      <c r="B484" s="85"/>
      <c r="C484" s="85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4"/>
      <c r="O484" s="82"/>
      <c r="P484" s="82"/>
      <c r="Q484" s="82"/>
      <c r="R484" s="63"/>
      <c r="S484" s="63"/>
      <c r="T484" s="63"/>
      <c r="U484" s="63"/>
      <c r="V484" s="63"/>
      <c r="W484" s="63"/>
      <c r="X484" s="63"/>
      <c r="Y484" s="82"/>
      <c r="Z484" s="82"/>
      <c r="AA484" s="82"/>
      <c r="AB484" s="82"/>
      <c r="AC484" s="82"/>
      <c r="AD484" s="82"/>
      <c r="AE484" s="82"/>
      <c r="AF484" s="63" t="str">
        <f t="shared" si="1"/>
        <v/>
      </c>
      <c r="AG484" s="82"/>
      <c r="AH484" s="82"/>
      <c r="AI484" s="82"/>
      <c r="AJ484" s="82"/>
      <c r="AK484" s="82"/>
      <c r="AL484" s="82"/>
      <c r="AM484" s="82"/>
      <c r="AN484" s="82"/>
      <c r="AO484" s="82"/>
      <c r="AP484" s="82"/>
      <c r="AQ484" s="82"/>
      <c r="AR484" s="82"/>
      <c r="AS484" s="82"/>
      <c r="AT484" s="82"/>
      <c r="AU484" s="82"/>
      <c r="AV484" s="82"/>
      <c r="AW484" s="82"/>
      <c r="AX484" s="82"/>
      <c r="AY484" s="82"/>
      <c r="AZ484" s="82"/>
      <c r="BA484" s="82"/>
      <c r="BB484" s="82"/>
      <c r="BC484" s="82"/>
      <c r="BD484" s="82"/>
      <c r="BE484" s="82"/>
      <c r="BF484" s="82"/>
      <c r="BG484" s="82"/>
      <c r="BH484" s="82"/>
      <c r="BI484" s="82"/>
      <c r="BJ484" s="82"/>
      <c r="BK484" s="82"/>
      <c r="BL484" s="82"/>
      <c r="BM484" s="82"/>
      <c r="BN484" s="82"/>
      <c r="BO484" s="82"/>
      <c r="BP484" s="82"/>
      <c r="BQ484" s="63"/>
      <c r="BR484" s="82"/>
      <c r="BS484" s="82"/>
      <c r="BT484" s="82"/>
      <c r="BU484" s="4"/>
    </row>
    <row r="485" spans="1:73" ht="12.75" x14ac:dyDescent="0.2">
      <c r="A485" s="1"/>
      <c r="B485" s="85"/>
      <c r="C485" s="85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4"/>
      <c r="O485" s="82"/>
      <c r="P485" s="82"/>
      <c r="Q485" s="82"/>
      <c r="R485" s="63"/>
      <c r="S485" s="63"/>
      <c r="T485" s="63"/>
      <c r="U485" s="63"/>
      <c r="V485" s="63"/>
      <c r="W485" s="63"/>
      <c r="X485" s="63"/>
      <c r="Y485" s="82"/>
      <c r="Z485" s="82"/>
      <c r="AA485" s="82"/>
      <c r="AB485" s="82"/>
      <c r="AC485" s="82"/>
      <c r="AD485" s="82"/>
      <c r="AE485" s="82"/>
      <c r="AF485" s="63" t="str">
        <f t="shared" si="1"/>
        <v/>
      </c>
      <c r="AG485" s="82"/>
      <c r="AH485" s="82"/>
      <c r="AI485" s="82"/>
      <c r="AJ485" s="82"/>
      <c r="AK485" s="82"/>
      <c r="AL485" s="82"/>
      <c r="AM485" s="82"/>
      <c r="AN485" s="82"/>
      <c r="AO485" s="82"/>
      <c r="AP485" s="82"/>
      <c r="AQ485" s="82"/>
      <c r="AR485" s="82"/>
      <c r="AS485" s="82"/>
      <c r="AT485" s="82"/>
      <c r="AU485" s="82"/>
      <c r="AV485" s="82"/>
      <c r="AW485" s="82"/>
      <c r="AX485" s="82"/>
      <c r="AY485" s="82"/>
      <c r="AZ485" s="82"/>
      <c r="BA485" s="82"/>
      <c r="BB485" s="82"/>
      <c r="BC485" s="82"/>
      <c r="BD485" s="82"/>
      <c r="BE485" s="82"/>
      <c r="BF485" s="82"/>
      <c r="BG485" s="82"/>
      <c r="BH485" s="82"/>
      <c r="BI485" s="82"/>
      <c r="BJ485" s="82"/>
      <c r="BK485" s="82"/>
      <c r="BL485" s="82"/>
      <c r="BM485" s="82"/>
      <c r="BN485" s="82"/>
      <c r="BO485" s="82"/>
      <c r="BP485" s="82"/>
      <c r="BQ485" s="63"/>
      <c r="BR485" s="82"/>
      <c r="BS485" s="82"/>
      <c r="BT485" s="82"/>
      <c r="BU485" s="4"/>
    </row>
    <row r="486" spans="1:73" ht="12.75" x14ac:dyDescent="0.2">
      <c r="A486" s="1"/>
      <c r="B486" s="85"/>
      <c r="C486" s="85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4"/>
      <c r="O486" s="82"/>
      <c r="P486" s="82"/>
      <c r="Q486" s="82"/>
      <c r="R486" s="63"/>
      <c r="S486" s="63"/>
      <c r="T486" s="63"/>
      <c r="U486" s="63"/>
      <c r="V486" s="63"/>
      <c r="W486" s="63"/>
      <c r="X486" s="63"/>
      <c r="Y486" s="82"/>
      <c r="Z486" s="82"/>
      <c r="AA486" s="82"/>
      <c r="AB486" s="82"/>
      <c r="AC486" s="82"/>
      <c r="AD486" s="82"/>
      <c r="AE486" s="82"/>
      <c r="AF486" s="63" t="str">
        <f t="shared" si="1"/>
        <v/>
      </c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  <c r="AR486" s="82"/>
      <c r="AS486" s="82"/>
      <c r="AT486" s="82"/>
      <c r="AU486" s="82"/>
      <c r="AV486" s="82"/>
      <c r="AW486" s="82"/>
      <c r="AX486" s="82"/>
      <c r="AY486" s="82"/>
      <c r="AZ486" s="82"/>
      <c r="BA486" s="82"/>
      <c r="BB486" s="82"/>
      <c r="BC486" s="82"/>
      <c r="BD486" s="82"/>
      <c r="BE486" s="82"/>
      <c r="BF486" s="82"/>
      <c r="BG486" s="82"/>
      <c r="BH486" s="82"/>
      <c r="BI486" s="82"/>
      <c r="BJ486" s="82"/>
      <c r="BK486" s="82"/>
      <c r="BL486" s="82"/>
      <c r="BM486" s="82"/>
      <c r="BN486" s="82"/>
      <c r="BO486" s="82"/>
      <c r="BP486" s="82"/>
      <c r="BQ486" s="63"/>
      <c r="BR486" s="82"/>
      <c r="BS486" s="82"/>
      <c r="BT486" s="82"/>
      <c r="BU486" s="4"/>
    </row>
    <row r="487" spans="1:73" ht="12.75" x14ac:dyDescent="0.2">
      <c r="A487" s="1"/>
      <c r="B487" s="85"/>
      <c r="C487" s="85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4"/>
      <c r="O487" s="82"/>
      <c r="P487" s="82"/>
      <c r="Q487" s="82"/>
      <c r="R487" s="63"/>
      <c r="S487" s="63"/>
      <c r="T487" s="63"/>
      <c r="U487" s="63"/>
      <c r="V487" s="63"/>
      <c r="W487" s="63"/>
      <c r="X487" s="63"/>
      <c r="Y487" s="82"/>
      <c r="Z487" s="82"/>
      <c r="AA487" s="82"/>
      <c r="AB487" s="82"/>
      <c r="AC487" s="82"/>
      <c r="AD487" s="82"/>
      <c r="AE487" s="82"/>
      <c r="AF487" s="63" t="str">
        <f t="shared" si="1"/>
        <v/>
      </c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  <c r="AR487" s="82"/>
      <c r="AS487" s="82"/>
      <c r="AT487" s="82"/>
      <c r="AU487" s="82"/>
      <c r="AV487" s="82"/>
      <c r="AW487" s="82"/>
      <c r="AX487" s="82"/>
      <c r="AY487" s="82"/>
      <c r="AZ487" s="82"/>
      <c r="BA487" s="82"/>
      <c r="BB487" s="82"/>
      <c r="BC487" s="82"/>
      <c r="BD487" s="82"/>
      <c r="BE487" s="82"/>
      <c r="BF487" s="82"/>
      <c r="BG487" s="82"/>
      <c r="BH487" s="82"/>
      <c r="BI487" s="82"/>
      <c r="BJ487" s="82"/>
      <c r="BK487" s="82"/>
      <c r="BL487" s="82"/>
      <c r="BM487" s="82"/>
      <c r="BN487" s="82"/>
      <c r="BO487" s="82"/>
      <c r="BP487" s="82"/>
      <c r="BQ487" s="63"/>
      <c r="BR487" s="82"/>
      <c r="BS487" s="82"/>
      <c r="BT487" s="82"/>
      <c r="BU487" s="4"/>
    </row>
    <row r="488" spans="1:73" ht="12.75" x14ac:dyDescent="0.2">
      <c r="A488" s="1"/>
      <c r="B488" s="85"/>
      <c r="C488" s="85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4"/>
      <c r="O488" s="82"/>
      <c r="P488" s="82"/>
      <c r="Q488" s="82"/>
      <c r="R488" s="63"/>
      <c r="S488" s="63"/>
      <c r="T488" s="63"/>
      <c r="U488" s="63"/>
      <c r="V488" s="63"/>
      <c r="W488" s="63"/>
      <c r="X488" s="63"/>
      <c r="Y488" s="82"/>
      <c r="Z488" s="82"/>
      <c r="AA488" s="82"/>
      <c r="AB488" s="82"/>
      <c r="AC488" s="82"/>
      <c r="AD488" s="82"/>
      <c r="AE488" s="82"/>
      <c r="AF488" s="63" t="str">
        <f t="shared" si="1"/>
        <v/>
      </c>
      <c r="AG488" s="82"/>
      <c r="AH488" s="82"/>
      <c r="AI488" s="82"/>
      <c r="AJ488" s="82"/>
      <c r="AK488" s="82"/>
      <c r="AL488" s="82"/>
      <c r="AM488" s="82"/>
      <c r="AN488" s="82"/>
      <c r="AO488" s="82"/>
      <c r="AP488" s="82"/>
      <c r="AQ488" s="82"/>
      <c r="AR488" s="82"/>
      <c r="AS488" s="82"/>
      <c r="AT488" s="82"/>
      <c r="AU488" s="82"/>
      <c r="AV488" s="82"/>
      <c r="AW488" s="82"/>
      <c r="AX488" s="82"/>
      <c r="AY488" s="82"/>
      <c r="AZ488" s="82"/>
      <c r="BA488" s="82"/>
      <c r="BB488" s="82"/>
      <c r="BC488" s="82"/>
      <c r="BD488" s="82"/>
      <c r="BE488" s="82"/>
      <c r="BF488" s="82"/>
      <c r="BG488" s="82"/>
      <c r="BH488" s="82"/>
      <c r="BI488" s="82"/>
      <c r="BJ488" s="82"/>
      <c r="BK488" s="82"/>
      <c r="BL488" s="82"/>
      <c r="BM488" s="82"/>
      <c r="BN488" s="82"/>
      <c r="BO488" s="82"/>
      <c r="BP488" s="82"/>
      <c r="BQ488" s="63"/>
      <c r="BR488" s="82"/>
      <c r="BS488" s="82"/>
      <c r="BT488" s="82"/>
      <c r="BU488" s="4"/>
    </row>
    <row r="489" spans="1:73" ht="12.75" x14ac:dyDescent="0.2">
      <c r="A489" s="1"/>
      <c r="B489" s="85"/>
      <c r="C489" s="85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4"/>
      <c r="O489" s="82"/>
      <c r="P489" s="82"/>
      <c r="Q489" s="82"/>
      <c r="R489" s="63"/>
      <c r="S489" s="63"/>
      <c r="T489" s="63"/>
      <c r="U489" s="63"/>
      <c r="V489" s="63"/>
      <c r="W489" s="63"/>
      <c r="X489" s="63"/>
      <c r="Y489" s="82"/>
      <c r="Z489" s="82"/>
      <c r="AA489" s="82"/>
      <c r="AB489" s="82"/>
      <c r="AC489" s="82"/>
      <c r="AD489" s="82"/>
      <c r="AE489" s="82"/>
      <c r="AF489" s="63" t="str">
        <f t="shared" si="1"/>
        <v/>
      </c>
      <c r="AG489" s="82"/>
      <c r="AH489" s="82"/>
      <c r="AI489" s="82"/>
      <c r="AJ489" s="82"/>
      <c r="AK489" s="82"/>
      <c r="AL489" s="82"/>
      <c r="AM489" s="82"/>
      <c r="AN489" s="82"/>
      <c r="AO489" s="82"/>
      <c r="AP489" s="82"/>
      <c r="AQ489" s="82"/>
      <c r="AR489" s="82"/>
      <c r="AS489" s="82"/>
      <c r="AT489" s="82"/>
      <c r="AU489" s="82"/>
      <c r="AV489" s="82"/>
      <c r="AW489" s="82"/>
      <c r="AX489" s="82"/>
      <c r="AY489" s="82"/>
      <c r="AZ489" s="82"/>
      <c r="BA489" s="82"/>
      <c r="BB489" s="82"/>
      <c r="BC489" s="82"/>
      <c r="BD489" s="82"/>
      <c r="BE489" s="82"/>
      <c r="BF489" s="82"/>
      <c r="BG489" s="82"/>
      <c r="BH489" s="82"/>
      <c r="BI489" s="82"/>
      <c r="BJ489" s="82"/>
      <c r="BK489" s="82"/>
      <c r="BL489" s="82"/>
      <c r="BM489" s="82"/>
      <c r="BN489" s="82"/>
      <c r="BO489" s="82"/>
      <c r="BP489" s="82"/>
      <c r="BQ489" s="63"/>
      <c r="BR489" s="82"/>
      <c r="BS489" s="82"/>
      <c r="BT489" s="82"/>
      <c r="BU489" s="4"/>
    </row>
    <row r="490" spans="1:73" ht="12.75" x14ac:dyDescent="0.2">
      <c r="A490" s="1"/>
      <c r="B490" s="85"/>
      <c r="C490" s="85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4"/>
      <c r="O490" s="82"/>
      <c r="P490" s="82"/>
      <c r="Q490" s="82"/>
      <c r="R490" s="63"/>
      <c r="S490" s="63"/>
      <c r="T490" s="63"/>
      <c r="U490" s="63"/>
      <c r="V490" s="63"/>
      <c r="W490" s="63"/>
      <c r="X490" s="63"/>
      <c r="Y490" s="82"/>
      <c r="Z490" s="82"/>
      <c r="AA490" s="82"/>
      <c r="AB490" s="82"/>
      <c r="AC490" s="82"/>
      <c r="AD490" s="82"/>
      <c r="AE490" s="82"/>
      <c r="AF490" s="63" t="str">
        <f t="shared" si="1"/>
        <v/>
      </c>
      <c r="AG490" s="82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  <c r="AR490" s="82"/>
      <c r="AS490" s="82"/>
      <c r="AT490" s="82"/>
      <c r="AU490" s="82"/>
      <c r="AV490" s="82"/>
      <c r="AW490" s="82"/>
      <c r="AX490" s="82"/>
      <c r="AY490" s="82"/>
      <c r="AZ490" s="82"/>
      <c r="BA490" s="82"/>
      <c r="BB490" s="82"/>
      <c r="BC490" s="82"/>
      <c r="BD490" s="82"/>
      <c r="BE490" s="82"/>
      <c r="BF490" s="82"/>
      <c r="BG490" s="82"/>
      <c r="BH490" s="82"/>
      <c r="BI490" s="82"/>
      <c r="BJ490" s="82"/>
      <c r="BK490" s="82"/>
      <c r="BL490" s="82"/>
      <c r="BM490" s="82"/>
      <c r="BN490" s="82"/>
      <c r="BO490" s="82"/>
      <c r="BP490" s="82"/>
      <c r="BQ490" s="63"/>
      <c r="BR490" s="82"/>
      <c r="BS490" s="82"/>
      <c r="BT490" s="82"/>
      <c r="BU490" s="4"/>
    </row>
    <row r="491" spans="1:73" ht="12.75" x14ac:dyDescent="0.2">
      <c r="A491" s="1"/>
      <c r="B491" s="85"/>
      <c r="C491" s="85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4"/>
      <c r="O491" s="82"/>
      <c r="P491" s="82"/>
      <c r="Q491" s="82"/>
      <c r="R491" s="63"/>
      <c r="S491" s="63"/>
      <c r="T491" s="63"/>
      <c r="U491" s="63"/>
      <c r="V491" s="63"/>
      <c r="W491" s="63"/>
      <c r="X491" s="63"/>
      <c r="Y491" s="82"/>
      <c r="Z491" s="82"/>
      <c r="AA491" s="82"/>
      <c r="AB491" s="82"/>
      <c r="AC491" s="82"/>
      <c r="AD491" s="82"/>
      <c r="AE491" s="82"/>
      <c r="AF491" s="63" t="str">
        <f t="shared" si="1"/>
        <v/>
      </c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  <c r="AR491" s="82"/>
      <c r="AS491" s="82"/>
      <c r="AT491" s="82"/>
      <c r="AU491" s="82"/>
      <c r="AV491" s="82"/>
      <c r="AW491" s="82"/>
      <c r="AX491" s="82"/>
      <c r="AY491" s="82"/>
      <c r="AZ491" s="82"/>
      <c r="BA491" s="82"/>
      <c r="BB491" s="82"/>
      <c r="BC491" s="82"/>
      <c r="BD491" s="82"/>
      <c r="BE491" s="82"/>
      <c r="BF491" s="82"/>
      <c r="BG491" s="82"/>
      <c r="BH491" s="82"/>
      <c r="BI491" s="82"/>
      <c r="BJ491" s="82"/>
      <c r="BK491" s="82"/>
      <c r="BL491" s="82"/>
      <c r="BM491" s="82"/>
      <c r="BN491" s="82"/>
      <c r="BO491" s="82"/>
      <c r="BP491" s="82"/>
      <c r="BQ491" s="63"/>
      <c r="BR491" s="82"/>
      <c r="BS491" s="82"/>
      <c r="BT491" s="82"/>
      <c r="BU491" s="4"/>
    </row>
    <row r="492" spans="1:73" ht="12.75" x14ac:dyDescent="0.2">
      <c r="A492" s="1"/>
      <c r="B492" s="85"/>
      <c r="C492" s="85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4"/>
      <c r="O492" s="82"/>
      <c r="P492" s="82"/>
      <c r="Q492" s="82"/>
      <c r="R492" s="63"/>
      <c r="S492" s="63"/>
      <c r="T492" s="63"/>
      <c r="U492" s="63"/>
      <c r="V492" s="63"/>
      <c r="W492" s="63"/>
      <c r="X492" s="63"/>
      <c r="Y492" s="82"/>
      <c r="Z492" s="82"/>
      <c r="AA492" s="82"/>
      <c r="AB492" s="82"/>
      <c r="AC492" s="82"/>
      <c r="AD492" s="82"/>
      <c r="AE492" s="82"/>
      <c r="AF492" s="63" t="str">
        <f t="shared" si="1"/>
        <v/>
      </c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  <c r="AR492" s="82"/>
      <c r="AS492" s="82"/>
      <c r="AT492" s="82"/>
      <c r="AU492" s="82"/>
      <c r="AV492" s="82"/>
      <c r="AW492" s="82"/>
      <c r="AX492" s="82"/>
      <c r="AY492" s="82"/>
      <c r="AZ492" s="82"/>
      <c r="BA492" s="82"/>
      <c r="BB492" s="82"/>
      <c r="BC492" s="82"/>
      <c r="BD492" s="82"/>
      <c r="BE492" s="82"/>
      <c r="BF492" s="82"/>
      <c r="BG492" s="82"/>
      <c r="BH492" s="82"/>
      <c r="BI492" s="82"/>
      <c r="BJ492" s="82"/>
      <c r="BK492" s="82"/>
      <c r="BL492" s="82"/>
      <c r="BM492" s="82"/>
      <c r="BN492" s="82"/>
      <c r="BO492" s="82"/>
      <c r="BP492" s="82"/>
      <c r="BQ492" s="63"/>
      <c r="BR492" s="82"/>
      <c r="BS492" s="82"/>
      <c r="BT492" s="82"/>
      <c r="BU492" s="4"/>
    </row>
    <row r="493" spans="1:73" ht="12.75" x14ac:dyDescent="0.2">
      <c r="A493" s="1"/>
      <c r="B493" s="85"/>
      <c r="C493" s="85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4"/>
      <c r="O493" s="82"/>
      <c r="P493" s="82"/>
      <c r="Q493" s="82"/>
      <c r="R493" s="63"/>
      <c r="S493" s="63"/>
      <c r="T493" s="63"/>
      <c r="U493" s="63"/>
      <c r="V493" s="63"/>
      <c r="W493" s="63"/>
      <c r="X493" s="63"/>
      <c r="Y493" s="82"/>
      <c r="Z493" s="82"/>
      <c r="AA493" s="82"/>
      <c r="AB493" s="82"/>
      <c r="AC493" s="82"/>
      <c r="AD493" s="82"/>
      <c r="AE493" s="82"/>
      <c r="AF493" s="63" t="str">
        <f t="shared" si="1"/>
        <v/>
      </c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  <c r="AR493" s="82"/>
      <c r="AS493" s="82"/>
      <c r="AT493" s="82"/>
      <c r="AU493" s="82"/>
      <c r="AV493" s="82"/>
      <c r="AW493" s="82"/>
      <c r="AX493" s="82"/>
      <c r="AY493" s="82"/>
      <c r="AZ493" s="82"/>
      <c r="BA493" s="82"/>
      <c r="BB493" s="82"/>
      <c r="BC493" s="82"/>
      <c r="BD493" s="82"/>
      <c r="BE493" s="82"/>
      <c r="BF493" s="82"/>
      <c r="BG493" s="82"/>
      <c r="BH493" s="82"/>
      <c r="BI493" s="82"/>
      <c r="BJ493" s="82"/>
      <c r="BK493" s="82"/>
      <c r="BL493" s="82"/>
      <c r="BM493" s="82"/>
      <c r="BN493" s="82"/>
      <c r="BO493" s="82"/>
      <c r="BP493" s="82"/>
      <c r="BQ493" s="63"/>
      <c r="BR493" s="82"/>
      <c r="BS493" s="82"/>
      <c r="BT493" s="82"/>
      <c r="BU493" s="4"/>
    </row>
    <row r="494" spans="1:73" ht="12.75" x14ac:dyDescent="0.2">
      <c r="A494" s="1"/>
      <c r="B494" s="85"/>
      <c r="C494" s="85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4"/>
      <c r="O494" s="82"/>
      <c r="P494" s="82"/>
      <c r="Q494" s="82"/>
      <c r="R494" s="63"/>
      <c r="S494" s="63"/>
      <c r="T494" s="63"/>
      <c r="U494" s="63"/>
      <c r="V494" s="63"/>
      <c r="W494" s="63"/>
      <c r="X494" s="63"/>
      <c r="Y494" s="82"/>
      <c r="Z494" s="82"/>
      <c r="AA494" s="82"/>
      <c r="AB494" s="82"/>
      <c r="AC494" s="82"/>
      <c r="AD494" s="82"/>
      <c r="AE494" s="82"/>
      <c r="AF494" s="63" t="str">
        <f t="shared" si="1"/>
        <v/>
      </c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  <c r="AR494" s="82"/>
      <c r="AS494" s="82"/>
      <c r="AT494" s="82"/>
      <c r="AU494" s="82"/>
      <c r="AV494" s="82"/>
      <c r="AW494" s="82"/>
      <c r="AX494" s="82"/>
      <c r="AY494" s="82"/>
      <c r="AZ494" s="82"/>
      <c r="BA494" s="82"/>
      <c r="BB494" s="82"/>
      <c r="BC494" s="82"/>
      <c r="BD494" s="82"/>
      <c r="BE494" s="82"/>
      <c r="BF494" s="82"/>
      <c r="BG494" s="82"/>
      <c r="BH494" s="82"/>
      <c r="BI494" s="82"/>
      <c r="BJ494" s="82"/>
      <c r="BK494" s="82"/>
      <c r="BL494" s="82"/>
      <c r="BM494" s="82"/>
      <c r="BN494" s="82"/>
      <c r="BO494" s="82"/>
      <c r="BP494" s="82"/>
      <c r="BQ494" s="63"/>
      <c r="BR494" s="82"/>
      <c r="BS494" s="82"/>
      <c r="BT494" s="82"/>
      <c r="BU494" s="4"/>
    </row>
    <row r="495" spans="1:73" ht="12.75" x14ac:dyDescent="0.2">
      <c r="A495" s="1"/>
      <c r="B495" s="85"/>
      <c r="C495" s="85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4"/>
      <c r="O495" s="82"/>
      <c r="P495" s="82"/>
      <c r="Q495" s="82"/>
      <c r="R495" s="63"/>
      <c r="S495" s="63"/>
      <c r="T495" s="63"/>
      <c r="U495" s="63"/>
      <c r="V495" s="63"/>
      <c r="W495" s="63"/>
      <c r="X495" s="63"/>
      <c r="Y495" s="82"/>
      <c r="Z495" s="82"/>
      <c r="AA495" s="82"/>
      <c r="AB495" s="82"/>
      <c r="AC495" s="82"/>
      <c r="AD495" s="82"/>
      <c r="AE495" s="82"/>
      <c r="AF495" s="63" t="str">
        <f t="shared" si="1"/>
        <v/>
      </c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  <c r="AS495" s="82"/>
      <c r="AT495" s="82"/>
      <c r="AU495" s="82"/>
      <c r="AV495" s="82"/>
      <c r="AW495" s="82"/>
      <c r="AX495" s="82"/>
      <c r="AY495" s="82"/>
      <c r="AZ495" s="82"/>
      <c r="BA495" s="82"/>
      <c r="BB495" s="82"/>
      <c r="BC495" s="82"/>
      <c r="BD495" s="82"/>
      <c r="BE495" s="82"/>
      <c r="BF495" s="82"/>
      <c r="BG495" s="82"/>
      <c r="BH495" s="82"/>
      <c r="BI495" s="82"/>
      <c r="BJ495" s="82"/>
      <c r="BK495" s="82"/>
      <c r="BL495" s="82"/>
      <c r="BM495" s="82"/>
      <c r="BN495" s="82"/>
      <c r="BO495" s="82"/>
      <c r="BP495" s="82"/>
      <c r="BQ495" s="63"/>
      <c r="BR495" s="82"/>
      <c r="BS495" s="82"/>
      <c r="BT495" s="82"/>
      <c r="BU495" s="4"/>
    </row>
    <row r="496" spans="1:73" ht="12.75" x14ac:dyDescent="0.2">
      <c r="A496" s="1"/>
      <c r="B496" s="85"/>
      <c r="C496" s="85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4"/>
      <c r="O496" s="82"/>
      <c r="P496" s="82"/>
      <c r="Q496" s="82"/>
      <c r="R496" s="63"/>
      <c r="S496" s="63"/>
      <c r="T496" s="63"/>
      <c r="U496" s="63"/>
      <c r="V496" s="63"/>
      <c r="W496" s="63"/>
      <c r="X496" s="63"/>
      <c r="Y496" s="82"/>
      <c r="Z496" s="82"/>
      <c r="AA496" s="82"/>
      <c r="AB496" s="82"/>
      <c r="AC496" s="82"/>
      <c r="AD496" s="82"/>
      <c r="AE496" s="82"/>
      <c r="AF496" s="63" t="str">
        <f t="shared" si="1"/>
        <v/>
      </c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  <c r="AR496" s="82"/>
      <c r="AS496" s="82"/>
      <c r="AT496" s="82"/>
      <c r="AU496" s="82"/>
      <c r="AV496" s="82"/>
      <c r="AW496" s="82"/>
      <c r="AX496" s="82"/>
      <c r="AY496" s="82"/>
      <c r="AZ496" s="82"/>
      <c r="BA496" s="82"/>
      <c r="BB496" s="82"/>
      <c r="BC496" s="82"/>
      <c r="BD496" s="82"/>
      <c r="BE496" s="82"/>
      <c r="BF496" s="82"/>
      <c r="BG496" s="82"/>
      <c r="BH496" s="82"/>
      <c r="BI496" s="82"/>
      <c r="BJ496" s="82"/>
      <c r="BK496" s="82"/>
      <c r="BL496" s="82"/>
      <c r="BM496" s="82"/>
      <c r="BN496" s="82"/>
      <c r="BO496" s="82"/>
      <c r="BP496" s="82"/>
      <c r="BQ496" s="63"/>
      <c r="BR496" s="82"/>
      <c r="BS496" s="82"/>
      <c r="BT496" s="82"/>
      <c r="BU496" s="4"/>
    </row>
    <row r="497" spans="1:73" ht="12.75" x14ac:dyDescent="0.2">
      <c r="A497" s="1"/>
      <c r="B497" s="85"/>
      <c r="C497" s="85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4"/>
      <c r="O497" s="82"/>
      <c r="P497" s="82"/>
      <c r="Q497" s="82"/>
      <c r="R497" s="63"/>
      <c r="S497" s="63"/>
      <c r="T497" s="63"/>
      <c r="U497" s="63"/>
      <c r="V497" s="63"/>
      <c r="W497" s="63"/>
      <c r="X497" s="63"/>
      <c r="Y497" s="82"/>
      <c r="Z497" s="82"/>
      <c r="AA497" s="82"/>
      <c r="AB497" s="82"/>
      <c r="AC497" s="82"/>
      <c r="AD497" s="82"/>
      <c r="AE497" s="82"/>
      <c r="AF497" s="63" t="str">
        <f t="shared" si="1"/>
        <v/>
      </c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  <c r="AR497" s="82"/>
      <c r="AS497" s="82"/>
      <c r="AT497" s="82"/>
      <c r="AU497" s="82"/>
      <c r="AV497" s="82"/>
      <c r="AW497" s="82"/>
      <c r="AX497" s="82"/>
      <c r="AY497" s="82"/>
      <c r="AZ497" s="82"/>
      <c r="BA497" s="82"/>
      <c r="BB497" s="82"/>
      <c r="BC497" s="82"/>
      <c r="BD497" s="82"/>
      <c r="BE497" s="82"/>
      <c r="BF497" s="82"/>
      <c r="BG497" s="82"/>
      <c r="BH497" s="82"/>
      <c r="BI497" s="82"/>
      <c r="BJ497" s="82"/>
      <c r="BK497" s="82"/>
      <c r="BL497" s="82"/>
      <c r="BM497" s="82"/>
      <c r="BN497" s="82"/>
      <c r="BO497" s="82"/>
      <c r="BP497" s="82"/>
      <c r="BQ497" s="63"/>
      <c r="BR497" s="82"/>
      <c r="BS497" s="82"/>
      <c r="BT497" s="82"/>
      <c r="BU497" s="4"/>
    </row>
    <row r="498" spans="1:73" ht="12.75" x14ac:dyDescent="0.2">
      <c r="A498" s="1"/>
      <c r="B498" s="85"/>
      <c r="C498" s="85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4"/>
      <c r="O498" s="82"/>
      <c r="P498" s="82"/>
      <c r="Q498" s="82"/>
      <c r="R498" s="63"/>
      <c r="S498" s="63"/>
      <c r="T498" s="63"/>
      <c r="U498" s="63"/>
      <c r="V498" s="63"/>
      <c r="W498" s="63"/>
      <c r="X498" s="63"/>
      <c r="Y498" s="82"/>
      <c r="Z498" s="82"/>
      <c r="AA498" s="82"/>
      <c r="AB498" s="82"/>
      <c r="AC498" s="82"/>
      <c r="AD498" s="82"/>
      <c r="AE498" s="82"/>
      <c r="AF498" s="63" t="str">
        <f t="shared" si="1"/>
        <v/>
      </c>
      <c r="AG498" s="82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  <c r="AR498" s="82"/>
      <c r="AS498" s="82"/>
      <c r="AT498" s="82"/>
      <c r="AU498" s="82"/>
      <c r="AV498" s="82"/>
      <c r="AW498" s="82"/>
      <c r="AX498" s="82"/>
      <c r="AY498" s="82"/>
      <c r="AZ498" s="82"/>
      <c r="BA498" s="82"/>
      <c r="BB498" s="82"/>
      <c r="BC498" s="82"/>
      <c r="BD498" s="82"/>
      <c r="BE498" s="82"/>
      <c r="BF498" s="82"/>
      <c r="BG498" s="82"/>
      <c r="BH498" s="82"/>
      <c r="BI498" s="82"/>
      <c r="BJ498" s="82"/>
      <c r="BK498" s="82"/>
      <c r="BL498" s="82"/>
      <c r="BM498" s="82"/>
      <c r="BN498" s="82"/>
      <c r="BO498" s="82"/>
      <c r="BP498" s="82"/>
      <c r="BQ498" s="63"/>
      <c r="BR498" s="82"/>
      <c r="BS498" s="82"/>
      <c r="BT498" s="82"/>
      <c r="BU498" s="4"/>
    </row>
    <row r="499" spans="1:73" ht="12.75" x14ac:dyDescent="0.2">
      <c r="A499" s="1"/>
      <c r="B499" s="85"/>
      <c r="C499" s="85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4"/>
      <c r="O499" s="82"/>
      <c r="P499" s="82"/>
      <c r="Q499" s="82"/>
      <c r="R499" s="63"/>
      <c r="S499" s="63"/>
      <c r="T499" s="63"/>
      <c r="U499" s="63"/>
      <c r="V499" s="63"/>
      <c r="W499" s="63"/>
      <c r="X499" s="63"/>
      <c r="Y499" s="82"/>
      <c r="Z499" s="82"/>
      <c r="AA499" s="82"/>
      <c r="AB499" s="82"/>
      <c r="AC499" s="82"/>
      <c r="AD499" s="82"/>
      <c r="AE499" s="82"/>
      <c r="AF499" s="63" t="str">
        <f t="shared" si="1"/>
        <v/>
      </c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  <c r="AR499" s="82"/>
      <c r="AS499" s="82"/>
      <c r="AT499" s="82"/>
      <c r="AU499" s="82"/>
      <c r="AV499" s="82"/>
      <c r="AW499" s="82"/>
      <c r="AX499" s="82"/>
      <c r="AY499" s="82"/>
      <c r="AZ499" s="82"/>
      <c r="BA499" s="82"/>
      <c r="BB499" s="82"/>
      <c r="BC499" s="82"/>
      <c r="BD499" s="82"/>
      <c r="BE499" s="82"/>
      <c r="BF499" s="82"/>
      <c r="BG499" s="82"/>
      <c r="BH499" s="82"/>
      <c r="BI499" s="82"/>
      <c r="BJ499" s="82"/>
      <c r="BK499" s="82"/>
      <c r="BL499" s="82"/>
      <c r="BM499" s="82"/>
      <c r="BN499" s="82"/>
      <c r="BO499" s="82"/>
      <c r="BP499" s="82"/>
      <c r="BQ499" s="63"/>
      <c r="BR499" s="82"/>
      <c r="BS499" s="82"/>
      <c r="BT499" s="82"/>
      <c r="BU499" s="4"/>
    </row>
    <row r="500" spans="1:73" ht="12.75" x14ac:dyDescent="0.2">
      <c r="A500" s="1"/>
      <c r="B500" s="85"/>
      <c r="C500" s="85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4"/>
      <c r="O500" s="82"/>
      <c r="P500" s="82"/>
      <c r="Q500" s="82"/>
      <c r="R500" s="63"/>
      <c r="S500" s="63"/>
      <c r="T500" s="63"/>
      <c r="U500" s="63"/>
      <c r="V500" s="63"/>
      <c r="W500" s="63"/>
      <c r="X500" s="63"/>
      <c r="Y500" s="82"/>
      <c r="Z500" s="82"/>
      <c r="AA500" s="82"/>
      <c r="AB500" s="82"/>
      <c r="AC500" s="82"/>
      <c r="AD500" s="82"/>
      <c r="AE500" s="82"/>
      <c r="AF500" s="63" t="str">
        <f t="shared" si="1"/>
        <v/>
      </c>
      <c r="AG500" s="82"/>
      <c r="AH500" s="82"/>
      <c r="AI500" s="82"/>
      <c r="AJ500" s="82"/>
      <c r="AK500" s="82"/>
      <c r="AL500" s="82"/>
      <c r="AM500" s="82"/>
      <c r="AN500" s="82"/>
      <c r="AO500" s="82"/>
      <c r="AP500" s="82"/>
      <c r="AQ500" s="82"/>
      <c r="AR500" s="82"/>
      <c r="AS500" s="82"/>
      <c r="AT500" s="82"/>
      <c r="AU500" s="82"/>
      <c r="AV500" s="82"/>
      <c r="AW500" s="82"/>
      <c r="AX500" s="82"/>
      <c r="AY500" s="82"/>
      <c r="AZ500" s="82"/>
      <c r="BA500" s="82"/>
      <c r="BB500" s="82"/>
      <c r="BC500" s="82"/>
      <c r="BD500" s="82"/>
      <c r="BE500" s="82"/>
      <c r="BF500" s="82"/>
      <c r="BG500" s="82"/>
      <c r="BH500" s="82"/>
      <c r="BI500" s="82"/>
      <c r="BJ500" s="82"/>
      <c r="BK500" s="82"/>
      <c r="BL500" s="82"/>
      <c r="BM500" s="82"/>
      <c r="BN500" s="82"/>
      <c r="BO500" s="82"/>
      <c r="BP500" s="82"/>
      <c r="BQ500" s="63"/>
      <c r="BR500" s="82"/>
      <c r="BS500" s="82"/>
      <c r="BT500" s="82"/>
      <c r="BU500" s="4"/>
    </row>
    <row r="501" spans="1:73" ht="12.75" x14ac:dyDescent="0.2">
      <c r="A501" s="1"/>
      <c r="B501" s="85"/>
      <c r="C501" s="85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4"/>
      <c r="O501" s="82"/>
      <c r="P501" s="82"/>
      <c r="Q501" s="82"/>
      <c r="R501" s="63"/>
      <c r="S501" s="63"/>
      <c r="T501" s="63"/>
      <c r="U501" s="63"/>
      <c r="V501" s="63"/>
      <c r="W501" s="63"/>
      <c r="X501" s="63"/>
      <c r="Y501" s="82"/>
      <c r="Z501" s="82"/>
      <c r="AA501" s="82"/>
      <c r="AB501" s="82"/>
      <c r="AC501" s="82"/>
      <c r="AD501" s="82"/>
      <c r="AE501" s="82"/>
      <c r="AF501" s="63" t="str">
        <f t="shared" si="1"/>
        <v/>
      </c>
      <c r="AG501" s="82"/>
      <c r="AH501" s="82"/>
      <c r="AI501" s="82"/>
      <c r="AJ501" s="82"/>
      <c r="AK501" s="82"/>
      <c r="AL501" s="82"/>
      <c r="AM501" s="82"/>
      <c r="AN501" s="82"/>
      <c r="AO501" s="82"/>
      <c r="AP501" s="82"/>
      <c r="AQ501" s="82"/>
      <c r="AR501" s="82"/>
      <c r="AS501" s="82"/>
      <c r="AT501" s="82"/>
      <c r="AU501" s="82"/>
      <c r="AV501" s="82"/>
      <c r="AW501" s="82"/>
      <c r="AX501" s="82"/>
      <c r="AY501" s="82"/>
      <c r="AZ501" s="82"/>
      <c r="BA501" s="82"/>
      <c r="BB501" s="82"/>
      <c r="BC501" s="82"/>
      <c r="BD501" s="82"/>
      <c r="BE501" s="82"/>
      <c r="BF501" s="82"/>
      <c r="BG501" s="82"/>
      <c r="BH501" s="82"/>
      <c r="BI501" s="82"/>
      <c r="BJ501" s="82"/>
      <c r="BK501" s="82"/>
      <c r="BL501" s="82"/>
      <c r="BM501" s="82"/>
      <c r="BN501" s="82"/>
      <c r="BO501" s="82"/>
      <c r="BP501" s="82"/>
      <c r="BQ501" s="63"/>
      <c r="BR501" s="82"/>
      <c r="BS501" s="82"/>
      <c r="BT501" s="82"/>
      <c r="BU501" s="4"/>
    </row>
    <row r="502" spans="1:73" ht="12.75" x14ac:dyDescent="0.2">
      <c r="A502" s="1"/>
      <c r="B502" s="85"/>
      <c r="C502" s="85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4"/>
      <c r="O502" s="82"/>
      <c r="P502" s="82"/>
      <c r="Q502" s="82"/>
      <c r="R502" s="63"/>
      <c r="S502" s="63"/>
      <c r="T502" s="63"/>
      <c r="U502" s="63"/>
      <c r="V502" s="63"/>
      <c r="W502" s="63"/>
      <c r="X502" s="63"/>
      <c r="Y502" s="82"/>
      <c r="Z502" s="82"/>
      <c r="AA502" s="82"/>
      <c r="AB502" s="82"/>
      <c r="AC502" s="82"/>
      <c r="AD502" s="82"/>
      <c r="AE502" s="82"/>
      <c r="AF502" s="63" t="str">
        <f t="shared" si="1"/>
        <v/>
      </c>
      <c r="AG502" s="82"/>
      <c r="AH502" s="82"/>
      <c r="AI502" s="82"/>
      <c r="AJ502" s="82"/>
      <c r="AK502" s="82"/>
      <c r="AL502" s="82"/>
      <c r="AM502" s="82"/>
      <c r="AN502" s="82"/>
      <c r="AO502" s="82"/>
      <c r="AP502" s="82"/>
      <c r="AQ502" s="82"/>
      <c r="AR502" s="82"/>
      <c r="AS502" s="82"/>
      <c r="AT502" s="82"/>
      <c r="AU502" s="82"/>
      <c r="AV502" s="82"/>
      <c r="AW502" s="82"/>
      <c r="AX502" s="82"/>
      <c r="AY502" s="82"/>
      <c r="AZ502" s="82"/>
      <c r="BA502" s="82"/>
      <c r="BB502" s="82"/>
      <c r="BC502" s="82"/>
      <c r="BD502" s="82"/>
      <c r="BE502" s="82"/>
      <c r="BF502" s="82"/>
      <c r="BG502" s="82"/>
      <c r="BH502" s="82"/>
      <c r="BI502" s="82"/>
      <c r="BJ502" s="82"/>
      <c r="BK502" s="82"/>
      <c r="BL502" s="82"/>
      <c r="BM502" s="82"/>
      <c r="BN502" s="82"/>
      <c r="BO502" s="82"/>
      <c r="BP502" s="82"/>
      <c r="BQ502" s="63"/>
      <c r="BR502" s="82"/>
      <c r="BS502" s="82"/>
      <c r="BT502" s="82"/>
      <c r="BU502" s="4"/>
    </row>
    <row r="503" spans="1:73" ht="12.75" x14ac:dyDescent="0.2">
      <c r="A503" s="1"/>
      <c r="B503" s="85"/>
      <c r="C503" s="85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4"/>
      <c r="O503" s="82"/>
      <c r="P503" s="82"/>
      <c r="Q503" s="82"/>
      <c r="R503" s="63"/>
      <c r="S503" s="63"/>
      <c r="T503" s="63"/>
      <c r="U503" s="63"/>
      <c r="V503" s="63"/>
      <c r="W503" s="63"/>
      <c r="X503" s="63"/>
      <c r="Y503" s="82"/>
      <c r="Z503" s="82"/>
      <c r="AA503" s="82"/>
      <c r="AB503" s="82"/>
      <c r="AC503" s="82"/>
      <c r="AD503" s="82"/>
      <c r="AE503" s="82"/>
      <c r="AF503" s="63" t="str">
        <f t="shared" si="1"/>
        <v/>
      </c>
      <c r="AG503" s="82"/>
      <c r="AH503" s="82"/>
      <c r="AI503" s="82"/>
      <c r="AJ503" s="82"/>
      <c r="AK503" s="82"/>
      <c r="AL503" s="82"/>
      <c r="AM503" s="82"/>
      <c r="AN503" s="82"/>
      <c r="AO503" s="82"/>
      <c r="AP503" s="82"/>
      <c r="AQ503" s="82"/>
      <c r="AR503" s="82"/>
      <c r="AS503" s="82"/>
      <c r="AT503" s="82"/>
      <c r="AU503" s="82"/>
      <c r="AV503" s="82"/>
      <c r="AW503" s="82"/>
      <c r="AX503" s="82"/>
      <c r="AY503" s="82"/>
      <c r="AZ503" s="82"/>
      <c r="BA503" s="82"/>
      <c r="BB503" s="82"/>
      <c r="BC503" s="82"/>
      <c r="BD503" s="82"/>
      <c r="BE503" s="82"/>
      <c r="BF503" s="82"/>
      <c r="BG503" s="82"/>
      <c r="BH503" s="82"/>
      <c r="BI503" s="82"/>
      <c r="BJ503" s="82"/>
      <c r="BK503" s="82"/>
      <c r="BL503" s="82"/>
      <c r="BM503" s="82"/>
      <c r="BN503" s="82"/>
      <c r="BO503" s="82"/>
      <c r="BP503" s="82"/>
      <c r="BQ503" s="63"/>
      <c r="BR503" s="82"/>
      <c r="BS503" s="82"/>
      <c r="BT503" s="82"/>
      <c r="BU503" s="4"/>
    </row>
    <row r="504" spans="1:73" ht="12.75" x14ac:dyDescent="0.2">
      <c r="A504" s="1"/>
      <c r="B504" s="85"/>
      <c r="C504" s="85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4"/>
      <c r="O504" s="82"/>
      <c r="P504" s="82"/>
      <c r="Q504" s="82"/>
      <c r="R504" s="63"/>
      <c r="S504" s="63"/>
      <c r="T504" s="63"/>
      <c r="U504" s="63"/>
      <c r="V504" s="63"/>
      <c r="W504" s="63"/>
      <c r="X504" s="63"/>
      <c r="Y504" s="82"/>
      <c r="Z504" s="82"/>
      <c r="AA504" s="82"/>
      <c r="AB504" s="82"/>
      <c r="AC504" s="82"/>
      <c r="AD504" s="82"/>
      <c r="AE504" s="82"/>
      <c r="AF504" s="63" t="str">
        <f t="shared" si="1"/>
        <v/>
      </c>
      <c r="AG504" s="82"/>
      <c r="AH504" s="82"/>
      <c r="AI504" s="82"/>
      <c r="AJ504" s="82"/>
      <c r="AK504" s="82"/>
      <c r="AL504" s="82"/>
      <c r="AM504" s="82"/>
      <c r="AN504" s="82"/>
      <c r="AO504" s="82"/>
      <c r="AP504" s="82"/>
      <c r="AQ504" s="82"/>
      <c r="AR504" s="82"/>
      <c r="AS504" s="82"/>
      <c r="AT504" s="82"/>
      <c r="AU504" s="82"/>
      <c r="AV504" s="82"/>
      <c r="AW504" s="82"/>
      <c r="AX504" s="82"/>
      <c r="AY504" s="82"/>
      <c r="AZ504" s="82"/>
      <c r="BA504" s="82"/>
      <c r="BB504" s="82"/>
      <c r="BC504" s="82"/>
      <c r="BD504" s="82"/>
      <c r="BE504" s="82"/>
      <c r="BF504" s="82"/>
      <c r="BG504" s="82"/>
      <c r="BH504" s="82"/>
      <c r="BI504" s="82"/>
      <c r="BJ504" s="82"/>
      <c r="BK504" s="82"/>
      <c r="BL504" s="82"/>
      <c r="BM504" s="82"/>
      <c r="BN504" s="82"/>
      <c r="BO504" s="82"/>
      <c r="BP504" s="82"/>
      <c r="BQ504" s="63"/>
      <c r="BR504" s="82"/>
      <c r="BS504" s="82"/>
      <c r="BT504" s="82"/>
      <c r="BU504" s="4"/>
    </row>
    <row r="505" spans="1:73" ht="12.75" x14ac:dyDescent="0.2">
      <c r="A505" s="1"/>
      <c r="B505" s="85"/>
      <c r="C505" s="85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4"/>
      <c r="O505" s="82"/>
      <c r="P505" s="82"/>
      <c r="Q505" s="82"/>
      <c r="R505" s="63"/>
      <c r="S505" s="63"/>
      <c r="T505" s="63"/>
      <c r="U505" s="63"/>
      <c r="V505" s="63"/>
      <c r="W505" s="63"/>
      <c r="X505" s="63"/>
      <c r="Y505" s="82"/>
      <c r="Z505" s="82"/>
      <c r="AA505" s="82"/>
      <c r="AB505" s="82"/>
      <c r="AC505" s="82"/>
      <c r="AD505" s="82"/>
      <c r="AE505" s="82"/>
      <c r="AF505" s="63" t="str">
        <f t="shared" si="1"/>
        <v/>
      </c>
      <c r="AG505" s="82"/>
      <c r="AH505" s="82"/>
      <c r="AI505" s="82"/>
      <c r="AJ505" s="82"/>
      <c r="AK505" s="82"/>
      <c r="AL505" s="82"/>
      <c r="AM505" s="82"/>
      <c r="AN505" s="82"/>
      <c r="AO505" s="82"/>
      <c r="AP505" s="82"/>
      <c r="AQ505" s="82"/>
      <c r="AR505" s="82"/>
      <c r="AS505" s="82"/>
      <c r="AT505" s="82"/>
      <c r="AU505" s="82"/>
      <c r="AV505" s="82"/>
      <c r="AW505" s="82"/>
      <c r="AX505" s="82"/>
      <c r="AY505" s="82"/>
      <c r="AZ505" s="82"/>
      <c r="BA505" s="82"/>
      <c r="BB505" s="82"/>
      <c r="BC505" s="82"/>
      <c r="BD505" s="82"/>
      <c r="BE505" s="82"/>
      <c r="BF505" s="82"/>
      <c r="BG505" s="82"/>
      <c r="BH505" s="82"/>
      <c r="BI505" s="82"/>
      <c r="BJ505" s="82"/>
      <c r="BK505" s="82"/>
      <c r="BL505" s="82"/>
      <c r="BM505" s="82"/>
      <c r="BN505" s="82"/>
      <c r="BO505" s="82"/>
      <c r="BP505" s="82"/>
      <c r="BQ505" s="63"/>
      <c r="BR505" s="82"/>
      <c r="BS505" s="82"/>
      <c r="BT505" s="82"/>
      <c r="BU505" s="4"/>
    </row>
    <row r="506" spans="1:73" ht="12.75" x14ac:dyDescent="0.2">
      <c r="A506" s="1"/>
      <c r="B506" s="85"/>
      <c r="C506" s="85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4"/>
      <c r="O506" s="82"/>
      <c r="P506" s="82"/>
      <c r="Q506" s="82"/>
      <c r="R506" s="63"/>
      <c r="S506" s="63"/>
      <c r="T506" s="63"/>
      <c r="U506" s="63"/>
      <c r="V506" s="63"/>
      <c r="W506" s="63"/>
      <c r="X506" s="63"/>
      <c r="Y506" s="82"/>
      <c r="Z506" s="82"/>
      <c r="AA506" s="82"/>
      <c r="AB506" s="82"/>
      <c r="AC506" s="82"/>
      <c r="AD506" s="82"/>
      <c r="AE506" s="82"/>
      <c r="AF506" s="63" t="str">
        <f t="shared" si="1"/>
        <v/>
      </c>
      <c r="AG506" s="82"/>
      <c r="AH506" s="82"/>
      <c r="AI506" s="82"/>
      <c r="AJ506" s="82"/>
      <c r="AK506" s="82"/>
      <c r="AL506" s="82"/>
      <c r="AM506" s="82"/>
      <c r="AN506" s="82"/>
      <c r="AO506" s="82"/>
      <c r="AP506" s="82"/>
      <c r="AQ506" s="82"/>
      <c r="AR506" s="82"/>
      <c r="AS506" s="82"/>
      <c r="AT506" s="82"/>
      <c r="AU506" s="82"/>
      <c r="AV506" s="82"/>
      <c r="AW506" s="82"/>
      <c r="AX506" s="82"/>
      <c r="AY506" s="82"/>
      <c r="AZ506" s="82"/>
      <c r="BA506" s="82"/>
      <c r="BB506" s="82"/>
      <c r="BC506" s="82"/>
      <c r="BD506" s="82"/>
      <c r="BE506" s="82"/>
      <c r="BF506" s="82"/>
      <c r="BG506" s="82"/>
      <c r="BH506" s="82"/>
      <c r="BI506" s="82"/>
      <c r="BJ506" s="82"/>
      <c r="BK506" s="82"/>
      <c r="BL506" s="82"/>
      <c r="BM506" s="82"/>
      <c r="BN506" s="82"/>
      <c r="BO506" s="82"/>
      <c r="BP506" s="82"/>
      <c r="BQ506" s="63"/>
      <c r="BR506" s="82"/>
      <c r="BS506" s="82"/>
      <c r="BT506" s="82"/>
      <c r="BU506" s="4"/>
    </row>
    <row r="507" spans="1:73" ht="12.75" x14ac:dyDescent="0.2">
      <c r="A507" s="1"/>
      <c r="B507" s="85"/>
      <c r="C507" s="85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4"/>
      <c r="O507" s="82"/>
      <c r="P507" s="82"/>
      <c r="Q507" s="82"/>
      <c r="R507" s="63"/>
      <c r="S507" s="63"/>
      <c r="T507" s="63"/>
      <c r="U507" s="63"/>
      <c r="V507" s="63"/>
      <c r="W507" s="63"/>
      <c r="X507" s="63"/>
      <c r="Y507" s="82"/>
      <c r="Z507" s="82"/>
      <c r="AA507" s="82"/>
      <c r="AB507" s="82"/>
      <c r="AC507" s="82"/>
      <c r="AD507" s="82"/>
      <c r="AE507" s="82"/>
      <c r="AF507" s="63" t="str">
        <f t="shared" si="1"/>
        <v/>
      </c>
      <c r="AG507" s="82"/>
      <c r="AH507" s="82"/>
      <c r="AI507" s="82"/>
      <c r="AJ507" s="82"/>
      <c r="AK507" s="82"/>
      <c r="AL507" s="82"/>
      <c r="AM507" s="82"/>
      <c r="AN507" s="82"/>
      <c r="AO507" s="82"/>
      <c r="AP507" s="82"/>
      <c r="AQ507" s="82"/>
      <c r="AR507" s="82"/>
      <c r="AS507" s="82"/>
      <c r="AT507" s="82"/>
      <c r="AU507" s="82"/>
      <c r="AV507" s="82"/>
      <c r="AW507" s="82"/>
      <c r="AX507" s="82"/>
      <c r="AY507" s="82"/>
      <c r="AZ507" s="82"/>
      <c r="BA507" s="82"/>
      <c r="BB507" s="82"/>
      <c r="BC507" s="82"/>
      <c r="BD507" s="82"/>
      <c r="BE507" s="82"/>
      <c r="BF507" s="82"/>
      <c r="BG507" s="82"/>
      <c r="BH507" s="82"/>
      <c r="BI507" s="82"/>
      <c r="BJ507" s="82"/>
      <c r="BK507" s="82"/>
      <c r="BL507" s="82"/>
      <c r="BM507" s="82"/>
      <c r="BN507" s="82"/>
      <c r="BO507" s="82"/>
      <c r="BP507" s="82"/>
      <c r="BQ507" s="63"/>
      <c r="BR507" s="82"/>
      <c r="BS507" s="82"/>
      <c r="BT507" s="82"/>
      <c r="BU507" s="4"/>
    </row>
    <row r="508" spans="1:73" ht="12.75" x14ac:dyDescent="0.2">
      <c r="A508" s="1"/>
      <c r="B508" s="85"/>
      <c r="C508" s="85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4"/>
      <c r="O508" s="82"/>
      <c r="P508" s="82"/>
      <c r="Q508" s="82"/>
      <c r="R508" s="63"/>
      <c r="S508" s="63"/>
      <c r="T508" s="63"/>
      <c r="U508" s="63"/>
      <c r="V508" s="63"/>
      <c r="W508" s="63"/>
      <c r="X508" s="63"/>
      <c r="Y508" s="82"/>
      <c r="Z508" s="82"/>
      <c r="AA508" s="82"/>
      <c r="AB508" s="82"/>
      <c r="AC508" s="82"/>
      <c r="AD508" s="82"/>
      <c r="AE508" s="82"/>
      <c r="AF508" s="63" t="str">
        <f t="shared" si="1"/>
        <v/>
      </c>
      <c r="AG508" s="82"/>
      <c r="AH508" s="82"/>
      <c r="AI508" s="82"/>
      <c r="AJ508" s="82"/>
      <c r="AK508" s="82"/>
      <c r="AL508" s="82"/>
      <c r="AM508" s="82"/>
      <c r="AN508" s="82"/>
      <c r="AO508" s="82"/>
      <c r="AP508" s="82"/>
      <c r="AQ508" s="82"/>
      <c r="AR508" s="82"/>
      <c r="AS508" s="82"/>
      <c r="AT508" s="82"/>
      <c r="AU508" s="82"/>
      <c r="AV508" s="82"/>
      <c r="AW508" s="82"/>
      <c r="AX508" s="82"/>
      <c r="AY508" s="82"/>
      <c r="AZ508" s="82"/>
      <c r="BA508" s="82"/>
      <c r="BB508" s="82"/>
      <c r="BC508" s="82"/>
      <c r="BD508" s="82"/>
      <c r="BE508" s="82"/>
      <c r="BF508" s="82"/>
      <c r="BG508" s="82"/>
      <c r="BH508" s="82"/>
      <c r="BI508" s="82"/>
      <c r="BJ508" s="82"/>
      <c r="BK508" s="82"/>
      <c r="BL508" s="82"/>
      <c r="BM508" s="82"/>
      <c r="BN508" s="82"/>
      <c r="BO508" s="82"/>
      <c r="BP508" s="82"/>
      <c r="BQ508" s="63"/>
      <c r="BR508" s="82"/>
      <c r="BS508" s="82"/>
      <c r="BT508" s="82"/>
      <c r="BU508" s="4"/>
    </row>
    <row r="509" spans="1:73" ht="12.75" x14ac:dyDescent="0.2">
      <c r="A509" s="1"/>
      <c r="B509" s="85"/>
      <c r="C509" s="85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4"/>
      <c r="O509" s="82"/>
      <c r="P509" s="82"/>
      <c r="Q509" s="82"/>
      <c r="R509" s="63"/>
      <c r="S509" s="63"/>
      <c r="T509" s="63"/>
      <c r="U509" s="63"/>
      <c r="V509" s="63"/>
      <c r="W509" s="63"/>
      <c r="X509" s="63"/>
      <c r="Y509" s="82"/>
      <c r="Z509" s="82"/>
      <c r="AA509" s="82"/>
      <c r="AB509" s="82"/>
      <c r="AC509" s="82"/>
      <c r="AD509" s="82"/>
      <c r="AE509" s="82"/>
      <c r="AF509" s="63" t="str">
        <f t="shared" si="1"/>
        <v/>
      </c>
      <c r="AG509" s="82"/>
      <c r="AH509" s="82"/>
      <c r="AI509" s="82"/>
      <c r="AJ509" s="82"/>
      <c r="AK509" s="82"/>
      <c r="AL509" s="82"/>
      <c r="AM509" s="82"/>
      <c r="AN509" s="82"/>
      <c r="AO509" s="82"/>
      <c r="AP509" s="82"/>
      <c r="AQ509" s="82"/>
      <c r="AR509" s="82"/>
      <c r="AS509" s="82"/>
      <c r="AT509" s="82"/>
      <c r="AU509" s="82"/>
      <c r="AV509" s="82"/>
      <c r="AW509" s="82"/>
      <c r="AX509" s="82"/>
      <c r="AY509" s="82"/>
      <c r="AZ509" s="82"/>
      <c r="BA509" s="82"/>
      <c r="BB509" s="82"/>
      <c r="BC509" s="82"/>
      <c r="BD509" s="82"/>
      <c r="BE509" s="82"/>
      <c r="BF509" s="82"/>
      <c r="BG509" s="82"/>
      <c r="BH509" s="82"/>
      <c r="BI509" s="82"/>
      <c r="BJ509" s="82"/>
      <c r="BK509" s="82"/>
      <c r="BL509" s="82"/>
      <c r="BM509" s="82"/>
      <c r="BN509" s="82"/>
      <c r="BO509" s="82"/>
      <c r="BP509" s="82"/>
      <c r="BQ509" s="63"/>
      <c r="BR509" s="82"/>
      <c r="BS509" s="82"/>
      <c r="BT509" s="82"/>
      <c r="BU509" s="4"/>
    </row>
    <row r="510" spans="1:73" ht="12.75" x14ac:dyDescent="0.2">
      <c r="A510" s="1"/>
      <c r="B510" s="85"/>
      <c r="C510" s="85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4"/>
      <c r="O510" s="82"/>
      <c r="P510" s="82"/>
      <c r="Q510" s="82"/>
      <c r="R510" s="63"/>
      <c r="S510" s="63"/>
      <c r="T510" s="63"/>
      <c r="U510" s="63"/>
      <c r="V510" s="63"/>
      <c r="W510" s="63"/>
      <c r="X510" s="63"/>
      <c r="Y510" s="82"/>
      <c r="Z510" s="82"/>
      <c r="AA510" s="82"/>
      <c r="AB510" s="82"/>
      <c r="AC510" s="82"/>
      <c r="AD510" s="82"/>
      <c r="AE510" s="82"/>
      <c r="AF510" s="63" t="str">
        <f t="shared" si="1"/>
        <v/>
      </c>
      <c r="AG510" s="82"/>
      <c r="AH510" s="82"/>
      <c r="AI510" s="82"/>
      <c r="AJ510" s="82"/>
      <c r="AK510" s="82"/>
      <c r="AL510" s="82"/>
      <c r="AM510" s="82"/>
      <c r="AN510" s="82"/>
      <c r="AO510" s="82"/>
      <c r="AP510" s="82"/>
      <c r="AQ510" s="82"/>
      <c r="AR510" s="82"/>
      <c r="AS510" s="82"/>
      <c r="AT510" s="82"/>
      <c r="AU510" s="82"/>
      <c r="AV510" s="82"/>
      <c r="AW510" s="82"/>
      <c r="AX510" s="82"/>
      <c r="AY510" s="82"/>
      <c r="AZ510" s="82"/>
      <c r="BA510" s="82"/>
      <c r="BB510" s="82"/>
      <c r="BC510" s="82"/>
      <c r="BD510" s="82"/>
      <c r="BE510" s="82"/>
      <c r="BF510" s="82"/>
      <c r="BG510" s="82"/>
      <c r="BH510" s="82"/>
      <c r="BI510" s="82"/>
      <c r="BJ510" s="82"/>
      <c r="BK510" s="82"/>
      <c r="BL510" s="82"/>
      <c r="BM510" s="82"/>
      <c r="BN510" s="82"/>
      <c r="BO510" s="82"/>
      <c r="BP510" s="82"/>
      <c r="BQ510" s="63"/>
      <c r="BR510" s="82"/>
      <c r="BS510" s="82"/>
      <c r="BT510" s="82"/>
      <c r="BU510" s="4"/>
    </row>
    <row r="511" spans="1:73" ht="12.75" x14ac:dyDescent="0.2">
      <c r="A511" s="1"/>
      <c r="B511" s="85"/>
      <c r="C511" s="85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4"/>
      <c r="O511" s="82"/>
      <c r="P511" s="82"/>
      <c r="Q511" s="82"/>
      <c r="R511" s="63"/>
      <c r="S511" s="63"/>
      <c r="T511" s="63"/>
      <c r="U511" s="63"/>
      <c r="V511" s="63"/>
      <c r="W511" s="63"/>
      <c r="X511" s="63"/>
      <c r="Y511" s="82"/>
      <c r="Z511" s="82"/>
      <c r="AA511" s="82"/>
      <c r="AB511" s="82"/>
      <c r="AC511" s="82"/>
      <c r="AD511" s="82"/>
      <c r="AE511" s="82"/>
      <c r="AF511" s="63" t="str">
        <f t="shared" si="1"/>
        <v/>
      </c>
      <c r="AG511" s="82"/>
      <c r="AH511" s="82"/>
      <c r="AI511" s="82"/>
      <c r="AJ511" s="82"/>
      <c r="AK511" s="82"/>
      <c r="AL511" s="82"/>
      <c r="AM511" s="82"/>
      <c r="AN511" s="82"/>
      <c r="AO511" s="82"/>
      <c r="AP511" s="82"/>
      <c r="AQ511" s="82"/>
      <c r="AR511" s="82"/>
      <c r="AS511" s="82"/>
      <c r="AT511" s="82"/>
      <c r="AU511" s="82"/>
      <c r="AV511" s="82"/>
      <c r="AW511" s="82"/>
      <c r="AX511" s="82"/>
      <c r="AY511" s="82"/>
      <c r="AZ511" s="82"/>
      <c r="BA511" s="82"/>
      <c r="BB511" s="82"/>
      <c r="BC511" s="82"/>
      <c r="BD511" s="82"/>
      <c r="BE511" s="82"/>
      <c r="BF511" s="82"/>
      <c r="BG511" s="82"/>
      <c r="BH511" s="82"/>
      <c r="BI511" s="82"/>
      <c r="BJ511" s="82"/>
      <c r="BK511" s="82"/>
      <c r="BL511" s="82"/>
      <c r="BM511" s="82"/>
      <c r="BN511" s="82"/>
      <c r="BO511" s="82"/>
      <c r="BP511" s="82"/>
      <c r="BQ511" s="63"/>
      <c r="BR511" s="82"/>
      <c r="BS511" s="82"/>
      <c r="BT511" s="82"/>
      <c r="BU511" s="4"/>
    </row>
    <row r="512" spans="1:73" ht="12.75" x14ac:dyDescent="0.2">
      <c r="A512" s="1"/>
      <c r="B512" s="85"/>
      <c r="C512" s="85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4"/>
      <c r="O512" s="82"/>
      <c r="P512" s="82"/>
      <c r="Q512" s="82"/>
      <c r="R512" s="63"/>
      <c r="S512" s="63"/>
      <c r="T512" s="63"/>
      <c r="U512" s="63"/>
      <c r="V512" s="63"/>
      <c r="W512" s="63"/>
      <c r="X512" s="63"/>
      <c r="Y512" s="82"/>
      <c r="Z512" s="82"/>
      <c r="AA512" s="82"/>
      <c r="AB512" s="82"/>
      <c r="AC512" s="82"/>
      <c r="AD512" s="82"/>
      <c r="AE512" s="82"/>
      <c r="AF512" s="63" t="str">
        <f t="shared" si="1"/>
        <v/>
      </c>
      <c r="AG512" s="82"/>
      <c r="AH512" s="82"/>
      <c r="AI512" s="82"/>
      <c r="AJ512" s="82"/>
      <c r="AK512" s="82"/>
      <c r="AL512" s="82"/>
      <c r="AM512" s="82"/>
      <c r="AN512" s="82"/>
      <c r="AO512" s="82"/>
      <c r="AP512" s="82"/>
      <c r="AQ512" s="82"/>
      <c r="AR512" s="82"/>
      <c r="AS512" s="82"/>
      <c r="AT512" s="82"/>
      <c r="AU512" s="82"/>
      <c r="AV512" s="82"/>
      <c r="AW512" s="82"/>
      <c r="AX512" s="82"/>
      <c r="AY512" s="82"/>
      <c r="AZ512" s="82"/>
      <c r="BA512" s="82"/>
      <c r="BB512" s="82"/>
      <c r="BC512" s="82"/>
      <c r="BD512" s="82"/>
      <c r="BE512" s="82"/>
      <c r="BF512" s="82"/>
      <c r="BG512" s="82"/>
      <c r="BH512" s="82"/>
      <c r="BI512" s="82"/>
      <c r="BJ512" s="82"/>
      <c r="BK512" s="82"/>
      <c r="BL512" s="82"/>
      <c r="BM512" s="82"/>
      <c r="BN512" s="82"/>
      <c r="BO512" s="82"/>
      <c r="BP512" s="82"/>
      <c r="BQ512" s="63"/>
      <c r="BR512" s="82"/>
      <c r="BS512" s="82"/>
      <c r="BT512" s="82"/>
      <c r="BU512" s="4"/>
    </row>
    <row r="513" spans="1:73" ht="12.75" x14ac:dyDescent="0.2">
      <c r="A513" s="1"/>
      <c r="B513" s="85"/>
      <c r="C513" s="85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4"/>
      <c r="O513" s="82"/>
      <c r="P513" s="82"/>
      <c r="Q513" s="82"/>
      <c r="R513" s="63"/>
      <c r="S513" s="63"/>
      <c r="T513" s="63"/>
      <c r="U513" s="63"/>
      <c r="V513" s="63"/>
      <c r="W513" s="63"/>
      <c r="X513" s="63"/>
      <c r="Y513" s="82"/>
      <c r="Z513" s="82"/>
      <c r="AA513" s="82"/>
      <c r="AB513" s="82"/>
      <c r="AC513" s="82"/>
      <c r="AD513" s="82"/>
      <c r="AE513" s="82"/>
      <c r="AF513" s="63" t="str">
        <f t="shared" si="1"/>
        <v/>
      </c>
      <c r="AG513" s="82"/>
      <c r="AH513" s="82"/>
      <c r="AI513" s="82"/>
      <c r="AJ513" s="82"/>
      <c r="AK513" s="82"/>
      <c r="AL513" s="82"/>
      <c r="AM513" s="82"/>
      <c r="AN513" s="82"/>
      <c r="AO513" s="82"/>
      <c r="AP513" s="82"/>
      <c r="AQ513" s="82"/>
      <c r="AR513" s="82"/>
      <c r="AS513" s="82"/>
      <c r="AT513" s="82"/>
      <c r="AU513" s="82"/>
      <c r="AV513" s="82"/>
      <c r="AW513" s="82"/>
      <c r="AX513" s="82"/>
      <c r="AY513" s="82"/>
      <c r="AZ513" s="82"/>
      <c r="BA513" s="82"/>
      <c r="BB513" s="82"/>
      <c r="BC513" s="82"/>
      <c r="BD513" s="82"/>
      <c r="BE513" s="82"/>
      <c r="BF513" s="82"/>
      <c r="BG513" s="82"/>
      <c r="BH513" s="82"/>
      <c r="BI513" s="82"/>
      <c r="BJ513" s="82"/>
      <c r="BK513" s="82"/>
      <c r="BL513" s="82"/>
      <c r="BM513" s="82"/>
      <c r="BN513" s="82"/>
      <c r="BO513" s="82"/>
      <c r="BP513" s="82"/>
      <c r="BQ513" s="63"/>
      <c r="BR513" s="82"/>
      <c r="BS513" s="82"/>
      <c r="BT513" s="82"/>
      <c r="BU513" s="4"/>
    </row>
    <row r="514" spans="1:73" ht="12.75" x14ac:dyDescent="0.2">
      <c r="A514" s="1"/>
      <c r="B514" s="85"/>
      <c r="C514" s="85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4"/>
      <c r="O514" s="82"/>
      <c r="P514" s="82"/>
      <c r="Q514" s="82"/>
      <c r="R514" s="63"/>
      <c r="S514" s="63"/>
      <c r="T514" s="63"/>
      <c r="U514" s="63"/>
      <c r="V514" s="63"/>
      <c r="W514" s="63"/>
      <c r="X514" s="63"/>
      <c r="Y514" s="82"/>
      <c r="Z514" s="82"/>
      <c r="AA514" s="82"/>
      <c r="AB514" s="82"/>
      <c r="AC514" s="82"/>
      <c r="AD514" s="82"/>
      <c r="AE514" s="82"/>
      <c r="AF514" s="63" t="str">
        <f t="shared" si="1"/>
        <v/>
      </c>
      <c r="AG514" s="82"/>
      <c r="AH514" s="82"/>
      <c r="AI514" s="82"/>
      <c r="AJ514" s="82"/>
      <c r="AK514" s="82"/>
      <c r="AL514" s="82"/>
      <c r="AM514" s="82"/>
      <c r="AN514" s="82"/>
      <c r="AO514" s="82"/>
      <c r="AP514" s="82"/>
      <c r="AQ514" s="82"/>
      <c r="AR514" s="82"/>
      <c r="AS514" s="82"/>
      <c r="AT514" s="82"/>
      <c r="AU514" s="82"/>
      <c r="AV514" s="82"/>
      <c r="AW514" s="82"/>
      <c r="AX514" s="82"/>
      <c r="AY514" s="82"/>
      <c r="AZ514" s="82"/>
      <c r="BA514" s="82"/>
      <c r="BB514" s="82"/>
      <c r="BC514" s="82"/>
      <c r="BD514" s="82"/>
      <c r="BE514" s="82"/>
      <c r="BF514" s="82"/>
      <c r="BG514" s="82"/>
      <c r="BH514" s="82"/>
      <c r="BI514" s="82"/>
      <c r="BJ514" s="82"/>
      <c r="BK514" s="82"/>
      <c r="BL514" s="82"/>
      <c r="BM514" s="82"/>
      <c r="BN514" s="82"/>
      <c r="BO514" s="82"/>
      <c r="BP514" s="82"/>
      <c r="BQ514" s="63"/>
      <c r="BR514" s="82"/>
      <c r="BS514" s="82"/>
      <c r="BT514" s="82"/>
      <c r="BU514" s="4"/>
    </row>
    <row r="515" spans="1:73" ht="12.75" x14ac:dyDescent="0.2">
      <c r="A515" s="1"/>
      <c r="B515" s="85"/>
      <c r="C515" s="85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4"/>
      <c r="O515" s="82"/>
      <c r="P515" s="82"/>
      <c r="Q515" s="82"/>
      <c r="R515" s="63"/>
      <c r="S515" s="63"/>
      <c r="T515" s="63"/>
      <c r="U515" s="63"/>
      <c r="V515" s="63"/>
      <c r="W515" s="63"/>
      <c r="X515" s="63"/>
      <c r="Y515" s="82"/>
      <c r="Z515" s="82"/>
      <c r="AA515" s="82"/>
      <c r="AB515" s="82"/>
      <c r="AC515" s="82"/>
      <c r="AD515" s="82"/>
      <c r="AE515" s="82"/>
      <c r="AF515" s="63" t="str">
        <f t="shared" si="1"/>
        <v/>
      </c>
      <c r="AG515" s="82"/>
      <c r="AH515" s="82"/>
      <c r="AI515" s="82"/>
      <c r="AJ515" s="82"/>
      <c r="AK515" s="82"/>
      <c r="AL515" s="82"/>
      <c r="AM515" s="82"/>
      <c r="AN515" s="82"/>
      <c r="AO515" s="82"/>
      <c r="AP515" s="82"/>
      <c r="AQ515" s="82"/>
      <c r="AR515" s="82"/>
      <c r="AS515" s="82"/>
      <c r="AT515" s="82"/>
      <c r="AU515" s="82"/>
      <c r="AV515" s="82"/>
      <c r="AW515" s="82"/>
      <c r="AX515" s="82"/>
      <c r="AY515" s="82"/>
      <c r="AZ515" s="82"/>
      <c r="BA515" s="82"/>
      <c r="BB515" s="82"/>
      <c r="BC515" s="82"/>
      <c r="BD515" s="82"/>
      <c r="BE515" s="82"/>
      <c r="BF515" s="82"/>
      <c r="BG515" s="82"/>
      <c r="BH515" s="82"/>
      <c r="BI515" s="82"/>
      <c r="BJ515" s="82"/>
      <c r="BK515" s="82"/>
      <c r="BL515" s="82"/>
      <c r="BM515" s="82"/>
      <c r="BN515" s="82"/>
      <c r="BO515" s="82"/>
      <c r="BP515" s="82"/>
      <c r="BQ515" s="63"/>
      <c r="BR515" s="82"/>
      <c r="BS515" s="82"/>
      <c r="BT515" s="82"/>
      <c r="BU515" s="4"/>
    </row>
    <row r="516" spans="1:73" ht="12.75" x14ac:dyDescent="0.2">
      <c r="A516" s="1"/>
      <c r="B516" s="85"/>
      <c r="C516" s="85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4"/>
      <c r="O516" s="82"/>
      <c r="P516" s="82"/>
      <c r="Q516" s="82"/>
      <c r="R516" s="63"/>
      <c r="S516" s="63"/>
      <c r="T516" s="63"/>
      <c r="U516" s="63"/>
      <c r="V516" s="63"/>
      <c r="W516" s="63"/>
      <c r="X516" s="63"/>
      <c r="Y516" s="82"/>
      <c r="Z516" s="82"/>
      <c r="AA516" s="82"/>
      <c r="AB516" s="82"/>
      <c r="AC516" s="82"/>
      <c r="AD516" s="82"/>
      <c r="AE516" s="82"/>
      <c r="AF516" s="63" t="str">
        <f t="shared" si="1"/>
        <v/>
      </c>
      <c r="AG516" s="82"/>
      <c r="AH516" s="82"/>
      <c r="AI516" s="82"/>
      <c r="AJ516" s="82"/>
      <c r="AK516" s="82"/>
      <c r="AL516" s="82"/>
      <c r="AM516" s="82"/>
      <c r="AN516" s="82"/>
      <c r="AO516" s="82"/>
      <c r="AP516" s="82"/>
      <c r="AQ516" s="82"/>
      <c r="AR516" s="82"/>
      <c r="AS516" s="82"/>
      <c r="AT516" s="82"/>
      <c r="AU516" s="82"/>
      <c r="AV516" s="82"/>
      <c r="AW516" s="82"/>
      <c r="AX516" s="82"/>
      <c r="AY516" s="82"/>
      <c r="AZ516" s="82"/>
      <c r="BA516" s="82"/>
      <c r="BB516" s="82"/>
      <c r="BC516" s="82"/>
      <c r="BD516" s="82"/>
      <c r="BE516" s="82"/>
      <c r="BF516" s="82"/>
      <c r="BG516" s="82"/>
      <c r="BH516" s="82"/>
      <c r="BI516" s="82"/>
      <c r="BJ516" s="82"/>
      <c r="BK516" s="82"/>
      <c r="BL516" s="82"/>
      <c r="BM516" s="82"/>
      <c r="BN516" s="82"/>
      <c r="BO516" s="82"/>
      <c r="BP516" s="82"/>
      <c r="BQ516" s="63"/>
      <c r="BR516" s="82"/>
      <c r="BS516" s="82"/>
      <c r="BT516" s="82"/>
      <c r="BU516" s="4"/>
    </row>
    <row r="517" spans="1:73" ht="12.75" x14ac:dyDescent="0.2">
      <c r="A517" s="1"/>
      <c r="B517" s="85"/>
      <c r="C517" s="85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4"/>
      <c r="O517" s="82"/>
      <c r="P517" s="82"/>
      <c r="Q517" s="82"/>
      <c r="R517" s="63"/>
      <c r="S517" s="63"/>
      <c r="T517" s="63"/>
      <c r="U517" s="63"/>
      <c r="V517" s="63"/>
      <c r="W517" s="63"/>
      <c r="X517" s="63"/>
      <c r="Y517" s="82"/>
      <c r="Z517" s="82"/>
      <c r="AA517" s="82"/>
      <c r="AB517" s="82"/>
      <c r="AC517" s="82"/>
      <c r="AD517" s="82"/>
      <c r="AE517" s="82"/>
      <c r="AF517" s="63" t="str">
        <f t="shared" si="1"/>
        <v/>
      </c>
      <c r="AG517" s="82"/>
      <c r="AH517" s="82"/>
      <c r="AI517" s="82"/>
      <c r="AJ517" s="82"/>
      <c r="AK517" s="82"/>
      <c r="AL517" s="82"/>
      <c r="AM517" s="82"/>
      <c r="AN517" s="82"/>
      <c r="AO517" s="82"/>
      <c r="AP517" s="82"/>
      <c r="AQ517" s="82"/>
      <c r="AR517" s="82"/>
      <c r="AS517" s="82"/>
      <c r="AT517" s="82"/>
      <c r="AU517" s="82"/>
      <c r="AV517" s="82"/>
      <c r="AW517" s="82"/>
      <c r="AX517" s="82"/>
      <c r="AY517" s="82"/>
      <c r="AZ517" s="82"/>
      <c r="BA517" s="82"/>
      <c r="BB517" s="82"/>
      <c r="BC517" s="82"/>
      <c r="BD517" s="82"/>
      <c r="BE517" s="82"/>
      <c r="BF517" s="82"/>
      <c r="BG517" s="82"/>
      <c r="BH517" s="82"/>
      <c r="BI517" s="82"/>
      <c r="BJ517" s="82"/>
      <c r="BK517" s="82"/>
      <c r="BL517" s="82"/>
      <c r="BM517" s="82"/>
      <c r="BN517" s="82"/>
      <c r="BO517" s="82"/>
      <c r="BP517" s="82"/>
      <c r="BQ517" s="63"/>
      <c r="BR517" s="82"/>
      <c r="BS517" s="82"/>
      <c r="BT517" s="82"/>
      <c r="BU517" s="4"/>
    </row>
    <row r="518" spans="1:73" ht="12.75" x14ac:dyDescent="0.2">
      <c r="A518" s="1"/>
      <c r="B518" s="85"/>
      <c r="C518" s="85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4"/>
      <c r="O518" s="82"/>
      <c r="P518" s="82"/>
      <c r="Q518" s="82"/>
      <c r="R518" s="63"/>
      <c r="S518" s="63"/>
      <c r="T518" s="63"/>
      <c r="U518" s="63"/>
      <c r="V518" s="63"/>
      <c r="W518" s="63"/>
      <c r="X518" s="63"/>
      <c r="Y518" s="82"/>
      <c r="Z518" s="82"/>
      <c r="AA518" s="82"/>
      <c r="AB518" s="82"/>
      <c r="AC518" s="82"/>
      <c r="AD518" s="82"/>
      <c r="AE518" s="82"/>
      <c r="AF518" s="63" t="str">
        <f t="shared" si="1"/>
        <v/>
      </c>
      <c r="AG518" s="82"/>
      <c r="AH518" s="82"/>
      <c r="AI518" s="82"/>
      <c r="AJ518" s="82"/>
      <c r="AK518" s="82"/>
      <c r="AL518" s="82"/>
      <c r="AM518" s="82"/>
      <c r="AN518" s="82"/>
      <c r="AO518" s="82"/>
      <c r="AP518" s="82"/>
      <c r="AQ518" s="82"/>
      <c r="AR518" s="82"/>
      <c r="AS518" s="82"/>
      <c r="AT518" s="82"/>
      <c r="AU518" s="82"/>
      <c r="AV518" s="82"/>
      <c r="AW518" s="82"/>
      <c r="AX518" s="82"/>
      <c r="AY518" s="82"/>
      <c r="AZ518" s="82"/>
      <c r="BA518" s="82"/>
      <c r="BB518" s="82"/>
      <c r="BC518" s="82"/>
      <c r="BD518" s="82"/>
      <c r="BE518" s="82"/>
      <c r="BF518" s="82"/>
      <c r="BG518" s="82"/>
      <c r="BH518" s="82"/>
      <c r="BI518" s="82"/>
      <c r="BJ518" s="82"/>
      <c r="BK518" s="82"/>
      <c r="BL518" s="82"/>
      <c r="BM518" s="82"/>
      <c r="BN518" s="82"/>
      <c r="BO518" s="82"/>
      <c r="BP518" s="82"/>
      <c r="BQ518" s="63"/>
      <c r="BR518" s="82"/>
      <c r="BS518" s="82"/>
      <c r="BT518" s="82"/>
      <c r="BU518" s="4"/>
    </row>
    <row r="519" spans="1:73" ht="12.75" x14ac:dyDescent="0.2">
      <c r="A519" s="1"/>
      <c r="B519" s="85"/>
      <c r="C519" s="85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4"/>
      <c r="O519" s="82"/>
      <c r="P519" s="82"/>
      <c r="Q519" s="82"/>
      <c r="R519" s="63"/>
      <c r="S519" s="63"/>
      <c r="T519" s="63"/>
      <c r="U519" s="63"/>
      <c r="V519" s="63"/>
      <c r="W519" s="63"/>
      <c r="X519" s="63"/>
      <c r="Y519" s="82"/>
      <c r="Z519" s="82"/>
      <c r="AA519" s="82"/>
      <c r="AB519" s="82"/>
      <c r="AC519" s="82"/>
      <c r="AD519" s="82"/>
      <c r="AE519" s="82"/>
      <c r="AF519" s="63" t="str">
        <f t="shared" si="1"/>
        <v/>
      </c>
      <c r="AG519" s="82"/>
      <c r="AH519" s="82"/>
      <c r="AI519" s="82"/>
      <c r="AJ519" s="82"/>
      <c r="AK519" s="82"/>
      <c r="AL519" s="82"/>
      <c r="AM519" s="82"/>
      <c r="AN519" s="82"/>
      <c r="AO519" s="82"/>
      <c r="AP519" s="82"/>
      <c r="AQ519" s="82"/>
      <c r="AR519" s="82"/>
      <c r="AS519" s="82"/>
      <c r="AT519" s="82"/>
      <c r="AU519" s="82"/>
      <c r="AV519" s="82"/>
      <c r="AW519" s="82"/>
      <c r="AX519" s="82"/>
      <c r="AY519" s="82"/>
      <c r="AZ519" s="82"/>
      <c r="BA519" s="82"/>
      <c r="BB519" s="82"/>
      <c r="BC519" s="82"/>
      <c r="BD519" s="82"/>
      <c r="BE519" s="82"/>
      <c r="BF519" s="82"/>
      <c r="BG519" s="82"/>
      <c r="BH519" s="82"/>
      <c r="BI519" s="82"/>
      <c r="BJ519" s="82"/>
      <c r="BK519" s="82"/>
      <c r="BL519" s="82"/>
      <c r="BM519" s="82"/>
      <c r="BN519" s="82"/>
      <c r="BO519" s="82"/>
      <c r="BP519" s="82"/>
      <c r="BQ519" s="63"/>
      <c r="BR519" s="82"/>
      <c r="BS519" s="82"/>
      <c r="BT519" s="82"/>
      <c r="BU519" s="4"/>
    </row>
    <row r="520" spans="1:73" ht="12.75" x14ac:dyDescent="0.2">
      <c r="A520" s="1"/>
      <c r="B520" s="85"/>
      <c r="C520" s="85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4"/>
      <c r="O520" s="82"/>
      <c r="P520" s="82"/>
      <c r="Q520" s="82"/>
      <c r="R520" s="63"/>
      <c r="S520" s="63"/>
      <c r="T520" s="63"/>
      <c r="U520" s="63"/>
      <c r="V520" s="63"/>
      <c r="W520" s="63"/>
      <c r="X520" s="63"/>
      <c r="Y520" s="82"/>
      <c r="Z520" s="82"/>
      <c r="AA520" s="82"/>
      <c r="AB520" s="82"/>
      <c r="AC520" s="82"/>
      <c r="AD520" s="82"/>
      <c r="AE520" s="82"/>
      <c r="AF520" s="63" t="str">
        <f t="shared" si="1"/>
        <v/>
      </c>
      <c r="AG520" s="82"/>
      <c r="AH520" s="82"/>
      <c r="AI520" s="82"/>
      <c r="AJ520" s="82"/>
      <c r="AK520" s="82"/>
      <c r="AL520" s="82"/>
      <c r="AM520" s="82"/>
      <c r="AN520" s="82"/>
      <c r="AO520" s="82"/>
      <c r="AP520" s="82"/>
      <c r="AQ520" s="82"/>
      <c r="AR520" s="82"/>
      <c r="AS520" s="82"/>
      <c r="AT520" s="82"/>
      <c r="AU520" s="82"/>
      <c r="AV520" s="82"/>
      <c r="AW520" s="82"/>
      <c r="AX520" s="82"/>
      <c r="AY520" s="82"/>
      <c r="AZ520" s="82"/>
      <c r="BA520" s="82"/>
      <c r="BB520" s="82"/>
      <c r="BC520" s="82"/>
      <c r="BD520" s="82"/>
      <c r="BE520" s="82"/>
      <c r="BF520" s="82"/>
      <c r="BG520" s="82"/>
      <c r="BH520" s="82"/>
      <c r="BI520" s="82"/>
      <c r="BJ520" s="82"/>
      <c r="BK520" s="82"/>
      <c r="BL520" s="82"/>
      <c r="BM520" s="82"/>
      <c r="BN520" s="82"/>
      <c r="BO520" s="82"/>
      <c r="BP520" s="82"/>
      <c r="BQ520" s="63"/>
      <c r="BR520" s="82"/>
      <c r="BS520" s="82"/>
      <c r="BT520" s="82"/>
      <c r="BU520" s="4"/>
    </row>
    <row r="521" spans="1:73" ht="12.75" x14ac:dyDescent="0.2">
      <c r="A521" s="1"/>
      <c r="B521" s="85"/>
      <c r="C521" s="85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4"/>
      <c r="O521" s="82"/>
      <c r="P521" s="82"/>
      <c r="Q521" s="82"/>
      <c r="R521" s="63"/>
      <c r="S521" s="63"/>
      <c r="T521" s="63"/>
      <c r="U521" s="63"/>
      <c r="V521" s="63"/>
      <c r="W521" s="63"/>
      <c r="X521" s="63"/>
      <c r="Y521" s="82"/>
      <c r="Z521" s="82"/>
      <c r="AA521" s="82"/>
      <c r="AB521" s="82"/>
      <c r="AC521" s="82"/>
      <c r="AD521" s="82"/>
      <c r="AE521" s="82"/>
      <c r="AF521" s="63" t="str">
        <f t="shared" ref="AF521:AF695" si="2">IF(OR(AD521="",AE521=""),"",ROUND(AD521/((AE521/100)^2),2))</f>
        <v/>
      </c>
      <c r="AG521" s="82"/>
      <c r="AH521" s="82"/>
      <c r="AI521" s="82"/>
      <c r="AJ521" s="82"/>
      <c r="AK521" s="82"/>
      <c r="AL521" s="82"/>
      <c r="AM521" s="82"/>
      <c r="AN521" s="82"/>
      <c r="AO521" s="82"/>
      <c r="AP521" s="82"/>
      <c r="AQ521" s="82"/>
      <c r="AR521" s="82"/>
      <c r="AS521" s="82"/>
      <c r="AT521" s="82"/>
      <c r="AU521" s="82"/>
      <c r="AV521" s="82"/>
      <c r="AW521" s="82"/>
      <c r="AX521" s="82"/>
      <c r="AY521" s="82"/>
      <c r="AZ521" s="82"/>
      <c r="BA521" s="82"/>
      <c r="BB521" s="82"/>
      <c r="BC521" s="82"/>
      <c r="BD521" s="82"/>
      <c r="BE521" s="82"/>
      <c r="BF521" s="82"/>
      <c r="BG521" s="82"/>
      <c r="BH521" s="82"/>
      <c r="BI521" s="82"/>
      <c r="BJ521" s="82"/>
      <c r="BK521" s="82"/>
      <c r="BL521" s="82"/>
      <c r="BM521" s="82"/>
      <c r="BN521" s="82"/>
      <c r="BO521" s="82"/>
      <c r="BP521" s="82"/>
      <c r="BQ521" s="63"/>
      <c r="BR521" s="82"/>
      <c r="BS521" s="82"/>
      <c r="BT521" s="82"/>
      <c r="BU521" s="4"/>
    </row>
    <row r="522" spans="1:73" ht="12.75" x14ac:dyDescent="0.2">
      <c r="A522" s="1"/>
      <c r="B522" s="85"/>
      <c r="C522" s="85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4"/>
      <c r="O522" s="82"/>
      <c r="P522" s="82"/>
      <c r="Q522" s="82"/>
      <c r="R522" s="63"/>
      <c r="S522" s="63"/>
      <c r="T522" s="63"/>
      <c r="U522" s="63"/>
      <c r="V522" s="63"/>
      <c r="W522" s="63"/>
      <c r="X522" s="63"/>
      <c r="Y522" s="82"/>
      <c r="Z522" s="82"/>
      <c r="AA522" s="82"/>
      <c r="AB522" s="82"/>
      <c r="AC522" s="82"/>
      <c r="AD522" s="82"/>
      <c r="AE522" s="82"/>
      <c r="AF522" s="63" t="str">
        <f t="shared" si="2"/>
        <v/>
      </c>
      <c r="AG522" s="82"/>
      <c r="AH522" s="82"/>
      <c r="AI522" s="82"/>
      <c r="AJ522" s="82"/>
      <c r="AK522" s="82"/>
      <c r="AL522" s="82"/>
      <c r="AM522" s="82"/>
      <c r="AN522" s="82"/>
      <c r="AO522" s="82"/>
      <c r="AP522" s="82"/>
      <c r="AQ522" s="82"/>
      <c r="AR522" s="82"/>
      <c r="AS522" s="82"/>
      <c r="AT522" s="82"/>
      <c r="AU522" s="82"/>
      <c r="AV522" s="82"/>
      <c r="AW522" s="82"/>
      <c r="AX522" s="82"/>
      <c r="AY522" s="82"/>
      <c r="AZ522" s="82"/>
      <c r="BA522" s="82"/>
      <c r="BB522" s="82"/>
      <c r="BC522" s="82"/>
      <c r="BD522" s="82"/>
      <c r="BE522" s="82"/>
      <c r="BF522" s="82"/>
      <c r="BG522" s="82"/>
      <c r="BH522" s="82"/>
      <c r="BI522" s="82"/>
      <c r="BJ522" s="82"/>
      <c r="BK522" s="82"/>
      <c r="BL522" s="82"/>
      <c r="BM522" s="82"/>
      <c r="BN522" s="82"/>
      <c r="BO522" s="82"/>
      <c r="BP522" s="82"/>
      <c r="BQ522" s="63"/>
      <c r="BR522" s="82"/>
      <c r="BS522" s="82"/>
      <c r="BT522" s="82"/>
      <c r="BU522" s="4"/>
    </row>
    <row r="523" spans="1:73" ht="12.75" x14ac:dyDescent="0.2">
      <c r="A523" s="1"/>
      <c r="B523" s="85"/>
      <c r="C523" s="85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4"/>
      <c r="O523" s="82"/>
      <c r="P523" s="82"/>
      <c r="Q523" s="82"/>
      <c r="R523" s="63"/>
      <c r="S523" s="63"/>
      <c r="T523" s="63"/>
      <c r="U523" s="63"/>
      <c r="V523" s="63"/>
      <c r="W523" s="63"/>
      <c r="X523" s="63"/>
      <c r="Y523" s="82"/>
      <c r="Z523" s="82"/>
      <c r="AA523" s="82"/>
      <c r="AB523" s="82"/>
      <c r="AC523" s="82"/>
      <c r="AD523" s="82"/>
      <c r="AE523" s="82"/>
      <c r="AF523" s="63" t="str">
        <f t="shared" si="2"/>
        <v/>
      </c>
      <c r="AG523" s="82"/>
      <c r="AH523" s="82"/>
      <c r="AI523" s="82"/>
      <c r="AJ523" s="82"/>
      <c r="AK523" s="82"/>
      <c r="AL523" s="82"/>
      <c r="AM523" s="82"/>
      <c r="AN523" s="82"/>
      <c r="AO523" s="82"/>
      <c r="AP523" s="82"/>
      <c r="AQ523" s="82"/>
      <c r="AR523" s="82"/>
      <c r="AS523" s="82"/>
      <c r="AT523" s="82"/>
      <c r="AU523" s="82"/>
      <c r="AV523" s="82"/>
      <c r="AW523" s="82"/>
      <c r="AX523" s="82"/>
      <c r="AY523" s="82"/>
      <c r="AZ523" s="82"/>
      <c r="BA523" s="82"/>
      <c r="BB523" s="82"/>
      <c r="BC523" s="82"/>
      <c r="BD523" s="82"/>
      <c r="BE523" s="82"/>
      <c r="BF523" s="82"/>
      <c r="BG523" s="82"/>
      <c r="BH523" s="82"/>
      <c r="BI523" s="82"/>
      <c r="BJ523" s="82"/>
      <c r="BK523" s="82"/>
      <c r="BL523" s="82"/>
      <c r="BM523" s="82"/>
      <c r="BN523" s="82"/>
      <c r="BO523" s="82"/>
      <c r="BP523" s="82"/>
      <c r="BQ523" s="63"/>
      <c r="BR523" s="82"/>
      <c r="BS523" s="82"/>
      <c r="BT523" s="82"/>
      <c r="BU523" s="4"/>
    </row>
    <row r="524" spans="1:73" ht="12.75" x14ac:dyDescent="0.2">
      <c r="A524" s="1"/>
      <c r="B524" s="85"/>
      <c r="C524" s="85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4"/>
      <c r="O524" s="82"/>
      <c r="P524" s="82"/>
      <c r="Q524" s="82"/>
      <c r="R524" s="63"/>
      <c r="S524" s="63"/>
      <c r="T524" s="63"/>
      <c r="U524" s="63"/>
      <c r="V524" s="63"/>
      <c r="W524" s="63"/>
      <c r="X524" s="63"/>
      <c r="Y524" s="82"/>
      <c r="Z524" s="82"/>
      <c r="AA524" s="82"/>
      <c r="AB524" s="82"/>
      <c r="AC524" s="82"/>
      <c r="AD524" s="82"/>
      <c r="AE524" s="82"/>
      <c r="AF524" s="63" t="str">
        <f t="shared" si="2"/>
        <v/>
      </c>
      <c r="AG524" s="82"/>
      <c r="AH524" s="82"/>
      <c r="AI524" s="82"/>
      <c r="AJ524" s="82"/>
      <c r="AK524" s="82"/>
      <c r="AL524" s="82"/>
      <c r="AM524" s="82"/>
      <c r="AN524" s="82"/>
      <c r="AO524" s="82"/>
      <c r="AP524" s="82"/>
      <c r="AQ524" s="82"/>
      <c r="AR524" s="82"/>
      <c r="AS524" s="82"/>
      <c r="AT524" s="82"/>
      <c r="AU524" s="82"/>
      <c r="AV524" s="82"/>
      <c r="AW524" s="82"/>
      <c r="AX524" s="82"/>
      <c r="AY524" s="82"/>
      <c r="AZ524" s="82"/>
      <c r="BA524" s="82"/>
      <c r="BB524" s="82"/>
      <c r="BC524" s="82"/>
      <c r="BD524" s="82"/>
      <c r="BE524" s="82"/>
      <c r="BF524" s="82"/>
      <c r="BG524" s="82"/>
      <c r="BH524" s="82"/>
      <c r="BI524" s="82"/>
      <c r="BJ524" s="82"/>
      <c r="BK524" s="82"/>
      <c r="BL524" s="82"/>
      <c r="BM524" s="82"/>
      <c r="BN524" s="82"/>
      <c r="BO524" s="82"/>
      <c r="BP524" s="82"/>
      <c r="BQ524" s="63"/>
      <c r="BR524" s="82"/>
      <c r="BS524" s="82"/>
      <c r="BT524" s="82"/>
      <c r="BU524" s="4"/>
    </row>
    <row r="525" spans="1:73" ht="12.75" x14ac:dyDescent="0.2">
      <c r="A525" s="1"/>
      <c r="B525" s="85"/>
      <c r="C525" s="85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4"/>
      <c r="O525" s="82"/>
      <c r="P525" s="82"/>
      <c r="Q525" s="82"/>
      <c r="R525" s="63"/>
      <c r="S525" s="63"/>
      <c r="T525" s="63"/>
      <c r="U525" s="63"/>
      <c r="V525" s="63"/>
      <c r="W525" s="63"/>
      <c r="X525" s="63"/>
      <c r="Y525" s="82"/>
      <c r="Z525" s="82"/>
      <c r="AA525" s="82"/>
      <c r="AB525" s="82"/>
      <c r="AC525" s="82"/>
      <c r="AD525" s="82"/>
      <c r="AE525" s="82"/>
      <c r="AF525" s="63" t="str">
        <f t="shared" si="2"/>
        <v/>
      </c>
      <c r="AG525" s="82"/>
      <c r="AH525" s="82"/>
      <c r="AI525" s="82"/>
      <c r="AJ525" s="82"/>
      <c r="AK525" s="82"/>
      <c r="AL525" s="82"/>
      <c r="AM525" s="82"/>
      <c r="AN525" s="82"/>
      <c r="AO525" s="82"/>
      <c r="AP525" s="82"/>
      <c r="AQ525" s="82"/>
      <c r="AR525" s="82"/>
      <c r="AS525" s="82"/>
      <c r="AT525" s="82"/>
      <c r="AU525" s="82"/>
      <c r="AV525" s="82"/>
      <c r="AW525" s="82"/>
      <c r="AX525" s="82"/>
      <c r="AY525" s="82"/>
      <c r="AZ525" s="82"/>
      <c r="BA525" s="82"/>
      <c r="BB525" s="82"/>
      <c r="BC525" s="82"/>
      <c r="BD525" s="82"/>
      <c r="BE525" s="82"/>
      <c r="BF525" s="82"/>
      <c r="BG525" s="82"/>
      <c r="BH525" s="82"/>
      <c r="BI525" s="82"/>
      <c r="BJ525" s="82"/>
      <c r="BK525" s="82"/>
      <c r="BL525" s="82"/>
      <c r="BM525" s="82"/>
      <c r="BN525" s="82"/>
      <c r="BO525" s="82"/>
      <c r="BP525" s="82"/>
      <c r="BQ525" s="63"/>
      <c r="BR525" s="82"/>
      <c r="BS525" s="82"/>
      <c r="BT525" s="82"/>
      <c r="BU525" s="4"/>
    </row>
    <row r="526" spans="1:73" ht="12.75" x14ac:dyDescent="0.2">
      <c r="A526" s="1"/>
      <c r="B526" s="85"/>
      <c r="C526" s="85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4"/>
      <c r="O526" s="82"/>
      <c r="P526" s="82"/>
      <c r="Q526" s="82"/>
      <c r="R526" s="63"/>
      <c r="S526" s="63"/>
      <c r="T526" s="63"/>
      <c r="U526" s="63"/>
      <c r="V526" s="63"/>
      <c r="W526" s="63"/>
      <c r="X526" s="63"/>
      <c r="Y526" s="82"/>
      <c r="Z526" s="82"/>
      <c r="AA526" s="82"/>
      <c r="AB526" s="82"/>
      <c r="AC526" s="82"/>
      <c r="AD526" s="82"/>
      <c r="AE526" s="82"/>
      <c r="AF526" s="63" t="str">
        <f t="shared" si="2"/>
        <v/>
      </c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  <c r="AR526" s="82"/>
      <c r="AS526" s="82"/>
      <c r="AT526" s="82"/>
      <c r="AU526" s="82"/>
      <c r="AV526" s="82"/>
      <c r="AW526" s="82"/>
      <c r="AX526" s="82"/>
      <c r="AY526" s="82"/>
      <c r="AZ526" s="82"/>
      <c r="BA526" s="82"/>
      <c r="BB526" s="82"/>
      <c r="BC526" s="82"/>
      <c r="BD526" s="82"/>
      <c r="BE526" s="82"/>
      <c r="BF526" s="82"/>
      <c r="BG526" s="82"/>
      <c r="BH526" s="82"/>
      <c r="BI526" s="82"/>
      <c r="BJ526" s="82"/>
      <c r="BK526" s="82"/>
      <c r="BL526" s="82"/>
      <c r="BM526" s="82"/>
      <c r="BN526" s="82"/>
      <c r="BO526" s="82"/>
      <c r="BP526" s="82"/>
      <c r="BQ526" s="63"/>
      <c r="BR526" s="82"/>
      <c r="BS526" s="82"/>
      <c r="BT526" s="82"/>
      <c r="BU526" s="4"/>
    </row>
    <row r="527" spans="1:73" ht="12.75" x14ac:dyDescent="0.2">
      <c r="A527" s="1"/>
      <c r="B527" s="85"/>
      <c r="C527" s="85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4"/>
      <c r="O527" s="82"/>
      <c r="P527" s="82"/>
      <c r="Q527" s="82"/>
      <c r="R527" s="63"/>
      <c r="S527" s="63"/>
      <c r="T527" s="63"/>
      <c r="U527" s="63"/>
      <c r="V527" s="63"/>
      <c r="W527" s="63"/>
      <c r="X527" s="63"/>
      <c r="Y527" s="82"/>
      <c r="Z527" s="82"/>
      <c r="AA527" s="82"/>
      <c r="AB527" s="82"/>
      <c r="AC527" s="82"/>
      <c r="AD527" s="82"/>
      <c r="AE527" s="82"/>
      <c r="AF527" s="63" t="str">
        <f t="shared" si="2"/>
        <v/>
      </c>
      <c r="AG527" s="82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  <c r="AR527" s="82"/>
      <c r="AS527" s="82"/>
      <c r="AT527" s="82"/>
      <c r="AU527" s="82"/>
      <c r="AV527" s="82"/>
      <c r="AW527" s="82"/>
      <c r="AX527" s="82"/>
      <c r="AY527" s="82"/>
      <c r="AZ527" s="82"/>
      <c r="BA527" s="82"/>
      <c r="BB527" s="82"/>
      <c r="BC527" s="82"/>
      <c r="BD527" s="82"/>
      <c r="BE527" s="82"/>
      <c r="BF527" s="82"/>
      <c r="BG527" s="82"/>
      <c r="BH527" s="82"/>
      <c r="BI527" s="82"/>
      <c r="BJ527" s="82"/>
      <c r="BK527" s="82"/>
      <c r="BL527" s="82"/>
      <c r="BM527" s="82"/>
      <c r="BN527" s="82"/>
      <c r="BO527" s="82"/>
      <c r="BP527" s="82"/>
      <c r="BQ527" s="63"/>
      <c r="BR527" s="82"/>
      <c r="BS527" s="82"/>
      <c r="BT527" s="82"/>
      <c r="BU527" s="4"/>
    </row>
    <row r="528" spans="1:73" ht="12.75" x14ac:dyDescent="0.2">
      <c r="A528" s="1"/>
      <c r="B528" s="85"/>
      <c r="C528" s="85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4"/>
      <c r="O528" s="82"/>
      <c r="P528" s="82"/>
      <c r="Q528" s="82"/>
      <c r="R528" s="63"/>
      <c r="S528" s="63"/>
      <c r="T528" s="63"/>
      <c r="U528" s="63"/>
      <c r="V528" s="63"/>
      <c r="W528" s="63"/>
      <c r="X528" s="63"/>
      <c r="Y528" s="82"/>
      <c r="Z528" s="82"/>
      <c r="AA528" s="82"/>
      <c r="AB528" s="82"/>
      <c r="AC528" s="82"/>
      <c r="AD528" s="82"/>
      <c r="AE528" s="82"/>
      <c r="AF528" s="63" t="str">
        <f t="shared" si="2"/>
        <v/>
      </c>
      <c r="AG528" s="82"/>
      <c r="AH528" s="82"/>
      <c r="AI528" s="82"/>
      <c r="AJ528" s="82"/>
      <c r="AK528" s="82"/>
      <c r="AL528" s="82"/>
      <c r="AM528" s="82"/>
      <c r="AN528" s="82"/>
      <c r="AO528" s="82"/>
      <c r="AP528" s="82"/>
      <c r="AQ528" s="82"/>
      <c r="AR528" s="82"/>
      <c r="AS528" s="82"/>
      <c r="AT528" s="82"/>
      <c r="AU528" s="82"/>
      <c r="AV528" s="82"/>
      <c r="AW528" s="82"/>
      <c r="AX528" s="82"/>
      <c r="AY528" s="82"/>
      <c r="AZ528" s="82"/>
      <c r="BA528" s="82"/>
      <c r="BB528" s="82"/>
      <c r="BC528" s="82"/>
      <c r="BD528" s="82"/>
      <c r="BE528" s="82"/>
      <c r="BF528" s="82"/>
      <c r="BG528" s="82"/>
      <c r="BH528" s="82"/>
      <c r="BI528" s="82"/>
      <c r="BJ528" s="82"/>
      <c r="BK528" s="82"/>
      <c r="BL528" s="82"/>
      <c r="BM528" s="82"/>
      <c r="BN528" s="82"/>
      <c r="BO528" s="82"/>
      <c r="BP528" s="82"/>
      <c r="BQ528" s="63"/>
      <c r="BR528" s="82"/>
      <c r="BS528" s="82"/>
      <c r="BT528" s="82"/>
      <c r="BU528" s="4"/>
    </row>
    <row r="529" spans="1:73" ht="12.75" x14ac:dyDescent="0.2">
      <c r="A529" s="1"/>
      <c r="B529" s="85"/>
      <c r="C529" s="85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4"/>
      <c r="O529" s="82"/>
      <c r="P529" s="82"/>
      <c r="Q529" s="82"/>
      <c r="R529" s="63"/>
      <c r="S529" s="63"/>
      <c r="T529" s="63"/>
      <c r="U529" s="63"/>
      <c r="V529" s="63"/>
      <c r="W529" s="63"/>
      <c r="X529" s="63"/>
      <c r="Y529" s="82"/>
      <c r="Z529" s="82"/>
      <c r="AA529" s="82"/>
      <c r="AB529" s="82"/>
      <c r="AC529" s="82"/>
      <c r="AD529" s="82"/>
      <c r="AE529" s="82"/>
      <c r="AF529" s="63" t="str">
        <f t="shared" si="2"/>
        <v/>
      </c>
      <c r="AG529" s="82"/>
      <c r="AH529" s="82"/>
      <c r="AI529" s="82"/>
      <c r="AJ529" s="82"/>
      <c r="AK529" s="82"/>
      <c r="AL529" s="82"/>
      <c r="AM529" s="82"/>
      <c r="AN529" s="82"/>
      <c r="AO529" s="82"/>
      <c r="AP529" s="82"/>
      <c r="AQ529" s="82"/>
      <c r="AR529" s="82"/>
      <c r="AS529" s="82"/>
      <c r="AT529" s="82"/>
      <c r="AU529" s="82"/>
      <c r="AV529" s="82"/>
      <c r="AW529" s="82"/>
      <c r="AX529" s="82"/>
      <c r="AY529" s="82"/>
      <c r="AZ529" s="82"/>
      <c r="BA529" s="82"/>
      <c r="BB529" s="82"/>
      <c r="BC529" s="82"/>
      <c r="BD529" s="82"/>
      <c r="BE529" s="82"/>
      <c r="BF529" s="82"/>
      <c r="BG529" s="82"/>
      <c r="BH529" s="82"/>
      <c r="BI529" s="82"/>
      <c r="BJ529" s="82"/>
      <c r="BK529" s="82"/>
      <c r="BL529" s="82"/>
      <c r="BM529" s="82"/>
      <c r="BN529" s="82"/>
      <c r="BO529" s="82"/>
      <c r="BP529" s="82"/>
      <c r="BQ529" s="63"/>
      <c r="BR529" s="82"/>
      <c r="BS529" s="82"/>
      <c r="BT529" s="82"/>
      <c r="BU529" s="4"/>
    </row>
    <row r="530" spans="1:73" ht="12.75" x14ac:dyDescent="0.2">
      <c r="A530" s="1"/>
      <c r="B530" s="85"/>
      <c r="C530" s="85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4"/>
      <c r="O530" s="82"/>
      <c r="P530" s="82"/>
      <c r="Q530" s="82"/>
      <c r="R530" s="63"/>
      <c r="S530" s="63"/>
      <c r="T530" s="63"/>
      <c r="U530" s="63"/>
      <c r="V530" s="63"/>
      <c r="W530" s="63"/>
      <c r="X530" s="63"/>
      <c r="Y530" s="82"/>
      <c r="Z530" s="82"/>
      <c r="AA530" s="82"/>
      <c r="AB530" s="82"/>
      <c r="AC530" s="82"/>
      <c r="AD530" s="82"/>
      <c r="AE530" s="82"/>
      <c r="AF530" s="63" t="str">
        <f t="shared" si="2"/>
        <v/>
      </c>
      <c r="AG530" s="82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  <c r="AR530" s="82"/>
      <c r="AS530" s="82"/>
      <c r="AT530" s="82"/>
      <c r="AU530" s="82"/>
      <c r="AV530" s="82"/>
      <c r="AW530" s="82"/>
      <c r="AX530" s="82"/>
      <c r="AY530" s="82"/>
      <c r="AZ530" s="82"/>
      <c r="BA530" s="82"/>
      <c r="BB530" s="82"/>
      <c r="BC530" s="82"/>
      <c r="BD530" s="82"/>
      <c r="BE530" s="82"/>
      <c r="BF530" s="82"/>
      <c r="BG530" s="82"/>
      <c r="BH530" s="82"/>
      <c r="BI530" s="82"/>
      <c r="BJ530" s="82"/>
      <c r="BK530" s="82"/>
      <c r="BL530" s="82"/>
      <c r="BM530" s="82"/>
      <c r="BN530" s="82"/>
      <c r="BO530" s="82"/>
      <c r="BP530" s="82"/>
      <c r="BQ530" s="63"/>
      <c r="BR530" s="82"/>
      <c r="BS530" s="82"/>
      <c r="BT530" s="82"/>
      <c r="BU530" s="4"/>
    </row>
    <row r="531" spans="1:73" ht="12.75" x14ac:dyDescent="0.2">
      <c r="A531" s="1"/>
      <c r="B531" s="85"/>
      <c r="C531" s="85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4"/>
      <c r="O531" s="82"/>
      <c r="P531" s="82"/>
      <c r="Q531" s="82"/>
      <c r="R531" s="63"/>
      <c r="S531" s="63"/>
      <c r="T531" s="63"/>
      <c r="U531" s="63"/>
      <c r="V531" s="63"/>
      <c r="W531" s="63"/>
      <c r="X531" s="63"/>
      <c r="Y531" s="82"/>
      <c r="Z531" s="82"/>
      <c r="AA531" s="82"/>
      <c r="AB531" s="82"/>
      <c r="AC531" s="82"/>
      <c r="AD531" s="82"/>
      <c r="AE531" s="82"/>
      <c r="AF531" s="63" t="str">
        <f t="shared" si="2"/>
        <v/>
      </c>
      <c r="AG531" s="82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  <c r="AR531" s="82"/>
      <c r="AS531" s="82"/>
      <c r="AT531" s="82"/>
      <c r="AU531" s="82"/>
      <c r="AV531" s="82"/>
      <c r="AW531" s="82"/>
      <c r="AX531" s="82"/>
      <c r="AY531" s="82"/>
      <c r="AZ531" s="82"/>
      <c r="BA531" s="82"/>
      <c r="BB531" s="82"/>
      <c r="BC531" s="82"/>
      <c r="BD531" s="82"/>
      <c r="BE531" s="82"/>
      <c r="BF531" s="82"/>
      <c r="BG531" s="82"/>
      <c r="BH531" s="82"/>
      <c r="BI531" s="82"/>
      <c r="BJ531" s="82"/>
      <c r="BK531" s="82"/>
      <c r="BL531" s="82"/>
      <c r="BM531" s="82"/>
      <c r="BN531" s="82"/>
      <c r="BO531" s="82"/>
      <c r="BP531" s="82"/>
      <c r="BQ531" s="63"/>
      <c r="BR531" s="82"/>
      <c r="BS531" s="82"/>
      <c r="BT531" s="82"/>
      <c r="BU531" s="4"/>
    </row>
    <row r="532" spans="1:73" ht="12.75" x14ac:dyDescent="0.2">
      <c r="A532" s="1"/>
      <c r="B532" s="85"/>
      <c r="C532" s="85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4"/>
      <c r="O532" s="82"/>
      <c r="P532" s="82"/>
      <c r="Q532" s="82"/>
      <c r="R532" s="63"/>
      <c r="S532" s="63"/>
      <c r="T532" s="63"/>
      <c r="U532" s="63"/>
      <c r="V532" s="63"/>
      <c r="W532" s="63"/>
      <c r="X532" s="63"/>
      <c r="Y532" s="82"/>
      <c r="Z532" s="82"/>
      <c r="AA532" s="82"/>
      <c r="AB532" s="82"/>
      <c r="AC532" s="82"/>
      <c r="AD532" s="82"/>
      <c r="AE532" s="82"/>
      <c r="AF532" s="63" t="str">
        <f t="shared" si="2"/>
        <v/>
      </c>
      <c r="AG532" s="82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  <c r="AR532" s="82"/>
      <c r="AS532" s="82"/>
      <c r="AT532" s="82"/>
      <c r="AU532" s="82"/>
      <c r="AV532" s="82"/>
      <c r="AW532" s="82"/>
      <c r="AX532" s="82"/>
      <c r="AY532" s="82"/>
      <c r="AZ532" s="82"/>
      <c r="BA532" s="82"/>
      <c r="BB532" s="82"/>
      <c r="BC532" s="82"/>
      <c r="BD532" s="82"/>
      <c r="BE532" s="82"/>
      <c r="BF532" s="82"/>
      <c r="BG532" s="82"/>
      <c r="BH532" s="82"/>
      <c r="BI532" s="82"/>
      <c r="BJ532" s="82"/>
      <c r="BK532" s="82"/>
      <c r="BL532" s="82"/>
      <c r="BM532" s="82"/>
      <c r="BN532" s="82"/>
      <c r="BO532" s="82"/>
      <c r="BP532" s="82"/>
      <c r="BQ532" s="63"/>
      <c r="BR532" s="82"/>
      <c r="BS532" s="82"/>
      <c r="BT532" s="82"/>
      <c r="BU532" s="4"/>
    </row>
    <row r="533" spans="1:73" ht="12.75" x14ac:dyDescent="0.2">
      <c r="A533" s="1"/>
      <c r="B533" s="85"/>
      <c r="C533" s="85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4"/>
      <c r="O533" s="82"/>
      <c r="P533" s="82"/>
      <c r="Q533" s="82"/>
      <c r="R533" s="63"/>
      <c r="S533" s="63"/>
      <c r="T533" s="63"/>
      <c r="U533" s="63"/>
      <c r="V533" s="63"/>
      <c r="W533" s="63"/>
      <c r="X533" s="63"/>
      <c r="Y533" s="82"/>
      <c r="Z533" s="82"/>
      <c r="AA533" s="82"/>
      <c r="AB533" s="82"/>
      <c r="AC533" s="82"/>
      <c r="AD533" s="82"/>
      <c r="AE533" s="82"/>
      <c r="AF533" s="63" t="str">
        <f t="shared" si="2"/>
        <v/>
      </c>
      <c r="AG533" s="82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  <c r="AR533" s="82"/>
      <c r="AS533" s="82"/>
      <c r="AT533" s="82"/>
      <c r="AU533" s="82"/>
      <c r="AV533" s="82"/>
      <c r="AW533" s="82"/>
      <c r="AX533" s="82"/>
      <c r="AY533" s="82"/>
      <c r="AZ533" s="82"/>
      <c r="BA533" s="82"/>
      <c r="BB533" s="82"/>
      <c r="BC533" s="82"/>
      <c r="BD533" s="82"/>
      <c r="BE533" s="82"/>
      <c r="BF533" s="82"/>
      <c r="BG533" s="82"/>
      <c r="BH533" s="82"/>
      <c r="BI533" s="82"/>
      <c r="BJ533" s="82"/>
      <c r="BK533" s="82"/>
      <c r="BL533" s="82"/>
      <c r="BM533" s="82"/>
      <c r="BN533" s="82"/>
      <c r="BO533" s="82"/>
      <c r="BP533" s="82"/>
      <c r="BQ533" s="63"/>
      <c r="BR533" s="82"/>
      <c r="BS533" s="82"/>
      <c r="BT533" s="82"/>
      <c r="BU533" s="4"/>
    </row>
    <row r="534" spans="1:73" ht="12.75" x14ac:dyDescent="0.2">
      <c r="A534" s="1"/>
      <c r="B534" s="85"/>
      <c r="C534" s="85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4"/>
      <c r="O534" s="82"/>
      <c r="P534" s="82"/>
      <c r="Q534" s="82"/>
      <c r="R534" s="63"/>
      <c r="S534" s="63"/>
      <c r="T534" s="63"/>
      <c r="U534" s="63"/>
      <c r="V534" s="63"/>
      <c r="W534" s="63"/>
      <c r="X534" s="63"/>
      <c r="Y534" s="82"/>
      <c r="Z534" s="82"/>
      <c r="AA534" s="82"/>
      <c r="AB534" s="82"/>
      <c r="AC534" s="82"/>
      <c r="AD534" s="82"/>
      <c r="AE534" s="82"/>
      <c r="AF534" s="63" t="str">
        <f t="shared" si="2"/>
        <v/>
      </c>
      <c r="AG534" s="82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  <c r="AR534" s="82"/>
      <c r="AS534" s="82"/>
      <c r="AT534" s="82"/>
      <c r="AU534" s="82"/>
      <c r="AV534" s="82"/>
      <c r="AW534" s="82"/>
      <c r="AX534" s="82"/>
      <c r="AY534" s="82"/>
      <c r="AZ534" s="82"/>
      <c r="BA534" s="82"/>
      <c r="BB534" s="82"/>
      <c r="BC534" s="82"/>
      <c r="BD534" s="82"/>
      <c r="BE534" s="82"/>
      <c r="BF534" s="82"/>
      <c r="BG534" s="82"/>
      <c r="BH534" s="82"/>
      <c r="BI534" s="82"/>
      <c r="BJ534" s="82"/>
      <c r="BK534" s="82"/>
      <c r="BL534" s="82"/>
      <c r="BM534" s="82"/>
      <c r="BN534" s="82"/>
      <c r="BO534" s="82"/>
      <c r="BP534" s="82"/>
      <c r="BQ534" s="63"/>
      <c r="BR534" s="82"/>
      <c r="BS534" s="82"/>
      <c r="BT534" s="82"/>
      <c r="BU534" s="4"/>
    </row>
    <row r="535" spans="1:73" ht="12.75" x14ac:dyDescent="0.2">
      <c r="A535" s="1"/>
      <c r="B535" s="85"/>
      <c r="C535" s="85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4"/>
      <c r="O535" s="82"/>
      <c r="P535" s="82"/>
      <c r="Q535" s="82"/>
      <c r="R535" s="63"/>
      <c r="S535" s="63"/>
      <c r="T535" s="63"/>
      <c r="U535" s="63"/>
      <c r="V535" s="63"/>
      <c r="W535" s="63"/>
      <c r="X535" s="63"/>
      <c r="Y535" s="82"/>
      <c r="Z535" s="82"/>
      <c r="AA535" s="82"/>
      <c r="AB535" s="82"/>
      <c r="AC535" s="82"/>
      <c r="AD535" s="82"/>
      <c r="AE535" s="82"/>
      <c r="AF535" s="63" t="str">
        <f t="shared" si="2"/>
        <v/>
      </c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  <c r="AR535" s="82"/>
      <c r="AS535" s="82"/>
      <c r="AT535" s="82"/>
      <c r="AU535" s="82"/>
      <c r="AV535" s="82"/>
      <c r="AW535" s="82"/>
      <c r="AX535" s="82"/>
      <c r="AY535" s="82"/>
      <c r="AZ535" s="82"/>
      <c r="BA535" s="82"/>
      <c r="BB535" s="82"/>
      <c r="BC535" s="82"/>
      <c r="BD535" s="82"/>
      <c r="BE535" s="82"/>
      <c r="BF535" s="82"/>
      <c r="BG535" s="82"/>
      <c r="BH535" s="82"/>
      <c r="BI535" s="82"/>
      <c r="BJ535" s="82"/>
      <c r="BK535" s="82"/>
      <c r="BL535" s="82"/>
      <c r="BM535" s="82"/>
      <c r="BN535" s="82"/>
      <c r="BO535" s="82"/>
      <c r="BP535" s="82"/>
      <c r="BQ535" s="63"/>
      <c r="BR535" s="82"/>
      <c r="BS535" s="82"/>
      <c r="BT535" s="82"/>
      <c r="BU535" s="4"/>
    </row>
    <row r="536" spans="1:73" ht="12.75" x14ac:dyDescent="0.2">
      <c r="A536" s="1"/>
      <c r="B536" s="85"/>
      <c r="C536" s="85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4"/>
      <c r="O536" s="82"/>
      <c r="P536" s="82"/>
      <c r="Q536" s="82"/>
      <c r="R536" s="63"/>
      <c r="S536" s="63"/>
      <c r="T536" s="63"/>
      <c r="U536" s="63"/>
      <c r="V536" s="63"/>
      <c r="W536" s="63"/>
      <c r="X536" s="63"/>
      <c r="Y536" s="82"/>
      <c r="Z536" s="82"/>
      <c r="AA536" s="82"/>
      <c r="AB536" s="82"/>
      <c r="AC536" s="82"/>
      <c r="AD536" s="82"/>
      <c r="AE536" s="82"/>
      <c r="AF536" s="63" t="str">
        <f t="shared" si="2"/>
        <v/>
      </c>
      <c r="AG536" s="82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  <c r="AR536" s="82"/>
      <c r="AS536" s="82"/>
      <c r="AT536" s="82"/>
      <c r="AU536" s="82"/>
      <c r="AV536" s="82"/>
      <c r="AW536" s="82"/>
      <c r="AX536" s="82"/>
      <c r="AY536" s="82"/>
      <c r="AZ536" s="82"/>
      <c r="BA536" s="82"/>
      <c r="BB536" s="82"/>
      <c r="BC536" s="82"/>
      <c r="BD536" s="82"/>
      <c r="BE536" s="82"/>
      <c r="BF536" s="82"/>
      <c r="BG536" s="82"/>
      <c r="BH536" s="82"/>
      <c r="BI536" s="82"/>
      <c r="BJ536" s="82"/>
      <c r="BK536" s="82"/>
      <c r="BL536" s="82"/>
      <c r="BM536" s="82"/>
      <c r="BN536" s="82"/>
      <c r="BO536" s="82"/>
      <c r="BP536" s="82"/>
      <c r="BQ536" s="63"/>
      <c r="BR536" s="82"/>
      <c r="BS536" s="82"/>
      <c r="BT536" s="82"/>
      <c r="BU536" s="4"/>
    </row>
    <row r="537" spans="1:73" ht="12.75" x14ac:dyDescent="0.2">
      <c r="A537" s="1"/>
      <c r="B537" s="85"/>
      <c r="C537" s="85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4"/>
      <c r="O537" s="82"/>
      <c r="P537" s="82"/>
      <c r="Q537" s="82"/>
      <c r="R537" s="63"/>
      <c r="S537" s="63"/>
      <c r="T537" s="63"/>
      <c r="U537" s="63"/>
      <c r="V537" s="63"/>
      <c r="W537" s="63"/>
      <c r="X537" s="63"/>
      <c r="Y537" s="82"/>
      <c r="Z537" s="82"/>
      <c r="AA537" s="82"/>
      <c r="AB537" s="82"/>
      <c r="AC537" s="82"/>
      <c r="AD537" s="82"/>
      <c r="AE537" s="82"/>
      <c r="AF537" s="63" t="str">
        <f t="shared" si="2"/>
        <v/>
      </c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  <c r="AS537" s="82"/>
      <c r="AT537" s="82"/>
      <c r="AU537" s="82"/>
      <c r="AV537" s="82"/>
      <c r="AW537" s="82"/>
      <c r="AX537" s="82"/>
      <c r="AY537" s="82"/>
      <c r="AZ537" s="82"/>
      <c r="BA537" s="82"/>
      <c r="BB537" s="82"/>
      <c r="BC537" s="82"/>
      <c r="BD537" s="82"/>
      <c r="BE537" s="82"/>
      <c r="BF537" s="82"/>
      <c r="BG537" s="82"/>
      <c r="BH537" s="82"/>
      <c r="BI537" s="82"/>
      <c r="BJ537" s="82"/>
      <c r="BK537" s="82"/>
      <c r="BL537" s="82"/>
      <c r="BM537" s="82"/>
      <c r="BN537" s="82"/>
      <c r="BO537" s="82"/>
      <c r="BP537" s="82"/>
      <c r="BQ537" s="63"/>
      <c r="BR537" s="82"/>
      <c r="BS537" s="82"/>
      <c r="BT537" s="82"/>
      <c r="BU537" s="4"/>
    </row>
    <row r="538" spans="1:73" ht="12.75" x14ac:dyDescent="0.2">
      <c r="A538" s="1"/>
      <c r="B538" s="85"/>
      <c r="C538" s="85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4"/>
      <c r="O538" s="82"/>
      <c r="P538" s="82"/>
      <c r="Q538" s="82"/>
      <c r="R538" s="63"/>
      <c r="S538" s="63"/>
      <c r="T538" s="63"/>
      <c r="U538" s="63"/>
      <c r="V538" s="63"/>
      <c r="W538" s="63"/>
      <c r="X538" s="63"/>
      <c r="Y538" s="82"/>
      <c r="Z538" s="82"/>
      <c r="AA538" s="82"/>
      <c r="AB538" s="82"/>
      <c r="AC538" s="82"/>
      <c r="AD538" s="82"/>
      <c r="AE538" s="82"/>
      <c r="AF538" s="63" t="str">
        <f t="shared" si="2"/>
        <v/>
      </c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/>
      <c r="AU538" s="82"/>
      <c r="AV538" s="82"/>
      <c r="AW538" s="82"/>
      <c r="AX538" s="82"/>
      <c r="AY538" s="82"/>
      <c r="AZ538" s="82"/>
      <c r="BA538" s="82"/>
      <c r="BB538" s="82"/>
      <c r="BC538" s="82"/>
      <c r="BD538" s="82"/>
      <c r="BE538" s="82"/>
      <c r="BF538" s="82"/>
      <c r="BG538" s="82"/>
      <c r="BH538" s="82"/>
      <c r="BI538" s="82"/>
      <c r="BJ538" s="82"/>
      <c r="BK538" s="82"/>
      <c r="BL538" s="82"/>
      <c r="BM538" s="82"/>
      <c r="BN538" s="82"/>
      <c r="BO538" s="82"/>
      <c r="BP538" s="82"/>
      <c r="BQ538" s="63"/>
      <c r="BR538" s="82"/>
      <c r="BS538" s="82"/>
      <c r="BT538" s="82"/>
      <c r="BU538" s="4"/>
    </row>
    <row r="539" spans="1:73" ht="12.75" x14ac:dyDescent="0.2">
      <c r="A539" s="1"/>
      <c r="B539" s="85"/>
      <c r="C539" s="85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4"/>
      <c r="O539" s="82"/>
      <c r="P539" s="82"/>
      <c r="Q539" s="82"/>
      <c r="R539" s="63"/>
      <c r="S539" s="63"/>
      <c r="T539" s="63"/>
      <c r="U539" s="63"/>
      <c r="V539" s="63"/>
      <c r="W539" s="63"/>
      <c r="X539" s="63"/>
      <c r="Y539" s="82"/>
      <c r="Z539" s="82"/>
      <c r="AA539" s="82"/>
      <c r="AB539" s="82"/>
      <c r="AC539" s="82"/>
      <c r="AD539" s="82"/>
      <c r="AE539" s="82"/>
      <c r="AF539" s="63" t="str">
        <f t="shared" si="2"/>
        <v/>
      </c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  <c r="AS539" s="82"/>
      <c r="AT539" s="82"/>
      <c r="AU539" s="82"/>
      <c r="AV539" s="82"/>
      <c r="AW539" s="82"/>
      <c r="AX539" s="82"/>
      <c r="AY539" s="82"/>
      <c r="AZ539" s="82"/>
      <c r="BA539" s="82"/>
      <c r="BB539" s="82"/>
      <c r="BC539" s="82"/>
      <c r="BD539" s="82"/>
      <c r="BE539" s="82"/>
      <c r="BF539" s="82"/>
      <c r="BG539" s="82"/>
      <c r="BH539" s="82"/>
      <c r="BI539" s="82"/>
      <c r="BJ539" s="82"/>
      <c r="BK539" s="82"/>
      <c r="BL539" s="82"/>
      <c r="BM539" s="82"/>
      <c r="BN539" s="82"/>
      <c r="BO539" s="82"/>
      <c r="BP539" s="82"/>
      <c r="BQ539" s="63"/>
      <c r="BR539" s="82"/>
      <c r="BS539" s="82"/>
      <c r="BT539" s="82"/>
      <c r="BU539" s="4"/>
    </row>
    <row r="540" spans="1:73" ht="12.75" x14ac:dyDescent="0.2">
      <c r="A540" s="1"/>
      <c r="B540" s="85"/>
      <c r="C540" s="85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4"/>
      <c r="O540" s="82"/>
      <c r="P540" s="82"/>
      <c r="Q540" s="82"/>
      <c r="R540" s="63"/>
      <c r="S540" s="63"/>
      <c r="T540" s="63"/>
      <c r="U540" s="63"/>
      <c r="V540" s="63"/>
      <c r="W540" s="63"/>
      <c r="X540" s="63"/>
      <c r="Y540" s="82"/>
      <c r="Z540" s="82"/>
      <c r="AA540" s="82"/>
      <c r="AB540" s="82"/>
      <c r="AC540" s="82"/>
      <c r="AD540" s="82"/>
      <c r="AE540" s="82"/>
      <c r="AF540" s="63" t="str">
        <f t="shared" si="2"/>
        <v/>
      </c>
      <c r="AG540" s="82"/>
      <c r="AH540" s="82"/>
      <c r="AI540" s="82"/>
      <c r="AJ540" s="82"/>
      <c r="AK540" s="82"/>
      <c r="AL540" s="82"/>
      <c r="AM540" s="82"/>
      <c r="AN540" s="82"/>
      <c r="AO540" s="82"/>
      <c r="AP540" s="82"/>
      <c r="AQ540" s="82"/>
      <c r="AR540" s="82"/>
      <c r="AS540" s="82"/>
      <c r="AT540" s="82"/>
      <c r="AU540" s="82"/>
      <c r="AV540" s="82"/>
      <c r="AW540" s="82"/>
      <c r="AX540" s="82"/>
      <c r="AY540" s="82"/>
      <c r="AZ540" s="82"/>
      <c r="BA540" s="82"/>
      <c r="BB540" s="82"/>
      <c r="BC540" s="82"/>
      <c r="BD540" s="82"/>
      <c r="BE540" s="82"/>
      <c r="BF540" s="82"/>
      <c r="BG540" s="82"/>
      <c r="BH540" s="82"/>
      <c r="BI540" s="82"/>
      <c r="BJ540" s="82"/>
      <c r="BK540" s="82"/>
      <c r="BL540" s="82"/>
      <c r="BM540" s="82"/>
      <c r="BN540" s="82"/>
      <c r="BO540" s="82"/>
      <c r="BP540" s="82"/>
      <c r="BQ540" s="63"/>
      <c r="BR540" s="82"/>
      <c r="BS540" s="82"/>
      <c r="BT540" s="82"/>
      <c r="BU540" s="4"/>
    </row>
    <row r="541" spans="1:73" ht="12.75" x14ac:dyDescent="0.2">
      <c r="A541" s="1"/>
      <c r="B541" s="85"/>
      <c r="C541" s="85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4"/>
      <c r="O541" s="82"/>
      <c r="P541" s="82"/>
      <c r="Q541" s="82"/>
      <c r="R541" s="63"/>
      <c r="S541" s="63"/>
      <c r="T541" s="63"/>
      <c r="U541" s="63"/>
      <c r="V541" s="63"/>
      <c r="W541" s="63"/>
      <c r="X541" s="63"/>
      <c r="Y541" s="82"/>
      <c r="Z541" s="82"/>
      <c r="AA541" s="82"/>
      <c r="AB541" s="82"/>
      <c r="AC541" s="82"/>
      <c r="AD541" s="82"/>
      <c r="AE541" s="82"/>
      <c r="AF541" s="63" t="str">
        <f t="shared" si="2"/>
        <v/>
      </c>
      <c r="AG541" s="82"/>
      <c r="AH541" s="82"/>
      <c r="AI541" s="82"/>
      <c r="AJ541" s="82"/>
      <c r="AK541" s="82"/>
      <c r="AL541" s="82"/>
      <c r="AM541" s="82"/>
      <c r="AN541" s="82"/>
      <c r="AO541" s="82"/>
      <c r="AP541" s="82"/>
      <c r="AQ541" s="82"/>
      <c r="AR541" s="82"/>
      <c r="AS541" s="82"/>
      <c r="AT541" s="82"/>
      <c r="AU541" s="82"/>
      <c r="AV541" s="82"/>
      <c r="AW541" s="82"/>
      <c r="AX541" s="82"/>
      <c r="AY541" s="82"/>
      <c r="AZ541" s="82"/>
      <c r="BA541" s="82"/>
      <c r="BB541" s="82"/>
      <c r="BC541" s="82"/>
      <c r="BD541" s="82"/>
      <c r="BE541" s="82"/>
      <c r="BF541" s="82"/>
      <c r="BG541" s="82"/>
      <c r="BH541" s="82"/>
      <c r="BI541" s="82"/>
      <c r="BJ541" s="82"/>
      <c r="BK541" s="82"/>
      <c r="BL541" s="82"/>
      <c r="BM541" s="82"/>
      <c r="BN541" s="82"/>
      <c r="BO541" s="82"/>
      <c r="BP541" s="82"/>
      <c r="BQ541" s="63"/>
      <c r="BR541" s="82"/>
      <c r="BS541" s="82"/>
      <c r="BT541" s="82"/>
      <c r="BU541" s="4"/>
    </row>
    <row r="542" spans="1:73" ht="12.75" x14ac:dyDescent="0.2">
      <c r="A542" s="1"/>
      <c r="B542" s="85"/>
      <c r="C542" s="85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4"/>
      <c r="O542" s="82"/>
      <c r="P542" s="82"/>
      <c r="Q542" s="82"/>
      <c r="R542" s="63"/>
      <c r="S542" s="63"/>
      <c r="T542" s="63"/>
      <c r="U542" s="63"/>
      <c r="V542" s="63"/>
      <c r="W542" s="63"/>
      <c r="X542" s="63"/>
      <c r="Y542" s="82"/>
      <c r="Z542" s="82"/>
      <c r="AA542" s="82"/>
      <c r="AB542" s="82"/>
      <c r="AC542" s="82"/>
      <c r="AD542" s="82"/>
      <c r="AE542" s="82"/>
      <c r="AF542" s="63" t="str">
        <f t="shared" si="2"/>
        <v/>
      </c>
      <c r="AG542" s="82"/>
      <c r="AH542" s="82"/>
      <c r="AI542" s="82"/>
      <c r="AJ542" s="82"/>
      <c r="AK542" s="82"/>
      <c r="AL542" s="82"/>
      <c r="AM542" s="82"/>
      <c r="AN542" s="82"/>
      <c r="AO542" s="82"/>
      <c r="AP542" s="82"/>
      <c r="AQ542" s="82"/>
      <c r="AR542" s="82"/>
      <c r="AS542" s="82"/>
      <c r="AT542" s="82"/>
      <c r="AU542" s="82"/>
      <c r="AV542" s="82"/>
      <c r="AW542" s="82"/>
      <c r="AX542" s="82"/>
      <c r="AY542" s="82"/>
      <c r="AZ542" s="82"/>
      <c r="BA542" s="82"/>
      <c r="BB542" s="82"/>
      <c r="BC542" s="82"/>
      <c r="BD542" s="82"/>
      <c r="BE542" s="82"/>
      <c r="BF542" s="82"/>
      <c r="BG542" s="82"/>
      <c r="BH542" s="82"/>
      <c r="BI542" s="82"/>
      <c r="BJ542" s="82"/>
      <c r="BK542" s="82"/>
      <c r="BL542" s="82"/>
      <c r="BM542" s="82"/>
      <c r="BN542" s="82"/>
      <c r="BO542" s="82"/>
      <c r="BP542" s="82"/>
      <c r="BQ542" s="63"/>
      <c r="BR542" s="82"/>
      <c r="BS542" s="82"/>
      <c r="BT542" s="82"/>
      <c r="BU542" s="4"/>
    </row>
    <row r="543" spans="1:73" ht="12.75" x14ac:dyDescent="0.2">
      <c r="A543" s="1"/>
      <c r="B543" s="85"/>
      <c r="C543" s="85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4"/>
      <c r="O543" s="82"/>
      <c r="P543" s="82"/>
      <c r="Q543" s="82"/>
      <c r="R543" s="63"/>
      <c r="S543" s="63"/>
      <c r="T543" s="63"/>
      <c r="U543" s="63"/>
      <c r="V543" s="63"/>
      <c r="W543" s="63"/>
      <c r="X543" s="63"/>
      <c r="Y543" s="82"/>
      <c r="Z543" s="82"/>
      <c r="AA543" s="82"/>
      <c r="AB543" s="82"/>
      <c r="AC543" s="82"/>
      <c r="AD543" s="82"/>
      <c r="AE543" s="82"/>
      <c r="AF543" s="63" t="str">
        <f t="shared" si="2"/>
        <v/>
      </c>
      <c r="AG543" s="82"/>
      <c r="AH543" s="82"/>
      <c r="AI543" s="82"/>
      <c r="AJ543" s="82"/>
      <c r="AK543" s="82"/>
      <c r="AL543" s="82"/>
      <c r="AM543" s="82"/>
      <c r="AN543" s="82"/>
      <c r="AO543" s="82"/>
      <c r="AP543" s="82"/>
      <c r="AQ543" s="82"/>
      <c r="AR543" s="82"/>
      <c r="AS543" s="82"/>
      <c r="AT543" s="82"/>
      <c r="AU543" s="82"/>
      <c r="AV543" s="82"/>
      <c r="AW543" s="82"/>
      <c r="AX543" s="82"/>
      <c r="AY543" s="82"/>
      <c r="AZ543" s="82"/>
      <c r="BA543" s="82"/>
      <c r="BB543" s="82"/>
      <c r="BC543" s="82"/>
      <c r="BD543" s="82"/>
      <c r="BE543" s="82"/>
      <c r="BF543" s="82"/>
      <c r="BG543" s="82"/>
      <c r="BH543" s="82"/>
      <c r="BI543" s="82"/>
      <c r="BJ543" s="82"/>
      <c r="BK543" s="82"/>
      <c r="BL543" s="82"/>
      <c r="BM543" s="82"/>
      <c r="BN543" s="82"/>
      <c r="BO543" s="82"/>
      <c r="BP543" s="82"/>
      <c r="BQ543" s="63"/>
      <c r="BR543" s="82"/>
      <c r="BS543" s="82"/>
      <c r="BT543" s="82"/>
      <c r="BU543" s="4"/>
    </row>
    <row r="544" spans="1:73" ht="12.75" x14ac:dyDescent="0.2">
      <c r="A544" s="1"/>
      <c r="B544" s="85"/>
      <c r="C544" s="85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4"/>
      <c r="O544" s="82"/>
      <c r="P544" s="82"/>
      <c r="Q544" s="82"/>
      <c r="R544" s="63"/>
      <c r="S544" s="63"/>
      <c r="T544" s="63"/>
      <c r="U544" s="63"/>
      <c r="V544" s="63"/>
      <c r="W544" s="63"/>
      <c r="X544" s="63"/>
      <c r="Y544" s="82"/>
      <c r="Z544" s="82"/>
      <c r="AA544" s="82"/>
      <c r="AB544" s="82"/>
      <c r="AC544" s="82"/>
      <c r="AD544" s="82"/>
      <c r="AE544" s="82"/>
      <c r="AF544" s="63" t="str">
        <f t="shared" si="2"/>
        <v/>
      </c>
      <c r="AG544" s="82"/>
      <c r="AH544" s="82"/>
      <c r="AI544" s="82"/>
      <c r="AJ544" s="82"/>
      <c r="AK544" s="82"/>
      <c r="AL544" s="82"/>
      <c r="AM544" s="82"/>
      <c r="AN544" s="82"/>
      <c r="AO544" s="82"/>
      <c r="AP544" s="82"/>
      <c r="AQ544" s="82"/>
      <c r="AR544" s="82"/>
      <c r="AS544" s="82"/>
      <c r="AT544" s="82"/>
      <c r="AU544" s="82"/>
      <c r="AV544" s="82"/>
      <c r="AW544" s="82"/>
      <c r="AX544" s="82"/>
      <c r="AY544" s="82"/>
      <c r="AZ544" s="82"/>
      <c r="BA544" s="82"/>
      <c r="BB544" s="82"/>
      <c r="BC544" s="82"/>
      <c r="BD544" s="82"/>
      <c r="BE544" s="82"/>
      <c r="BF544" s="82"/>
      <c r="BG544" s="82"/>
      <c r="BH544" s="82"/>
      <c r="BI544" s="82"/>
      <c r="BJ544" s="82"/>
      <c r="BK544" s="82"/>
      <c r="BL544" s="82"/>
      <c r="BM544" s="82"/>
      <c r="BN544" s="82"/>
      <c r="BO544" s="82"/>
      <c r="BP544" s="82"/>
      <c r="BQ544" s="63"/>
      <c r="BR544" s="82"/>
      <c r="BS544" s="82"/>
      <c r="BT544" s="82"/>
      <c r="BU544" s="4"/>
    </row>
    <row r="545" spans="1:73" ht="12.75" x14ac:dyDescent="0.2">
      <c r="A545" s="1"/>
      <c r="B545" s="85"/>
      <c r="C545" s="85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4"/>
      <c r="O545" s="82"/>
      <c r="P545" s="82"/>
      <c r="Q545" s="82"/>
      <c r="R545" s="63"/>
      <c r="S545" s="63"/>
      <c r="T545" s="63"/>
      <c r="U545" s="63"/>
      <c r="V545" s="63"/>
      <c r="W545" s="63"/>
      <c r="X545" s="63"/>
      <c r="Y545" s="82"/>
      <c r="Z545" s="82"/>
      <c r="AA545" s="82"/>
      <c r="AB545" s="82"/>
      <c r="AC545" s="82"/>
      <c r="AD545" s="82"/>
      <c r="AE545" s="82"/>
      <c r="AF545" s="63" t="str">
        <f t="shared" si="2"/>
        <v/>
      </c>
      <c r="AG545" s="82"/>
      <c r="AH545" s="82"/>
      <c r="AI545" s="82"/>
      <c r="AJ545" s="82"/>
      <c r="AK545" s="82"/>
      <c r="AL545" s="82"/>
      <c r="AM545" s="82"/>
      <c r="AN545" s="82"/>
      <c r="AO545" s="82"/>
      <c r="AP545" s="82"/>
      <c r="AQ545" s="82"/>
      <c r="AR545" s="82"/>
      <c r="AS545" s="82"/>
      <c r="AT545" s="82"/>
      <c r="AU545" s="82"/>
      <c r="AV545" s="82"/>
      <c r="AW545" s="82"/>
      <c r="AX545" s="82"/>
      <c r="AY545" s="82"/>
      <c r="AZ545" s="82"/>
      <c r="BA545" s="82"/>
      <c r="BB545" s="82"/>
      <c r="BC545" s="82"/>
      <c r="BD545" s="82"/>
      <c r="BE545" s="82"/>
      <c r="BF545" s="82"/>
      <c r="BG545" s="82"/>
      <c r="BH545" s="82"/>
      <c r="BI545" s="82"/>
      <c r="BJ545" s="82"/>
      <c r="BK545" s="82"/>
      <c r="BL545" s="82"/>
      <c r="BM545" s="82"/>
      <c r="BN545" s="82"/>
      <c r="BO545" s="82"/>
      <c r="BP545" s="82"/>
      <c r="BQ545" s="63"/>
      <c r="BR545" s="82"/>
      <c r="BS545" s="82"/>
      <c r="BT545" s="82"/>
      <c r="BU545" s="4"/>
    </row>
    <row r="546" spans="1:73" ht="12.75" x14ac:dyDescent="0.2">
      <c r="A546" s="1"/>
      <c r="B546" s="85"/>
      <c r="C546" s="85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4"/>
      <c r="O546" s="82"/>
      <c r="P546" s="82"/>
      <c r="Q546" s="82"/>
      <c r="R546" s="63"/>
      <c r="S546" s="63"/>
      <c r="T546" s="63"/>
      <c r="U546" s="63"/>
      <c r="V546" s="63"/>
      <c r="W546" s="63"/>
      <c r="X546" s="63"/>
      <c r="Y546" s="82"/>
      <c r="Z546" s="82"/>
      <c r="AA546" s="82"/>
      <c r="AB546" s="82"/>
      <c r="AC546" s="82"/>
      <c r="AD546" s="82"/>
      <c r="AE546" s="82"/>
      <c r="AF546" s="63" t="str">
        <f t="shared" si="2"/>
        <v/>
      </c>
      <c r="AG546" s="82"/>
      <c r="AH546" s="82"/>
      <c r="AI546" s="82"/>
      <c r="AJ546" s="82"/>
      <c r="AK546" s="82"/>
      <c r="AL546" s="82"/>
      <c r="AM546" s="82"/>
      <c r="AN546" s="82"/>
      <c r="AO546" s="82"/>
      <c r="AP546" s="82"/>
      <c r="AQ546" s="82"/>
      <c r="AR546" s="82"/>
      <c r="AS546" s="82"/>
      <c r="AT546" s="82"/>
      <c r="AU546" s="82"/>
      <c r="AV546" s="82"/>
      <c r="AW546" s="82"/>
      <c r="AX546" s="82"/>
      <c r="AY546" s="82"/>
      <c r="AZ546" s="82"/>
      <c r="BA546" s="82"/>
      <c r="BB546" s="82"/>
      <c r="BC546" s="82"/>
      <c r="BD546" s="82"/>
      <c r="BE546" s="82"/>
      <c r="BF546" s="82"/>
      <c r="BG546" s="82"/>
      <c r="BH546" s="82"/>
      <c r="BI546" s="82"/>
      <c r="BJ546" s="82"/>
      <c r="BK546" s="82"/>
      <c r="BL546" s="82"/>
      <c r="BM546" s="82"/>
      <c r="BN546" s="82"/>
      <c r="BO546" s="82"/>
      <c r="BP546" s="82"/>
      <c r="BQ546" s="63"/>
      <c r="BR546" s="82"/>
      <c r="BS546" s="82"/>
      <c r="BT546" s="82"/>
      <c r="BU546" s="4"/>
    </row>
    <row r="547" spans="1:73" ht="12.75" x14ac:dyDescent="0.2">
      <c r="A547" s="1"/>
      <c r="B547" s="85"/>
      <c r="C547" s="85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4"/>
      <c r="O547" s="82"/>
      <c r="P547" s="82"/>
      <c r="Q547" s="82"/>
      <c r="R547" s="63"/>
      <c r="S547" s="63"/>
      <c r="T547" s="63"/>
      <c r="U547" s="63"/>
      <c r="V547" s="63"/>
      <c r="W547" s="63"/>
      <c r="X547" s="63"/>
      <c r="Y547" s="82"/>
      <c r="Z547" s="82"/>
      <c r="AA547" s="82"/>
      <c r="AB547" s="82"/>
      <c r="AC547" s="82"/>
      <c r="AD547" s="82"/>
      <c r="AE547" s="82"/>
      <c r="AF547" s="63" t="str">
        <f t="shared" si="2"/>
        <v/>
      </c>
      <c r="AG547" s="82"/>
      <c r="AH547" s="82"/>
      <c r="AI547" s="82"/>
      <c r="AJ547" s="82"/>
      <c r="AK547" s="82"/>
      <c r="AL547" s="82"/>
      <c r="AM547" s="82"/>
      <c r="AN547" s="82"/>
      <c r="AO547" s="82"/>
      <c r="AP547" s="82"/>
      <c r="AQ547" s="82"/>
      <c r="AR547" s="82"/>
      <c r="AS547" s="82"/>
      <c r="AT547" s="82"/>
      <c r="AU547" s="82"/>
      <c r="AV547" s="82"/>
      <c r="AW547" s="82"/>
      <c r="AX547" s="82"/>
      <c r="AY547" s="82"/>
      <c r="AZ547" s="82"/>
      <c r="BA547" s="82"/>
      <c r="BB547" s="82"/>
      <c r="BC547" s="82"/>
      <c r="BD547" s="82"/>
      <c r="BE547" s="82"/>
      <c r="BF547" s="82"/>
      <c r="BG547" s="82"/>
      <c r="BH547" s="82"/>
      <c r="BI547" s="82"/>
      <c r="BJ547" s="82"/>
      <c r="BK547" s="82"/>
      <c r="BL547" s="82"/>
      <c r="BM547" s="82"/>
      <c r="BN547" s="82"/>
      <c r="BO547" s="82"/>
      <c r="BP547" s="82"/>
      <c r="BQ547" s="63"/>
      <c r="BR547" s="82"/>
      <c r="BS547" s="82"/>
      <c r="BT547" s="82"/>
      <c r="BU547" s="4"/>
    </row>
    <row r="548" spans="1:73" ht="12.75" x14ac:dyDescent="0.2">
      <c r="A548" s="1"/>
      <c r="B548" s="85"/>
      <c r="C548" s="85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4"/>
      <c r="O548" s="82"/>
      <c r="P548" s="82"/>
      <c r="Q548" s="82"/>
      <c r="R548" s="63"/>
      <c r="S548" s="63"/>
      <c r="T548" s="63"/>
      <c r="U548" s="63"/>
      <c r="V548" s="63"/>
      <c r="W548" s="63"/>
      <c r="X548" s="63"/>
      <c r="Y548" s="82"/>
      <c r="Z548" s="82"/>
      <c r="AA548" s="82"/>
      <c r="AB548" s="82"/>
      <c r="AC548" s="82"/>
      <c r="AD548" s="82"/>
      <c r="AE548" s="82"/>
      <c r="AF548" s="63" t="str">
        <f t="shared" si="2"/>
        <v/>
      </c>
      <c r="AG548" s="82"/>
      <c r="AH548" s="82"/>
      <c r="AI548" s="82"/>
      <c r="AJ548" s="82"/>
      <c r="AK548" s="82"/>
      <c r="AL548" s="82"/>
      <c r="AM548" s="82"/>
      <c r="AN548" s="82"/>
      <c r="AO548" s="82"/>
      <c r="AP548" s="82"/>
      <c r="AQ548" s="82"/>
      <c r="AR548" s="82"/>
      <c r="AS548" s="82"/>
      <c r="AT548" s="82"/>
      <c r="AU548" s="82"/>
      <c r="AV548" s="82"/>
      <c r="AW548" s="82"/>
      <c r="AX548" s="82"/>
      <c r="AY548" s="82"/>
      <c r="AZ548" s="82"/>
      <c r="BA548" s="82"/>
      <c r="BB548" s="82"/>
      <c r="BC548" s="82"/>
      <c r="BD548" s="82"/>
      <c r="BE548" s="82"/>
      <c r="BF548" s="82"/>
      <c r="BG548" s="82"/>
      <c r="BH548" s="82"/>
      <c r="BI548" s="82"/>
      <c r="BJ548" s="82"/>
      <c r="BK548" s="82"/>
      <c r="BL548" s="82"/>
      <c r="BM548" s="82"/>
      <c r="BN548" s="82"/>
      <c r="BO548" s="82"/>
      <c r="BP548" s="82"/>
      <c r="BQ548" s="63"/>
      <c r="BR548" s="82"/>
      <c r="BS548" s="82"/>
      <c r="BT548" s="82"/>
      <c r="BU548" s="4"/>
    </row>
    <row r="549" spans="1:73" ht="12.75" x14ac:dyDescent="0.2">
      <c r="A549" s="1"/>
      <c r="B549" s="85"/>
      <c r="C549" s="85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4"/>
      <c r="O549" s="82"/>
      <c r="P549" s="82"/>
      <c r="Q549" s="82"/>
      <c r="R549" s="63"/>
      <c r="S549" s="63"/>
      <c r="T549" s="63"/>
      <c r="U549" s="63"/>
      <c r="V549" s="63"/>
      <c r="W549" s="63"/>
      <c r="X549" s="63"/>
      <c r="Y549" s="82"/>
      <c r="Z549" s="82"/>
      <c r="AA549" s="82"/>
      <c r="AB549" s="82"/>
      <c r="AC549" s="82"/>
      <c r="AD549" s="82"/>
      <c r="AE549" s="82"/>
      <c r="AF549" s="63" t="str">
        <f t="shared" si="2"/>
        <v/>
      </c>
      <c r="AG549" s="82"/>
      <c r="AH549" s="82"/>
      <c r="AI549" s="82"/>
      <c r="AJ549" s="82"/>
      <c r="AK549" s="82"/>
      <c r="AL549" s="82"/>
      <c r="AM549" s="82"/>
      <c r="AN549" s="82"/>
      <c r="AO549" s="82"/>
      <c r="AP549" s="82"/>
      <c r="AQ549" s="82"/>
      <c r="AR549" s="82"/>
      <c r="AS549" s="82"/>
      <c r="AT549" s="82"/>
      <c r="AU549" s="82"/>
      <c r="AV549" s="82"/>
      <c r="AW549" s="82"/>
      <c r="AX549" s="82"/>
      <c r="AY549" s="82"/>
      <c r="AZ549" s="82"/>
      <c r="BA549" s="82"/>
      <c r="BB549" s="82"/>
      <c r="BC549" s="82"/>
      <c r="BD549" s="82"/>
      <c r="BE549" s="82"/>
      <c r="BF549" s="82"/>
      <c r="BG549" s="82"/>
      <c r="BH549" s="82"/>
      <c r="BI549" s="82"/>
      <c r="BJ549" s="82"/>
      <c r="BK549" s="82"/>
      <c r="BL549" s="82"/>
      <c r="BM549" s="82"/>
      <c r="BN549" s="82"/>
      <c r="BO549" s="82"/>
      <c r="BP549" s="82"/>
      <c r="BQ549" s="63"/>
      <c r="BR549" s="82"/>
      <c r="BS549" s="82"/>
      <c r="BT549" s="82"/>
      <c r="BU549" s="4"/>
    </row>
    <row r="550" spans="1:73" ht="12.75" x14ac:dyDescent="0.2">
      <c r="A550" s="1"/>
      <c r="B550" s="85"/>
      <c r="C550" s="85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4"/>
      <c r="O550" s="82"/>
      <c r="P550" s="82"/>
      <c r="Q550" s="82"/>
      <c r="R550" s="63"/>
      <c r="S550" s="63"/>
      <c r="T550" s="63"/>
      <c r="U550" s="63"/>
      <c r="V550" s="63"/>
      <c r="W550" s="63"/>
      <c r="X550" s="63"/>
      <c r="Y550" s="82"/>
      <c r="Z550" s="82"/>
      <c r="AA550" s="82"/>
      <c r="AB550" s="82"/>
      <c r="AC550" s="82"/>
      <c r="AD550" s="82"/>
      <c r="AE550" s="82"/>
      <c r="AF550" s="63" t="str">
        <f t="shared" si="2"/>
        <v/>
      </c>
      <c r="AG550" s="82"/>
      <c r="AH550" s="82"/>
      <c r="AI550" s="82"/>
      <c r="AJ550" s="82"/>
      <c r="AK550" s="82"/>
      <c r="AL550" s="82"/>
      <c r="AM550" s="82"/>
      <c r="AN550" s="82"/>
      <c r="AO550" s="82"/>
      <c r="AP550" s="82"/>
      <c r="AQ550" s="82"/>
      <c r="AR550" s="82"/>
      <c r="AS550" s="82"/>
      <c r="AT550" s="82"/>
      <c r="AU550" s="82"/>
      <c r="AV550" s="82"/>
      <c r="AW550" s="82"/>
      <c r="AX550" s="82"/>
      <c r="AY550" s="82"/>
      <c r="AZ550" s="82"/>
      <c r="BA550" s="82"/>
      <c r="BB550" s="82"/>
      <c r="BC550" s="82"/>
      <c r="BD550" s="82"/>
      <c r="BE550" s="82"/>
      <c r="BF550" s="82"/>
      <c r="BG550" s="82"/>
      <c r="BH550" s="82"/>
      <c r="BI550" s="82"/>
      <c r="BJ550" s="82"/>
      <c r="BK550" s="82"/>
      <c r="BL550" s="82"/>
      <c r="BM550" s="82"/>
      <c r="BN550" s="82"/>
      <c r="BO550" s="82"/>
      <c r="BP550" s="82"/>
      <c r="BQ550" s="63"/>
      <c r="BR550" s="82"/>
      <c r="BS550" s="82"/>
      <c r="BT550" s="82"/>
      <c r="BU550" s="4"/>
    </row>
    <row r="551" spans="1:73" ht="12.75" x14ac:dyDescent="0.2">
      <c r="A551" s="1"/>
      <c r="B551" s="85"/>
      <c r="C551" s="85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4"/>
      <c r="O551" s="82"/>
      <c r="P551" s="82"/>
      <c r="Q551" s="82"/>
      <c r="R551" s="63"/>
      <c r="S551" s="63"/>
      <c r="T551" s="63"/>
      <c r="U551" s="63"/>
      <c r="V551" s="63"/>
      <c r="W551" s="63"/>
      <c r="X551" s="63"/>
      <c r="Y551" s="82"/>
      <c r="Z551" s="82"/>
      <c r="AA551" s="82"/>
      <c r="AB551" s="82"/>
      <c r="AC551" s="82"/>
      <c r="AD551" s="82"/>
      <c r="AE551" s="82"/>
      <c r="AF551" s="63" t="str">
        <f t="shared" si="2"/>
        <v/>
      </c>
      <c r="AG551" s="82"/>
      <c r="AH551" s="82"/>
      <c r="AI551" s="82"/>
      <c r="AJ551" s="82"/>
      <c r="AK551" s="82"/>
      <c r="AL551" s="82"/>
      <c r="AM551" s="82"/>
      <c r="AN551" s="82"/>
      <c r="AO551" s="82"/>
      <c r="AP551" s="82"/>
      <c r="AQ551" s="82"/>
      <c r="AR551" s="82"/>
      <c r="AS551" s="82"/>
      <c r="AT551" s="82"/>
      <c r="AU551" s="82"/>
      <c r="AV551" s="82"/>
      <c r="AW551" s="82"/>
      <c r="AX551" s="82"/>
      <c r="AY551" s="82"/>
      <c r="AZ551" s="82"/>
      <c r="BA551" s="82"/>
      <c r="BB551" s="82"/>
      <c r="BC551" s="82"/>
      <c r="BD551" s="82"/>
      <c r="BE551" s="82"/>
      <c r="BF551" s="82"/>
      <c r="BG551" s="82"/>
      <c r="BH551" s="82"/>
      <c r="BI551" s="82"/>
      <c r="BJ551" s="82"/>
      <c r="BK551" s="82"/>
      <c r="BL551" s="82"/>
      <c r="BM551" s="82"/>
      <c r="BN551" s="82"/>
      <c r="BO551" s="82"/>
      <c r="BP551" s="82"/>
      <c r="BQ551" s="63"/>
      <c r="BR551" s="82"/>
      <c r="BS551" s="82"/>
      <c r="BT551" s="82"/>
      <c r="BU551" s="4"/>
    </row>
    <row r="552" spans="1:73" ht="12.75" x14ac:dyDescent="0.2">
      <c r="A552" s="1"/>
      <c r="B552" s="85"/>
      <c r="C552" s="85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4"/>
      <c r="O552" s="82"/>
      <c r="P552" s="82"/>
      <c r="Q552" s="82"/>
      <c r="R552" s="63"/>
      <c r="S552" s="63"/>
      <c r="T552" s="63"/>
      <c r="U552" s="63"/>
      <c r="V552" s="63"/>
      <c r="W552" s="63"/>
      <c r="X552" s="63"/>
      <c r="Y552" s="82"/>
      <c r="Z552" s="82"/>
      <c r="AA552" s="82"/>
      <c r="AB552" s="82"/>
      <c r="AC552" s="82"/>
      <c r="AD552" s="82"/>
      <c r="AE552" s="82"/>
      <c r="AF552" s="63" t="str">
        <f t="shared" si="2"/>
        <v/>
      </c>
      <c r="AG552" s="82"/>
      <c r="AH552" s="82"/>
      <c r="AI552" s="82"/>
      <c r="AJ552" s="82"/>
      <c r="AK552" s="82"/>
      <c r="AL552" s="82"/>
      <c r="AM552" s="82"/>
      <c r="AN552" s="82"/>
      <c r="AO552" s="82"/>
      <c r="AP552" s="82"/>
      <c r="AQ552" s="82"/>
      <c r="AR552" s="82"/>
      <c r="AS552" s="82"/>
      <c r="AT552" s="82"/>
      <c r="AU552" s="82"/>
      <c r="AV552" s="82"/>
      <c r="AW552" s="82"/>
      <c r="AX552" s="82"/>
      <c r="AY552" s="82"/>
      <c r="AZ552" s="82"/>
      <c r="BA552" s="82"/>
      <c r="BB552" s="82"/>
      <c r="BC552" s="82"/>
      <c r="BD552" s="82"/>
      <c r="BE552" s="82"/>
      <c r="BF552" s="82"/>
      <c r="BG552" s="82"/>
      <c r="BH552" s="82"/>
      <c r="BI552" s="82"/>
      <c r="BJ552" s="82"/>
      <c r="BK552" s="82"/>
      <c r="BL552" s="82"/>
      <c r="BM552" s="82"/>
      <c r="BN552" s="82"/>
      <c r="BO552" s="82"/>
      <c r="BP552" s="82"/>
      <c r="BQ552" s="63"/>
      <c r="BR552" s="82"/>
      <c r="BS552" s="82"/>
      <c r="BT552" s="82"/>
      <c r="BU552" s="4"/>
    </row>
    <row r="553" spans="1:73" ht="12.75" x14ac:dyDescent="0.2">
      <c r="A553" s="1"/>
      <c r="B553" s="85"/>
      <c r="C553" s="85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4"/>
      <c r="O553" s="82"/>
      <c r="P553" s="82"/>
      <c r="Q553" s="82"/>
      <c r="R553" s="63"/>
      <c r="S553" s="63"/>
      <c r="T553" s="63"/>
      <c r="U553" s="63"/>
      <c r="V553" s="63"/>
      <c r="W553" s="63"/>
      <c r="X553" s="63"/>
      <c r="Y553" s="82"/>
      <c r="Z553" s="82"/>
      <c r="AA553" s="82"/>
      <c r="AB553" s="82"/>
      <c r="AC553" s="82"/>
      <c r="AD553" s="82"/>
      <c r="AE553" s="82"/>
      <c r="AF553" s="63" t="str">
        <f t="shared" si="2"/>
        <v/>
      </c>
      <c r="AG553" s="82"/>
      <c r="AH553" s="82"/>
      <c r="AI553" s="82"/>
      <c r="AJ553" s="82"/>
      <c r="AK553" s="82"/>
      <c r="AL553" s="82"/>
      <c r="AM553" s="82"/>
      <c r="AN553" s="82"/>
      <c r="AO553" s="82"/>
      <c r="AP553" s="82"/>
      <c r="AQ553" s="82"/>
      <c r="AR553" s="82"/>
      <c r="AS553" s="82"/>
      <c r="AT553" s="82"/>
      <c r="AU553" s="82"/>
      <c r="AV553" s="82"/>
      <c r="AW553" s="82"/>
      <c r="AX553" s="82"/>
      <c r="AY553" s="82"/>
      <c r="AZ553" s="82"/>
      <c r="BA553" s="82"/>
      <c r="BB553" s="82"/>
      <c r="BC553" s="82"/>
      <c r="BD553" s="82"/>
      <c r="BE553" s="82"/>
      <c r="BF553" s="82"/>
      <c r="BG553" s="82"/>
      <c r="BH553" s="82"/>
      <c r="BI553" s="82"/>
      <c r="BJ553" s="82"/>
      <c r="BK553" s="82"/>
      <c r="BL553" s="82"/>
      <c r="BM553" s="82"/>
      <c r="BN553" s="82"/>
      <c r="BO553" s="82"/>
      <c r="BP553" s="82"/>
      <c r="BQ553" s="63"/>
      <c r="BR553" s="82"/>
      <c r="BS553" s="82"/>
      <c r="BT553" s="82"/>
      <c r="BU553" s="4"/>
    </row>
    <row r="554" spans="1:73" ht="12.75" x14ac:dyDescent="0.2">
      <c r="A554" s="1"/>
      <c r="B554" s="85"/>
      <c r="C554" s="85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4"/>
      <c r="O554" s="82"/>
      <c r="P554" s="82"/>
      <c r="Q554" s="82"/>
      <c r="R554" s="63"/>
      <c r="S554" s="63"/>
      <c r="T554" s="63"/>
      <c r="U554" s="63"/>
      <c r="V554" s="63"/>
      <c r="W554" s="63"/>
      <c r="X554" s="63"/>
      <c r="Y554" s="82"/>
      <c r="Z554" s="82"/>
      <c r="AA554" s="82"/>
      <c r="AB554" s="82"/>
      <c r="AC554" s="82"/>
      <c r="AD554" s="82"/>
      <c r="AE554" s="82"/>
      <c r="AF554" s="63" t="str">
        <f t="shared" si="2"/>
        <v/>
      </c>
      <c r="AG554" s="82"/>
      <c r="AH554" s="82"/>
      <c r="AI554" s="82"/>
      <c r="AJ554" s="82"/>
      <c r="AK554" s="82"/>
      <c r="AL554" s="82"/>
      <c r="AM554" s="82"/>
      <c r="AN554" s="82"/>
      <c r="AO554" s="82"/>
      <c r="AP554" s="82"/>
      <c r="AQ554" s="82"/>
      <c r="AR554" s="82"/>
      <c r="AS554" s="82"/>
      <c r="AT554" s="82"/>
      <c r="AU554" s="82"/>
      <c r="AV554" s="82"/>
      <c r="AW554" s="82"/>
      <c r="AX554" s="82"/>
      <c r="AY554" s="82"/>
      <c r="AZ554" s="82"/>
      <c r="BA554" s="82"/>
      <c r="BB554" s="82"/>
      <c r="BC554" s="82"/>
      <c r="BD554" s="82"/>
      <c r="BE554" s="82"/>
      <c r="BF554" s="82"/>
      <c r="BG554" s="82"/>
      <c r="BH554" s="82"/>
      <c r="BI554" s="82"/>
      <c r="BJ554" s="82"/>
      <c r="BK554" s="82"/>
      <c r="BL554" s="82"/>
      <c r="BM554" s="82"/>
      <c r="BN554" s="82"/>
      <c r="BO554" s="82"/>
      <c r="BP554" s="82"/>
      <c r="BQ554" s="63"/>
      <c r="BR554" s="82"/>
      <c r="BS554" s="82"/>
      <c r="BT554" s="82"/>
      <c r="BU554" s="4"/>
    </row>
    <row r="555" spans="1:73" ht="12.75" x14ac:dyDescent="0.2">
      <c r="A555" s="1"/>
      <c r="B555" s="85"/>
      <c r="C555" s="85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4"/>
      <c r="O555" s="82"/>
      <c r="P555" s="82"/>
      <c r="Q555" s="82"/>
      <c r="R555" s="63"/>
      <c r="S555" s="63"/>
      <c r="T555" s="63"/>
      <c r="U555" s="63"/>
      <c r="V555" s="63"/>
      <c r="W555" s="63"/>
      <c r="X555" s="63"/>
      <c r="Y555" s="82"/>
      <c r="Z555" s="82"/>
      <c r="AA555" s="82"/>
      <c r="AB555" s="82"/>
      <c r="AC555" s="82"/>
      <c r="AD555" s="82"/>
      <c r="AE555" s="82"/>
      <c r="AF555" s="63" t="str">
        <f t="shared" si="2"/>
        <v/>
      </c>
      <c r="AG555" s="82"/>
      <c r="AH555" s="82"/>
      <c r="AI555" s="82"/>
      <c r="AJ555" s="82"/>
      <c r="AK555" s="82"/>
      <c r="AL555" s="82"/>
      <c r="AM555" s="82"/>
      <c r="AN555" s="82"/>
      <c r="AO555" s="82"/>
      <c r="AP555" s="82"/>
      <c r="AQ555" s="82"/>
      <c r="AR555" s="82"/>
      <c r="AS555" s="82"/>
      <c r="AT555" s="82"/>
      <c r="AU555" s="82"/>
      <c r="AV555" s="82"/>
      <c r="AW555" s="82"/>
      <c r="AX555" s="82"/>
      <c r="AY555" s="82"/>
      <c r="AZ555" s="82"/>
      <c r="BA555" s="82"/>
      <c r="BB555" s="82"/>
      <c r="BC555" s="82"/>
      <c r="BD555" s="82"/>
      <c r="BE555" s="82"/>
      <c r="BF555" s="82"/>
      <c r="BG555" s="82"/>
      <c r="BH555" s="82"/>
      <c r="BI555" s="82"/>
      <c r="BJ555" s="82"/>
      <c r="BK555" s="82"/>
      <c r="BL555" s="82"/>
      <c r="BM555" s="82"/>
      <c r="BN555" s="82"/>
      <c r="BO555" s="82"/>
      <c r="BP555" s="82"/>
      <c r="BQ555" s="63"/>
      <c r="BR555" s="82"/>
      <c r="BS555" s="82"/>
      <c r="BT555" s="82"/>
      <c r="BU555" s="4"/>
    </row>
    <row r="556" spans="1:73" ht="12.75" x14ac:dyDescent="0.2">
      <c r="A556" s="1"/>
      <c r="B556" s="85"/>
      <c r="C556" s="85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4"/>
      <c r="O556" s="82"/>
      <c r="P556" s="82"/>
      <c r="Q556" s="82"/>
      <c r="R556" s="63"/>
      <c r="S556" s="63"/>
      <c r="T556" s="63"/>
      <c r="U556" s="63"/>
      <c r="V556" s="63"/>
      <c r="W556" s="63"/>
      <c r="X556" s="63"/>
      <c r="Y556" s="82"/>
      <c r="Z556" s="82"/>
      <c r="AA556" s="82"/>
      <c r="AB556" s="82"/>
      <c r="AC556" s="82"/>
      <c r="AD556" s="82"/>
      <c r="AE556" s="82"/>
      <c r="AF556" s="63" t="str">
        <f t="shared" si="2"/>
        <v/>
      </c>
      <c r="AG556" s="82"/>
      <c r="AH556" s="82"/>
      <c r="AI556" s="82"/>
      <c r="AJ556" s="82"/>
      <c r="AK556" s="82"/>
      <c r="AL556" s="82"/>
      <c r="AM556" s="82"/>
      <c r="AN556" s="82"/>
      <c r="AO556" s="82"/>
      <c r="AP556" s="82"/>
      <c r="AQ556" s="82"/>
      <c r="AR556" s="82"/>
      <c r="AS556" s="82"/>
      <c r="AT556" s="82"/>
      <c r="AU556" s="82"/>
      <c r="AV556" s="82"/>
      <c r="AW556" s="82"/>
      <c r="AX556" s="82"/>
      <c r="AY556" s="82"/>
      <c r="AZ556" s="82"/>
      <c r="BA556" s="82"/>
      <c r="BB556" s="82"/>
      <c r="BC556" s="82"/>
      <c r="BD556" s="82"/>
      <c r="BE556" s="82"/>
      <c r="BF556" s="82"/>
      <c r="BG556" s="82"/>
      <c r="BH556" s="82"/>
      <c r="BI556" s="82"/>
      <c r="BJ556" s="82"/>
      <c r="BK556" s="82"/>
      <c r="BL556" s="82"/>
      <c r="BM556" s="82"/>
      <c r="BN556" s="82"/>
      <c r="BO556" s="82"/>
      <c r="BP556" s="82"/>
      <c r="BQ556" s="63"/>
      <c r="BR556" s="82"/>
      <c r="BS556" s="82"/>
      <c r="BT556" s="82"/>
      <c r="BU556" s="4"/>
    </row>
    <row r="557" spans="1:73" ht="12.75" x14ac:dyDescent="0.2">
      <c r="A557" s="1"/>
      <c r="B557" s="85"/>
      <c r="C557" s="85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4"/>
      <c r="O557" s="82"/>
      <c r="P557" s="82"/>
      <c r="Q557" s="82"/>
      <c r="R557" s="63"/>
      <c r="S557" s="63"/>
      <c r="T557" s="63"/>
      <c r="U557" s="63"/>
      <c r="V557" s="63"/>
      <c r="W557" s="63"/>
      <c r="X557" s="63"/>
      <c r="Y557" s="82"/>
      <c r="Z557" s="82"/>
      <c r="AA557" s="82"/>
      <c r="AB557" s="82"/>
      <c r="AC557" s="82"/>
      <c r="AD557" s="82"/>
      <c r="AE557" s="82"/>
      <c r="AF557" s="63" t="str">
        <f t="shared" si="2"/>
        <v/>
      </c>
      <c r="AG557" s="82"/>
      <c r="AH557" s="82"/>
      <c r="AI557" s="82"/>
      <c r="AJ557" s="82"/>
      <c r="AK557" s="82"/>
      <c r="AL557" s="82"/>
      <c r="AM557" s="82"/>
      <c r="AN557" s="82"/>
      <c r="AO557" s="82"/>
      <c r="AP557" s="82"/>
      <c r="AQ557" s="82"/>
      <c r="AR557" s="82"/>
      <c r="AS557" s="82"/>
      <c r="AT557" s="82"/>
      <c r="AU557" s="82"/>
      <c r="AV557" s="82"/>
      <c r="AW557" s="82"/>
      <c r="AX557" s="82"/>
      <c r="AY557" s="82"/>
      <c r="AZ557" s="82"/>
      <c r="BA557" s="82"/>
      <c r="BB557" s="82"/>
      <c r="BC557" s="82"/>
      <c r="BD557" s="82"/>
      <c r="BE557" s="82"/>
      <c r="BF557" s="82"/>
      <c r="BG557" s="82"/>
      <c r="BH557" s="82"/>
      <c r="BI557" s="82"/>
      <c r="BJ557" s="82"/>
      <c r="BK557" s="82"/>
      <c r="BL557" s="82"/>
      <c r="BM557" s="82"/>
      <c r="BN557" s="82"/>
      <c r="BO557" s="82"/>
      <c r="BP557" s="82"/>
      <c r="BQ557" s="63"/>
      <c r="BR557" s="82"/>
      <c r="BS557" s="82"/>
      <c r="BT557" s="82"/>
      <c r="BU557" s="4"/>
    </row>
    <row r="558" spans="1:73" ht="12.75" x14ac:dyDescent="0.2">
      <c r="A558" s="1"/>
      <c r="B558" s="85"/>
      <c r="C558" s="85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4"/>
      <c r="O558" s="82"/>
      <c r="P558" s="82"/>
      <c r="Q558" s="82"/>
      <c r="R558" s="63"/>
      <c r="S558" s="63"/>
      <c r="T558" s="63"/>
      <c r="U558" s="63"/>
      <c r="V558" s="63"/>
      <c r="W558" s="63"/>
      <c r="X558" s="63"/>
      <c r="Y558" s="82"/>
      <c r="Z558" s="82"/>
      <c r="AA558" s="82"/>
      <c r="AB558" s="82"/>
      <c r="AC558" s="82"/>
      <c r="AD558" s="82"/>
      <c r="AE558" s="82"/>
      <c r="AF558" s="63" t="str">
        <f t="shared" si="2"/>
        <v/>
      </c>
      <c r="AG558" s="82"/>
      <c r="AH558" s="82"/>
      <c r="AI558" s="82"/>
      <c r="AJ558" s="82"/>
      <c r="AK558" s="82"/>
      <c r="AL558" s="82"/>
      <c r="AM558" s="82"/>
      <c r="AN558" s="82"/>
      <c r="AO558" s="82"/>
      <c r="AP558" s="82"/>
      <c r="AQ558" s="82"/>
      <c r="AR558" s="82"/>
      <c r="AS558" s="82"/>
      <c r="AT558" s="82"/>
      <c r="AU558" s="82"/>
      <c r="AV558" s="82"/>
      <c r="AW558" s="82"/>
      <c r="AX558" s="82"/>
      <c r="AY558" s="82"/>
      <c r="AZ558" s="82"/>
      <c r="BA558" s="82"/>
      <c r="BB558" s="82"/>
      <c r="BC558" s="82"/>
      <c r="BD558" s="82"/>
      <c r="BE558" s="82"/>
      <c r="BF558" s="82"/>
      <c r="BG558" s="82"/>
      <c r="BH558" s="82"/>
      <c r="BI558" s="82"/>
      <c r="BJ558" s="82"/>
      <c r="BK558" s="82"/>
      <c r="BL558" s="82"/>
      <c r="BM558" s="82"/>
      <c r="BN558" s="82"/>
      <c r="BO558" s="82"/>
      <c r="BP558" s="82"/>
      <c r="BQ558" s="63"/>
      <c r="BR558" s="82"/>
      <c r="BS558" s="82"/>
      <c r="BT558" s="82"/>
      <c r="BU558" s="4"/>
    </row>
    <row r="559" spans="1:73" ht="12.75" x14ac:dyDescent="0.2">
      <c r="A559" s="1"/>
      <c r="B559" s="85"/>
      <c r="C559" s="85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4"/>
      <c r="O559" s="82"/>
      <c r="P559" s="82"/>
      <c r="Q559" s="82"/>
      <c r="R559" s="63"/>
      <c r="S559" s="63"/>
      <c r="T559" s="63"/>
      <c r="U559" s="63"/>
      <c r="V559" s="63"/>
      <c r="W559" s="63"/>
      <c r="X559" s="63"/>
      <c r="Y559" s="82"/>
      <c r="Z559" s="82"/>
      <c r="AA559" s="82"/>
      <c r="AB559" s="82"/>
      <c r="AC559" s="82"/>
      <c r="AD559" s="82"/>
      <c r="AE559" s="82"/>
      <c r="AF559" s="63" t="str">
        <f t="shared" si="2"/>
        <v/>
      </c>
      <c r="AG559" s="82"/>
      <c r="AH559" s="82"/>
      <c r="AI559" s="82"/>
      <c r="AJ559" s="82"/>
      <c r="AK559" s="82"/>
      <c r="AL559" s="82"/>
      <c r="AM559" s="82"/>
      <c r="AN559" s="82"/>
      <c r="AO559" s="82"/>
      <c r="AP559" s="82"/>
      <c r="AQ559" s="82"/>
      <c r="AR559" s="82"/>
      <c r="AS559" s="82"/>
      <c r="AT559" s="82"/>
      <c r="AU559" s="82"/>
      <c r="AV559" s="82"/>
      <c r="AW559" s="82"/>
      <c r="AX559" s="82"/>
      <c r="AY559" s="82"/>
      <c r="AZ559" s="82"/>
      <c r="BA559" s="82"/>
      <c r="BB559" s="82"/>
      <c r="BC559" s="82"/>
      <c r="BD559" s="82"/>
      <c r="BE559" s="82"/>
      <c r="BF559" s="82"/>
      <c r="BG559" s="82"/>
      <c r="BH559" s="82"/>
      <c r="BI559" s="82"/>
      <c r="BJ559" s="82"/>
      <c r="BK559" s="82"/>
      <c r="BL559" s="82"/>
      <c r="BM559" s="82"/>
      <c r="BN559" s="82"/>
      <c r="BO559" s="82"/>
      <c r="BP559" s="82"/>
      <c r="BQ559" s="63"/>
      <c r="BR559" s="82"/>
      <c r="BS559" s="82"/>
      <c r="BT559" s="82"/>
      <c r="BU559" s="4"/>
    </row>
    <row r="560" spans="1:73" ht="12.75" x14ac:dyDescent="0.2">
      <c r="A560" s="1"/>
      <c r="B560" s="85"/>
      <c r="C560" s="85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4"/>
      <c r="O560" s="82"/>
      <c r="P560" s="82"/>
      <c r="Q560" s="82"/>
      <c r="R560" s="63"/>
      <c r="S560" s="63"/>
      <c r="T560" s="63"/>
      <c r="U560" s="63"/>
      <c r="V560" s="63"/>
      <c r="W560" s="63"/>
      <c r="X560" s="63"/>
      <c r="Y560" s="82"/>
      <c r="Z560" s="82"/>
      <c r="AA560" s="82"/>
      <c r="AB560" s="82"/>
      <c r="AC560" s="82"/>
      <c r="AD560" s="82"/>
      <c r="AE560" s="82"/>
      <c r="AF560" s="63" t="str">
        <f t="shared" si="2"/>
        <v/>
      </c>
      <c r="AG560" s="82"/>
      <c r="AH560" s="82"/>
      <c r="AI560" s="82"/>
      <c r="AJ560" s="82"/>
      <c r="AK560" s="82"/>
      <c r="AL560" s="82"/>
      <c r="AM560" s="82"/>
      <c r="AN560" s="82"/>
      <c r="AO560" s="82"/>
      <c r="AP560" s="82"/>
      <c r="AQ560" s="82"/>
      <c r="AR560" s="82"/>
      <c r="AS560" s="82"/>
      <c r="AT560" s="82"/>
      <c r="AU560" s="82"/>
      <c r="AV560" s="82"/>
      <c r="AW560" s="82"/>
      <c r="AX560" s="82"/>
      <c r="AY560" s="82"/>
      <c r="AZ560" s="82"/>
      <c r="BA560" s="82"/>
      <c r="BB560" s="82"/>
      <c r="BC560" s="82"/>
      <c r="BD560" s="82"/>
      <c r="BE560" s="82"/>
      <c r="BF560" s="82"/>
      <c r="BG560" s="82"/>
      <c r="BH560" s="82"/>
      <c r="BI560" s="82"/>
      <c r="BJ560" s="82"/>
      <c r="BK560" s="82"/>
      <c r="BL560" s="82"/>
      <c r="BM560" s="82"/>
      <c r="BN560" s="82"/>
      <c r="BO560" s="82"/>
      <c r="BP560" s="82"/>
      <c r="BQ560" s="63"/>
      <c r="BR560" s="82"/>
      <c r="BS560" s="82"/>
      <c r="BT560" s="82"/>
      <c r="BU560" s="4"/>
    </row>
    <row r="561" spans="1:73" ht="12.75" x14ac:dyDescent="0.2">
      <c r="A561" s="1"/>
      <c r="B561" s="85"/>
      <c r="C561" s="85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4"/>
      <c r="O561" s="82"/>
      <c r="P561" s="82"/>
      <c r="Q561" s="82"/>
      <c r="R561" s="63"/>
      <c r="S561" s="63"/>
      <c r="T561" s="63"/>
      <c r="U561" s="63"/>
      <c r="V561" s="63"/>
      <c r="W561" s="63"/>
      <c r="X561" s="63"/>
      <c r="Y561" s="82"/>
      <c r="Z561" s="82"/>
      <c r="AA561" s="82"/>
      <c r="AB561" s="82"/>
      <c r="AC561" s="82"/>
      <c r="AD561" s="82"/>
      <c r="AE561" s="82"/>
      <c r="AF561" s="63" t="str">
        <f t="shared" si="2"/>
        <v/>
      </c>
      <c r="AG561" s="82"/>
      <c r="AH561" s="82"/>
      <c r="AI561" s="82"/>
      <c r="AJ561" s="82"/>
      <c r="AK561" s="82"/>
      <c r="AL561" s="82"/>
      <c r="AM561" s="82"/>
      <c r="AN561" s="82"/>
      <c r="AO561" s="82"/>
      <c r="AP561" s="82"/>
      <c r="AQ561" s="82"/>
      <c r="AR561" s="82"/>
      <c r="AS561" s="82"/>
      <c r="AT561" s="82"/>
      <c r="AU561" s="82"/>
      <c r="AV561" s="82"/>
      <c r="AW561" s="82"/>
      <c r="AX561" s="82"/>
      <c r="AY561" s="82"/>
      <c r="AZ561" s="82"/>
      <c r="BA561" s="82"/>
      <c r="BB561" s="82"/>
      <c r="BC561" s="82"/>
      <c r="BD561" s="82"/>
      <c r="BE561" s="82"/>
      <c r="BF561" s="82"/>
      <c r="BG561" s="82"/>
      <c r="BH561" s="82"/>
      <c r="BI561" s="82"/>
      <c r="BJ561" s="82"/>
      <c r="BK561" s="82"/>
      <c r="BL561" s="82"/>
      <c r="BM561" s="82"/>
      <c r="BN561" s="82"/>
      <c r="BO561" s="82"/>
      <c r="BP561" s="82"/>
      <c r="BQ561" s="63"/>
      <c r="BR561" s="82"/>
      <c r="BS561" s="82"/>
      <c r="BT561" s="82"/>
      <c r="BU561" s="4"/>
    </row>
    <row r="562" spans="1:73" ht="12.75" x14ac:dyDescent="0.2">
      <c r="A562" s="1"/>
      <c r="B562" s="85"/>
      <c r="C562" s="85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4"/>
      <c r="O562" s="82"/>
      <c r="P562" s="82"/>
      <c r="Q562" s="82"/>
      <c r="R562" s="63"/>
      <c r="S562" s="63"/>
      <c r="T562" s="63"/>
      <c r="U562" s="63"/>
      <c r="V562" s="63"/>
      <c r="W562" s="63"/>
      <c r="X562" s="63"/>
      <c r="Y562" s="82"/>
      <c r="Z562" s="82"/>
      <c r="AA562" s="82"/>
      <c r="AB562" s="82"/>
      <c r="AC562" s="82"/>
      <c r="AD562" s="82"/>
      <c r="AE562" s="82"/>
      <c r="AF562" s="63" t="str">
        <f t="shared" si="2"/>
        <v/>
      </c>
      <c r="AG562" s="82"/>
      <c r="AH562" s="82"/>
      <c r="AI562" s="82"/>
      <c r="AJ562" s="82"/>
      <c r="AK562" s="82"/>
      <c r="AL562" s="82"/>
      <c r="AM562" s="82"/>
      <c r="AN562" s="82"/>
      <c r="AO562" s="82"/>
      <c r="AP562" s="82"/>
      <c r="AQ562" s="82"/>
      <c r="AR562" s="82"/>
      <c r="AS562" s="82"/>
      <c r="AT562" s="82"/>
      <c r="AU562" s="82"/>
      <c r="AV562" s="82"/>
      <c r="AW562" s="82"/>
      <c r="AX562" s="82"/>
      <c r="AY562" s="82"/>
      <c r="AZ562" s="82"/>
      <c r="BA562" s="82"/>
      <c r="BB562" s="82"/>
      <c r="BC562" s="82"/>
      <c r="BD562" s="82"/>
      <c r="BE562" s="82"/>
      <c r="BF562" s="82"/>
      <c r="BG562" s="82"/>
      <c r="BH562" s="82"/>
      <c r="BI562" s="82"/>
      <c r="BJ562" s="82"/>
      <c r="BK562" s="82"/>
      <c r="BL562" s="82"/>
      <c r="BM562" s="82"/>
      <c r="BN562" s="82"/>
      <c r="BO562" s="82"/>
      <c r="BP562" s="82"/>
      <c r="BQ562" s="63"/>
      <c r="BR562" s="82"/>
      <c r="BS562" s="82"/>
      <c r="BT562" s="82"/>
      <c r="BU562" s="4"/>
    </row>
    <row r="563" spans="1:73" ht="12.75" x14ac:dyDescent="0.2">
      <c r="A563" s="1"/>
      <c r="B563" s="85"/>
      <c r="C563" s="85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4"/>
      <c r="O563" s="82"/>
      <c r="P563" s="82"/>
      <c r="Q563" s="82"/>
      <c r="R563" s="63"/>
      <c r="S563" s="63"/>
      <c r="T563" s="63"/>
      <c r="U563" s="63"/>
      <c r="V563" s="63"/>
      <c r="W563" s="63"/>
      <c r="X563" s="63"/>
      <c r="Y563" s="82"/>
      <c r="Z563" s="82"/>
      <c r="AA563" s="82"/>
      <c r="AB563" s="82"/>
      <c r="AC563" s="82"/>
      <c r="AD563" s="82"/>
      <c r="AE563" s="82"/>
      <c r="AF563" s="63" t="str">
        <f t="shared" si="2"/>
        <v/>
      </c>
      <c r="AG563" s="82"/>
      <c r="AH563" s="82"/>
      <c r="AI563" s="82"/>
      <c r="AJ563" s="82"/>
      <c r="AK563" s="82"/>
      <c r="AL563" s="82"/>
      <c r="AM563" s="82"/>
      <c r="AN563" s="82"/>
      <c r="AO563" s="82"/>
      <c r="AP563" s="82"/>
      <c r="AQ563" s="82"/>
      <c r="AR563" s="82"/>
      <c r="AS563" s="82"/>
      <c r="AT563" s="82"/>
      <c r="AU563" s="82"/>
      <c r="AV563" s="82"/>
      <c r="AW563" s="82"/>
      <c r="AX563" s="82"/>
      <c r="AY563" s="82"/>
      <c r="AZ563" s="82"/>
      <c r="BA563" s="82"/>
      <c r="BB563" s="82"/>
      <c r="BC563" s="82"/>
      <c r="BD563" s="82"/>
      <c r="BE563" s="82"/>
      <c r="BF563" s="82"/>
      <c r="BG563" s="82"/>
      <c r="BH563" s="82"/>
      <c r="BI563" s="82"/>
      <c r="BJ563" s="82"/>
      <c r="BK563" s="82"/>
      <c r="BL563" s="82"/>
      <c r="BM563" s="82"/>
      <c r="BN563" s="82"/>
      <c r="BO563" s="82"/>
      <c r="BP563" s="82"/>
      <c r="BQ563" s="63"/>
      <c r="BR563" s="82"/>
      <c r="BS563" s="82"/>
      <c r="BT563" s="82"/>
      <c r="BU563" s="4"/>
    </row>
    <row r="564" spans="1:73" ht="12.75" x14ac:dyDescent="0.2">
      <c r="A564" s="1"/>
      <c r="B564" s="85"/>
      <c r="C564" s="85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4"/>
      <c r="O564" s="82"/>
      <c r="P564" s="82"/>
      <c r="Q564" s="82"/>
      <c r="R564" s="63"/>
      <c r="S564" s="63"/>
      <c r="T564" s="63"/>
      <c r="U564" s="63"/>
      <c r="V564" s="63"/>
      <c r="W564" s="63"/>
      <c r="X564" s="63"/>
      <c r="Y564" s="82"/>
      <c r="Z564" s="82"/>
      <c r="AA564" s="82"/>
      <c r="AB564" s="82"/>
      <c r="AC564" s="82"/>
      <c r="AD564" s="82"/>
      <c r="AE564" s="82"/>
      <c r="AF564" s="63" t="str">
        <f t="shared" si="2"/>
        <v/>
      </c>
      <c r="AG564" s="82"/>
      <c r="AH564" s="82"/>
      <c r="AI564" s="82"/>
      <c r="AJ564" s="82"/>
      <c r="AK564" s="82"/>
      <c r="AL564" s="82"/>
      <c r="AM564" s="82"/>
      <c r="AN564" s="82"/>
      <c r="AO564" s="82"/>
      <c r="AP564" s="82"/>
      <c r="AQ564" s="82"/>
      <c r="AR564" s="82"/>
      <c r="AS564" s="82"/>
      <c r="AT564" s="82"/>
      <c r="AU564" s="82"/>
      <c r="AV564" s="82"/>
      <c r="AW564" s="82"/>
      <c r="AX564" s="82"/>
      <c r="AY564" s="82"/>
      <c r="AZ564" s="82"/>
      <c r="BA564" s="82"/>
      <c r="BB564" s="82"/>
      <c r="BC564" s="82"/>
      <c r="BD564" s="82"/>
      <c r="BE564" s="82"/>
      <c r="BF564" s="82"/>
      <c r="BG564" s="82"/>
      <c r="BH564" s="82"/>
      <c r="BI564" s="82"/>
      <c r="BJ564" s="82"/>
      <c r="BK564" s="82"/>
      <c r="BL564" s="82"/>
      <c r="BM564" s="82"/>
      <c r="BN564" s="82"/>
      <c r="BO564" s="82"/>
      <c r="BP564" s="82"/>
      <c r="BQ564" s="63"/>
      <c r="BR564" s="82"/>
      <c r="BS564" s="82"/>
      <c r="BT564" s="82"/>
      <c r="BU564" s="4"/>
    </row>
    <row r="565" spans="1:73" ht="12.75" x14ac:dyDescent="0.2">
      <c r="A565" s="1"/>
      <c r="B565" s="85"/>
      <c r="C565" s="85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4"/>
      <c r="O565" s="82"/>
      <c r="P565" s="82"/>
      <c r="Q565" s="82"/>
      <c r="R565" s="63"/>
      <c r="S565" s="63"/>
      <c r="T565" s="63"/>
      <c r="U565" s="63"/>
      <c r="V565" s="63"/>
      <c r="W565" s="63"/>
      <c r="X565" s="63"/>
      <c r="Y565" s="82"/>
      <c r="Z565" s="82"/>
      <c r="AA565" s="82"/>
      <c r="AB565" s="82"/>
      <c r="AC565" s="82"/>
      <c r="AD565" s="82"/>
      <c r="AE565" s="82"/>
      <c r="AF565" s="63" t="str">
        <f t="shared" si="2"/>
        <v/>
      </c>
      <c r="AG565" s="82"/>
      <c r="AH565" s="82"/>
      <c r="AI565" s="82"/>
      <c r="AJ565" s="82"/>
      <c r="AK565" s="82"/>
      <c r="AL565" s="82"/>
      <c r="AM565" s="82"/>
      <c r="AN565" s="82"/>
      <c r="AO565" s="82"/>
      <c r="AP565" s="82"/>
      <c r="AQ565" s="82"/>
      <c r="AR565" s="82"/>
      <c r="AS565" s="82"/>
      <c r="AT565" s="82"/>
      <c r="AU565" s="82"/>
      <c r="AV565" s="82"/>
      <c r="AW565" s="82"/>
      <c r="AX565" s="82"/>
      <c r="AY565" s="82"/>
      <c r="AZ565" s="82"/>
      <c r="BA565" s="82"/>
      <c r="BB565" s="82"/>
      <c r="BC565" s="82"/>
      <c r="BD565" s="82"/>
      <c r="BE565" s="82"/>
      <c r="BF565" s="82"/>
      <c r="BG565" s="82"/>
      <c r="BH565" s="82"/>
      <c r="BI565" s="82"/>
      <c r="BJ565" s="82"/>
      <c r="BK565" s="82"/>
      <c r="BL565" s="82"/>
      <c r="BM565" s="82"/>
      <c r="BN565" s="82"/>
      <c r="BO565" s="82"/>
      <c r="BP565" s="82"/>
      <c r="BQ565" s="63"/>
      <c r="BR565" s="82"/>
      <c r="BS565" s="82"/>
      <c r="BT565" s="82"/>
      <c r="BU565" s="4"/>
    </row>
    <row r="566" spans="1:73" ht="12.75" x14ac:dyDescent="0.2">
      <c r="A566" s="1"/>
      <c r="B566" s="85"/>
      <c r="C566" s="85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4"/>
      <c r="O566" s="82"/>
      <c r="P566" s="82"/>
      <c r="Q566" s="82"/>
      <c r="R566" s="63"/>
      <c r="S566" s="63"/>
      <c r="T566" s="63"/>
      <c r="U566" s="63"/>
      <c r="V566" s="63"/>
      <c r="W566" s="63"/>
      <c r="X566" s="63"/>
      <c r="Y566" s="82"/>
      <c r="Z566" s="82"/>
      <c r="AA566" s="82"/>
      <c r="AB566" s="82"/>
      <c r="AC566" s="82"/>
      <c r="AD566" s="82"/>
      <c r="AE566" s="82"/>
      <c r="AF566" s="63" t="str">
        <f t="shared" si="2"/>
        <v/>
      </c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  <c r="AR566" s="82"/>
      <c r="AS566" s="82"/>
      <c r="AT566" s="82"/>
      <c r="AU566" s="82"/>
      <c r="AV566" s="82"/>
      <c r="AW566" s="82"/>
      <c r="AX566" s="82"/>
      <c r="AY566" s="82"/>
      <c r="AZ566" s="82"/>
      <c r="BA566" s="82"/>
      <c r="BB566" s="82"/>
      <c r="BC566" s="82"/>
      <c r="BD566" s="82"/>
      <c r="BE566" s="82"/>
      <c r="BF566" s="82"/>
      <c r="BG566" s="82"/>
      <c r="BH566" s="82"/>
      <c r="BI566" s="82"/>
      <c r="BJ566" s="82"/>
      <c r="BK566" s="82"/>
      <c r="BL566" s="82"/>
      <c r="BM566" s="82"/>
      <c r="BN566" s="82"/>
      <c r="BO566" s="82"/>
      <c r="BP566" s="82"/>
      <c r="BQ566" s="63"/>
      <c r="BR566" s="82"/>
      <c r="BS566" s="82"/>
      <c r="BT566" s="82"/>
      <c r="BU566" s="4"/>
    </row>
    <row r="567" spans="1:73" ht="12.75" x14ac:dyDescent="0.2">
      <c r="A567" s="1"/>
      <c r="B567" s="85"/>
      <c r="C567" s="85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4"/>
      <c r="O567" s="82"/>
      <c r="P567" s="82"/>
      <c r="Q567" s="82"/>
      <c r="R567" s="63"/>
      <c r="S567" s="63"/>
      <c r="T567" s="63"/>
      <c r="U567" s="63"/>
      <c r="V567" s="63"/>
      <c r="W567" s="63"/>
      <c r="X567" s="63"/>
      <c r="Y567" s="82"/>
      <c r="Z567" s="82"/>
      <c r="AA567" s="82"/>
      <c r="AB567" s="82"/>
      <c r="AC567" s="82"/>
      <c r="AD567" s="82"/>
      <c r="AE567" s="82"/>
      <c r="AF567" s="63" t="str">
        <f t="shared" si="2"/>
        <v/>
      </c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  <c r="AS567" s="82"/>
      <c r="AT567" s="82"/>
      <c r="AU567" s="82"/>
      <c r="AV567" s="82"/>
      <c r="AW567" s="82"/>
      <c r="AX567" s="82"/>
      <c r="AY567" s="82"/>
      <c r="AZ567" s="82"/>
      <c r="BA567" s="82"/>
      <c r="BB567" s="82"/>
      <c r="BC567" s="82"/>
      <c r="BD567" s="82"/>
      <c r="BE567" s="82"/>
      <c r="BF567" s="82"/>
      <c r="BG567" s="82"/>
      <c r="BH567" s="82"/>
      <c r="BI567" s="82"/>
      <c r="BJ567" s="82"/>
      <c r="BK567" s="82"/>
      <c r="BL567" s="82"/>
      <c r="BM567" s="82"/>
      <c r="BN567" s="82"/>
      <c r="BO567" s="82"/>
      <c r="BP567" s="82"/>
      <c r="BQ567" s="63"/>
      <c r="BR567" s="82"/>
      <c r="BS567" s="82"/>
      <c r="BT567" s="82"/>
      <c r="BU567" s="4"/>
    </row>
    <row r="568" spans="1:73" ht="12.75" x14ac:dyDescent="0.2">
      <c r="A568" s="1"/>
      <c r="B568" s="85"/>
      <c r="C568" s="85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4"/>
      <c r="O568" s="82"/>
      <c r="P568" s="82"/>
      <c r="Q568" s="82"/>
      <c r="R568" s="63"/>
      <c r="S568" s="63"/>
      <c r="T568" s="63"/>
      <c r="U568" s="63"/>
      <c r="V568" s="63"/>
      <c r="W568" s="63"/>
      <c r="X568" s="63"/>
      <c r="Y568" s="82"/>
      <c r="Z568" s="82"/>
      <c r="AA568" s="82"/>
      <c r="AB568" s="82"/>
      <c r="AC568" s="82"/>
      <c r="AD568" s="82"/>
      <c r="AE568" s="82"/>
      <c r="AF568" s="63" t="str">
        <f t="shared" si="2"/>
        <v/>
      </c>
      <c r="AG568" s="82"/>
      <c r="AH568" s="82"/>
      <c r="AI568" s="82"/>
      <c r="AJ568" s="82"/>
      <c r="AK568" s="82"/>
      <c r="AL568" s="82"/>
      <c r="AM568" s="82"/>
      <c r="AN568" s="82"/>
      <c r="AO568" s="82"/>
      <c r="AP568" s="82"/>
      <c r="AQ568" s="82"/>
      <c r="AR568" s="82"/>
      <c r="AS568" s="82"/>
      <c r="AT568" s="82"/>
      <c r="AU568" s="82"/>
      <c r="AV568" s="82"/>
      <c r="AW568" s="82"/>
      <c r="AX568" s="82"/>
      <c r="AY568" s="82"/>
      <c r="AZ568" s="82"/>
      <c r="BA568" s="82"/>
      <c r="BB568" s="82"/>
      <c r="BC568" s="82"/>
      <c r="BD568" s="82"/>
      <c r="BE568" s="82"/>
      <c r="BF568" s="82"/>
      <c r="BG568" s="82"/>
      <c r="BH568" s="82"/>
      <c r="BI568" s="82"/>
      <c r="BJ568" s="82"/>
      <c r="BK568" s="82"/>
      <c r="BL568" s="82"/>
      <c r="BM568" s="82"/>
      <c r="BN568" s="82"/>
      <c r="BO568" s="82"/>
      <c r="BP568" s="82"/>
      <c r="BQ568" s="63"/>
      <c r="BR568" s="82"/>
      <c r="BS568" s="82"/>
      <c r="BT568" s="82"/>
      <c r="BU568" s="4"/>
    </row>
    <row r="569" spans="1:73" ht="12.75" x14ac:dyDescent="0.2">
      <c r="A569" s="1"/>
      <c r="B569" s="85"/>
      <c r="C569" s="85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4"/>
      <c r="O569" s="82"/>
      <c r="P569" s="82"/>
      <c r="Q569" s="82"/>
      <c r="R569" s="63"/>
      <c r="S569" s="63"/>
      <c r="T569" s="63"/>
      <c r="U569" s="63"/>
      <c r="V569" s="63"/>
      <c r="W569" s="63"/>
      <c r="X569" s="63"/>
      <c r="Y569" s="82"/>
      <c r="Z569" s="82"/>
      <c r="AA569" s="82"/>
      <c r="AB569" s="82"/>
      <c r="AC569" s="82"/>
      <c r="AD569" s="82"/>
      <c r="AE569" s="82"/>
      <c r="AF569" s="63" t="str">
        <f t="shared" si="2"/>
        <v/>
      </c>
      <c r="AG569" s="82"/>
      <c r="AH569" s="82"/>
      <c r="AI569" s="82"/>
      <c r="AJ569" s="82"/>
      <c r="AK569" s="82"/>
      <c r="AL569" s="82"/>
      <c r="AM569" s="82"/>
      <c r="AN569" s="82"/>
      <c r="AO569" s="82"/>
      <c r="AP569" s="82"/>
      <c r="AQ569" s="82"/>
      <c r="AR569" s="82"/>
      <c r="AS569" s="82"/>
      <c r="AT569" s="82"/>
      <c r="AU569" s="82"/>
      <c r="AV569" s="82"/>
      <c r="AW569" s="82"/>
      <c r="AX569" s="82"/>
      <c r="AY569" s="82"/>
      <c r="AZ569" s="82"/>
      <c r="BA569" s="82"/>
      <c r="BB569" s="82"/>
      <c r="BC569" s="82"/>
      <c r="BD569" s="82"/>
      <c r="BE569" s="82"/>
      <c r="BF569" s="82"/>
      <c r="BG569" s="82"/>
      <c r="BH569" s="82"/>
      <c r="BI569" s="82"/>
      <c r="BJ569" s="82"/>
      <c r="BK569" s="82"/>
      <c r="BL569" s="82"/>
      <c r="BM569" s="82"/>
      <c r="BN569" s="82"/>
      <c r="BO569" s="82"/>
      <c r="BP569" s="82"/>
      <c r="BQ569" s="63"/>
      <c r="BR569" s="82"/>
      <c r="BS569" s="82"/>
      <c r="BT569" s="82"/>
      <c r="BU569" s="4"/>
    </row>
    <row r="570" spans="1:73" ht="12.75" x14ac:dyDescent="0.2">
      <c r="A570" s="1"/>
      <c r="B570" s="85"/>
      <c r="C570" s="85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4"/>
      <c r="O570" s="82"/>
      <c r="P570" s="82"/>
      <c r="Q570" s="82"/>
      <c r="R570" s="63"/>
      <c r="S570" s="63"/>
      <c r="T570" s="63"/>
      <c r="U570" s="63"/>
      <c r="V570" s="63"/>
      <c r="W570" s="63"/>
      <c r="X570" s="63"/>
      <c r="Y570" s="82"/>
      <c r="Z570" s="82"/>
      <c r="AA570" s="82"/>
      <c r="AB570" s="82"/>
      <c r="AC570" s="82"/>
      <c r="AD570" s="82"/>
      <c r="AE570" s="82"/>
      <c r="AF570" s="63" t="str">
        <f t="shared" si="2"/>
        <v/>
      </c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  <c r="AR570" s="82"/>
      <c r="AS570" s="82"/>
      <c r="AT570" s="82"/>
      <c r="AU570" s="82"/>
      <c r="AV570" s="82"/>
      <c r="AW570" s="82"/>
      <c r="AX570" s="82"/>
      <c r="AY570" s="82"/>
      <c r="AZ570" s="82"/>
      <c r="BA570" s="82"/>
      <c r="BB570" s="82"/>
      <c r="BC570" s="82"/>
      <c r="BD570" s="82"/>
      <c r="BE570" s="82"/>
      <c r="BF570" s="82"/>
      <c r="BG570" s="82"/>
      <c r="BH570" s="82"/>
      <c r="BI570" s="82"/>
      <c r="BJ570" s="82"/>
      <c r="BK570" s="82"/>
      <c r="BL570" s="82"/>
      <c r="BM570" s="82"/>
      <c r="BN570" s="82"/>
      <c r="BO570" s="82"/>
      <c r="BP570" s="82"/>
      <c r="BQ570" s="63"/>
      <c r="BR570" s="82"/>
      <c r="BS570" s="82"/>
      <c r="BT570" s="82"/>
      <c r="BU570" s="4"/>
    </row>
    <row r="571" spans="1:73" ht="12.75" x14ac:dyDescent="0.2">
      <c r="A571" s="1"/>
      <c r="B571" s="85"/>
      <c r="C571" s="85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4"/>
      <c r="O571" s="82"/>
      <c r="P571" s="82"/>
      <c r="Q571" s="82"/>
      <c r="R571" s="63"/>
      <c r="S571" s="63"/>
      <c r="T571" s="63"/>
      <c r="U571" s="63"/>
      <c r="V571" s="63"/>
      <c r="W571" s="63"/>
      <c r="X571" s="63"/>
      <c r="Y571" s="82"/>
      <c r="Z571" s="82"/>
      <c r="AA571" s="82"/>
      <c r="AB571" s="82"/>
      <c r="AC571" s="82"/>
      <c r="AD571" s="82"/>
      <c r="AE571" s="82"/>
      <c r="AF571" s="63" t="str">
        <f t="shared" si="2"/>
        <v/>
      </c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  <c r="AR571" s="82"/>
      <c r="AS571" s="82"/>
      <c r="AT571" s="82"/>
      <c r="AU571" s="82"/>
      <c r="AV571" s="82"/>
      <c r="AW571" s="82"/>
      <c r="AX571" s="82"/>
      <c r="AY571" s="82"/>
      <c r="AZ571" s="82"/>
      <c r="BA571" s="82"/>
      <c r="BB571" s="82"/>
      <c r="BC571" s="82"/>
      <c r="BD571" s="82"/>
      <c r="BE571" s="82"/>
      <c r="BF571" s="82"/>
      <c r="BG571" s="82"/>
      <c r="BH571" s="82"/>
      <c r="BI571" s="82"/>
      <c r="BJ571" s="82"/>
      <c r="BK571" s="82"/>
      <c r="BL571" s="82"/>
      <c r="BM571" s="82"/>
      <c r="BN571" s="82"/>
      <c r="BO571" s="82"/>
      <c r="BP571" s="82"/>
      <c r="BQ571" s="63"/>
      <c r="BR571" s="82"/>
      <c r="BS571" s="82"/>
      <c r="BT571" s="82"/>
      <c r="BU571" s="4"/>
    </row>
    <row r="572" spans="1:73" ht="12.75" x14ac:dyDescent="0.2">
      <c r="A572" s="1"/>
      <c r="B572" s="85"/>
      <c r="C572" s="85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4"/>
      <c r="O572" s="82"/>
      <c r="P572" s="82"/>
      <c r="Q572" s="82"/>
      <c r="R572" s="63"/>
      <c r="S572" s="63"/>
      <c r="T572" s="63"/>
      <c r="U572" s="63"/>
      <c r="V572" s="63"/>
      <c r="W572" s="63"/>
      <c r="X572" s="63"/>
      <c r="Y572" s="82"/>
      <c r="Z572" s="82"/>
      <c r="AA572" s="82"/>
      <c r="AB572" s="82"/>
      <c r="AC572" s="82"/>
      <c r="AD572" s="82"/>
      <c r="AE572" s="82"/>
      <c r="AF572" s="63" t="str">
        <f t="shared" si="2"/>
        <v/>
      </c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  <c r="AR572" s="82"/>
      <c r="AS572" s="82"/>
      <c r="AT572" s="82"/>
      <c r="AU572" s="82"/>
      <c r="AV572" s="82"/>
      <c r="AW572" s="82"/>
      <c r="AX572" s="82"/>
      <c r="AY572" s="82"/>
      <c r="AZ572" s="82"/>
      <c r="BA572" s="82"/>
      <c r="BB572" s="82"/>
      <c r="BC572" s="82"/>
      <c r="BD572" s="82"/>
      <c r="BE572" s="82"/>
      <c r="BF572" s="82"/>
      <c r="BG572" s="82"/>
      <c r="BH572" s="82"/>
      <c r="BI572" s="82"/>
      <c r="BJ572" s="82"/>
      <c r="BK572" s="82"/>
      <c r="BL572" s="82"/>
      <c r="BM572" s="82"/>
      <c r="BN572" s="82"/>
      <c r="BO572" s="82"/>
      <c r="BP572" s="82"/>
      <c r="BQ572" s="63"/>
      <c r="BR572" s="82"/>
      <c r="BS572" s="82"/>
      <c r="BT572" s="82"/>
      <c r="BU572" s="4"/>
    </row>
    <row r="573" spans="1:73" ht="12.75" x14ac:dyDescent="0.2">
      <c r="A573" s="1"/>
      <c r="B573" s="85"/>
      <c r="C573" s="85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4"/>
      <c r="O573" s="82"/>
      <c r="P573" s="82"/>
      <c r="Q573" s="82"/>
      <c r="R573" s="63"/>
      <c r="S573" s="63"/>
      <c r="T573" s="63"/>
      <c r="U573" s="63"/>
      <c r="V573" s="63"/>
      <c r="W573" s="63"/>
      <c r="X573" s="63"/>
      <c r="Y573" s="82"/>
      <c r="Z573" s="82"/>
      <c r="AA573" s="82"/>
      <c r="AB573" s="82"/>
      <c r="AC573" s="82"/>
      <c r="AD573" s="82"/>
      <c r="AE573" s="82"/>
      <c r="AF573" s="63" t="str">
        <f t="shared" si="2"/>
        <v/>
      </c>
      <c r="AG573" s="82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  <c r="AR573" s="82"/>
      <c r="AS573" s="82"/>
      <c r="AT573" s="82"/>
      <c r="AU573" s="82"/>
      <c r="AV573" s="82"/>
      <c r="AW573" s="82"/>
      <c r="AX573" s="82"/>
      <c r="AY573" s="82"/>
      <c r="AZ573" s="82"/>
      <c r="BA573" s="82"/>
      <c r="BB573" s="82"/>
      <c r="BC573" s="82"/>
      <c r="BD573" s="82"/>
      <c r="BE573" s="82"/>
      <c r="BF573" s="82"/>
      <c r="BG573" s="82"/>
      <c r="BH573" s="82"/>
      <c r="BI573" s="82"/>
      <c r="BJ573" s="82"/>
      <c r="BK573" s="82"/>
      <c r="BL573" s="82"/>
      <c r="BM573" s="82"/>
      <c r="BN573" s="82"/>
      <c r="BO573" s="82"/>
      <c r="BP573" s="82"/>
      <c r="BQ573" s="63"/>
      <c r="BR573" s="82"/>
      <c r="BS573" s="82"/>
      <c r="BT573" s="82"/>
      <c r="BU573" s="4"/>
    </row>
    <row r="574" spans="1:73" ht="12.75" x14ac:dyDescent="0.2">
      <c r="A574" s="1"/>
      <c r="B574" s="85"/>
      <c r="C574" s="85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4"/>
      <c r="O574" s="82"/>
      <c r="P574" s="82"/>
      <c r="Q574" s="82"/>
      <c r="R574" s="63"/>
      <c r="S574" s="63"/>
      <c r="T574" s="63"/>
      <c r="U574" s="63"/>
      <c r="V574" s="63"/>
      <c r="W574" s="63"/>
      <c r="X574" s="63"/>
      <c r="Y574" s="82"/>
      <c r="Z574" s="82"/>
      <c r="AA574" s="82"/>
      <c r="AB574" s="82"/>
      <c r="AC574" s="82"/>
      <c r="AD574" s="82"/>
      <c r="AE574" s="82"/>
      <c r="AF574" s="63" t="str">
        <f t="shared" si="2"/>
        <v/>
      </c>
      <c r="AG574" s="82"/>
      <c r="AH574" s="82"/>
      <c r="AI574" s="82"/>
      <c r="AJ574" s="82"/>
      <c r="AK574" s="82"/>
      <c r="AL574" s="82"/>
      <c r="AM574" s="82"/>
      <c r="AN574" s="82"/>
      <c r="AO574" s="82"/>
      <c r="AP574" s="82"/>
      <c r="AQ574" s="82"/>
      <c r="AR574" s="82"/>
      <c r="AS574" s="82"/>
      <c r="AT574" s="82"/>
      <c r="AU574" s="82"/>
      <c r="AV574" s="82"/>
      <c r="AW574" s="82"/>
      <c r="AX574" s="82"/>
      <c r="AY574" s="82"/>
      <c r="AZ574" s="82"/>
      <c r="BA574" s="82"/>
      <c r="BB574" s="82"/>
      <c r="BC574" s="82"/>
      <c r="BD574" s="82"/>
      <c r="BE574" s="82"/>
      <c r="BF574" s="82"/>
      <c r="BG574" s="82"/>
      <c r="BH574" s="82"/>
      <c r="BI574" s="82"/>
      <c r="BJ574" s="82"/>
      <c r="BK574" s="82"/>
      <c r="BL574" s="82"/>
      <c r="BM574" s="82"/>
      <c r="BN574" s="82"/>
      <c r="BO574" s="82"/>
      <c r="BP574" s="82"/>
      <c r="BQ574" s="63"/>
      <c r="BR574" s="82"/>
      <c r="BS574" s="82"/>
      <c r="BT574" s="82"/>
      <c r="BU574" s="4"/>
    </row>
    <row r="575" spans="1:73" ht="12.75" x14ac:dyDescent="0.2">
      <c r="A575" s="1"/>
      <c r="B575" s="85"/>
      <c r="C575" s="85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4"/>
      <c r="O575" s="82"/>
      <c r="P575" s="82"/>
      <c r="Q575" s="82"/>
      <c r="R575" s="63"/>
      <c r="S575" s="63"/>
      <c r="T575" s="63"/>
      <c r="U575" s="63"/>
      <c r="V575" s="63"/>
      <c r="W575" s="63"/>
      <c r="X575" s="63"/>
      <c r="Y575" s="82"/>
      <c r="Z575" s="82"/>
      <c r="AA575" s="82"/>
      <c r="AB575" s="82"/>
      <c r="AC575" s="82"/>
      <c r="AD575" s="82"/>
      <c r="AE575" s="82"/>
      <c r="AF575" s="63" t="str">
        <f t="shared" si="2"/>
        <v/>
      </c>
      <c r="AG575" s="82"/>
      <c r="AH575" s="82"/>
      <c r="AI575" s="82"/>
      <c r="AJ575" s="82"/>
      <c r="AK575" s="82"/>
      <c r="AL575" s="82"/>
      <c r="AM575" s="82"/>
      <c r="AN575" s="82"/>
      <c r="AO575" s="82"/>
      <c r="AP575" s="82"/>
      <c r="AQ575" s="82"/>
      <c r="AR575" s="82"/>
      <c r="AS575" s="82"/>
      <c r="AT575" s="82"/>
      <c r="AU575" s="82"/>
      <c r="AV575" s="82"/>
      <c r="AW575" s="82"/>
      <c r="AX575" s="82"/>
      <c r="AY575" s="82"/>
      <c r="AZ575" s="82"/>
      <c r="BA575" s="82"/>
      <c r="BB575" s="82"/>
      <c r="BC575" s="82"/>
      <c r="BD575" s="82"/>
      <c r="BE575" s="82"/>
      <c r="BF575" s="82"/>
      <c r="BG575" s="82"/>
      <c r="BH575" s="82"/>
      <c r="BI575" s="82"/>
      <c r="BJ575" s="82"/>
      <c r="BK575" s="82"/>
      <c r="BL575" s="82"/>
      <c r="BM575" s="82"/>
      <c r="BN575" s="82"/>
      <c r="BO575" s="82"/>
      <c r="BP575" s="82"/>
      <c r="BQ575" s="63"/>
      <c r="BR575" s="82"/>
      <c r="BS575" s="82"/>
      <c r="BT575" s="82"/>
      <c r="BU575" s="4"/>
    </row>
    <row r="576" spans="1:73" ht="12.75" x14ac:dyDescent="0.2">
      <c r="A576" s="1"/>
      <c r="B576" s="85"/>
      <c r="C576" s="85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4"/>
      <c r="O576" s="82"/>
      <c r="P576" s="82"/>
      <c r="Q576" s="82"/>
      <c r="R576" s="63"/>
      <c r="S576" s="63"/>
      <c r="T576" s="63"/>
      <c r="U576" s="63"/>
      <c r="V576" s="63"/>
      <c r="W576" s="63"/>
      <c r="X576" s="63"/>
      <c r="Y576" s="82"/>
      <c r="Z576" s="82"/>
      <c r="AA576" s="82"/>
      <c r="AB576" s="82"/>
      <c r="AC576" s="82"/>
      <c r="AD576" s="82"/>
      <c r="AE576" s="82"/>
      <c r="AF576" s="63" t="str">
        <f t="shared" si="2"/>
        <v/>
      </c>
      <c r="AG576" s="82"/>
      <c r="AH576" s="82"/>
      <c r="AI576" s="82"/>
      <c r="AJ576" s="82"/>
      <c r="AK576" s="82"/>
      <c r="AL576" s="82"/>
      <c r="AM576" s="82"/>
      <c r="AN576" s="82"/>
      <c r="AO576" s="82"/>
      <c r="AP576" s="82"/>
      <c r="AQ576" s="82"/>
      <c r="AR576" s="82"/>
      <c r="AS576" s="82"/>
      <c r="AT576" s="82"/>
      <c r="AU576" s="82"/>
      <c r="AV576" s="82"/>
      <c r="AW576" s="82"/>
      <c r="AX576" s="82"/>
      <c r="AY576" s="82"/>
      <c r="AZ576" s="82"/>
      <c r="BA576" s="82"/>
      <c r="BB576" s="82"/>
      <c r="BC576" s="82"/>
      <c r="BD576" s="82"/>
      <c r="BE576" s="82"/>
      <c r="BF576" s="82"/>
      <c r="BG576" s="82"/>
      <c r="BH576" s="82"/>
      <c r="BI576" s="82"/>
      <c r="BJ576" s="82"/>
      <c r="BK576" s="82"/>
      <c r="BL576" s="82"/>
      <c r="BM576" s="82"/>
      <c r="BN576" s="82"/>
      <c r="BO576" s="82"/>
      <c r="BP576" s="82"/>
      <c r="BQ576" s="63"/>
      <c r="BR576" s="82"/>
      <c r="BS576" s="82"/>
      <c r="BT576" s="82"/>
      <c r="BU576" s="4"/>
    </row>
    <row r="577" spans="1:73" ht="12.75" x14ac:dyDescent="0.2">
      <c r="A577" s="1"/>
      <c r="B577" s="85"/>
      <c r="C577" s="85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4"/>
      <c r="O577" s="82"/>
      <c r="P577" s="82"/>
      <c r="Q577" s="82"/>
      <c r="R577" s="63"/>
      <c r="S577" s="63"/>
      <c r="T577" s="63"/>
      <c r="U577" s="63"/>
      <c r="V577" s="63"/>
      <c r="W577" s="63"/>
      <c r="X577" s="63"/>
      <c r="Y577" s="82"/>
      <c r="Z577" s="82"/>
      <c r="AA577" s="82"/>
      <c r="AB577" s="82"/>
      <c r="AC577" s="82"/>
      <c r="AD577" s="82"/>
      <c r="AE577" s="82"/>
      <c r="AF577" s="63" t="str">
        <f t="shared" si="2"/>
        <v/>
      </c>
      <c r="AG577" s="82"/>
      <c r="AH577" s="82"/>
      <c r="AI577" s="82"/>
      <c r="AJ577" s="82"/>
      <c r="AK577" s="82"/>
      <c r="AL577" s="82"/>
      <c r="AM577" s="82"/>
      <c r="AN577" s="82"/>
      <c r="AO577" s="82"/>
      <c r="AP577" s="82"/>
      <c r="AQ577" s="82"/>
      <c r="AR577" s="82"/>
      <c r="AS577" s="82"/>
      <c r="AT577" s="82"/>
      <c r="AU577" s="82"/>
      <c r="AV577" s="82"/>
      <c r="AW577" s="82"/>
      <c r="AX577" s="82"/>
      <c r="AY577" s="82"/>
      <c r="AZ577" s="82"/>
      <c r="BA577" s="82"/>
      <c r="BB577" s="82"/>
      <c r="BC577" s="82"/>
      <c r="BD577" s="82"/>
      <c r="BE577" s="82"/>
      <c r="BF577" s="82"/>
      <c r="BG577" s="82"/>
      <c r="BH577" s="82"/>
      <c r="BI577" s="82"/>
      <c r="BJ577" s="82"/>
      <c r="BK577" s="82"/>
      <c r="BL577" s="82"/>
      <c r="BM577" s="82"/>
      <c r="BN577" s="82"/>
      <c r="BO577" s="82"/>
      <c r="BP577" s="82"/>
      <c r="BQ577" s="63"/>
      <c r="BR577" s="82"/>
      <c r="BS577" s="82"/>
      <c r="BT577" s="82"/>
      <c r="BU577" s="4"/>
    </row>
    <row r="578" spans="1:73" ht="12.75" x14ac:dyDescent="0.2">
      <c r="A578" s="1"/>
      <c r="B578" s="85"/>
      <c r="C578" s="85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4"/>
      <c r="O578" s="82"/>
      <c r="P578" s="82"/>
      <c r="Q578" s="82"/>
      <c r="R578" s="63"/>
      <c r="S578" s="63"/>
      <c r="T578" s="63"/>
      <c r="U578" s="63"/>
      <c r="V578" s="63"/>
      <c r="W578" s="63"/>
      <c r="X578" s="63"/>
      <c r="Y578" s="82"/>
      <c r="Z578" s="82"/>
      <c r="AA578" s="82"/>
      <c r="AB578" s="82"/>
      <c r="AC578" s="82"/>
      <c r="AD578" s="82"/>
      <c r="AE578" s="82"/>
      <c r="AF578" s="63" t="str">
        <f t="shared" si="2"/>
        <v/>
      </c>
      <c r="AG578" s="82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  <c r="AR578" s="82"/>
      <c r="AS578" s="82"/>
      <c r="AT578" s="82"/>
      <c r="AU578" s="82"/>
      <c r="AV578" s="82"/>
      <c r="AW578" s="82"/>
      <c r="AX578" s="82"/>
      <c r="AY578" s="82"/>
      <c r="AZ578" s="82"/>
      <c r="BA578" s="82"/>
      <c r="BB578" s="82"/>
      <c r="BC578" s="82"/>
      <c r="BD578" s="82"/>
      <c r="BE578" s="82"/>
      <c r="BF578" s="82"/>
      <c r="BG578" s="82"/>
      <c r="BH578" s="82"/>
      <c r="BI578" s="82"/>
      <c r="BJ578" s="82"/>
      <c r="BK578" s="82"/>
      <c r="BL578" s="82"/>
      <c r="BM578" s="82"/>
      <c r="BN578" s="82"/>
      <c r="BO578" s="82"/>
      <c r="BP578" s="82"/>
      <c r="BQ578" s="63"/>
      <c r="BR578" s="82"/>
      <c r="BS578" s="82"/>
      <c r="BT578" s="82"/>
      <c r="BU578" s="4"/>
    </row>
    <row r="579" spans="1:73" ht="12.75" x14ac:dyDescent="0.2">
      <c r="A579" s="1"/>
      <c r="B579" s="85"/>
      <c r="C579" s="85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4"/>
      <c r="O579" s="82"/>
      <c r="P579" s="82"/>
      <c r="Q579" s="82"/>
      <c r="R579" s="63"/>
      <c r="S579" s="63"/>
      <c r="T579" s="63"/>
      <c r="U579" s="63"/>
      <c r="V579" s="63"/>
      <c r="W579" s="63"/>
      <c r="X579" s="63"/>
      <c r="Y579" s="82"/>
      <c r="Z579" s="82"/>
      <c r="AA579" s="82"/>
      <c r="AB579" s="82"/>
      <c r="AC579" s="82"/>
      <c r="AD579" s="82"/>
      <c r="AE579" s="82"/>
      <c r="AF579" s="63" t="str">
        <f t="shared" si="2"/>
        <v/>
      </c>
      <c r="AG579" s="82"/>
      <c r="AH579" s="82"/>
      <c r="AI579" s="82"/>
      <c r="AJ579" s="82"/>
      <c r="AK579" s="82"/>
      <c r="AL579" s="82"/>
      <c r="AM579" s="82"/>
      <c r="AN579" s="82"/>
      <c r="AO579" s="82"/>
      <c r="AP579" s="82"/>
      <c r="AQ579" s="82"/>
      <c r="AR579" s="82"/>
      <c r="AS579" s="82"/>
      <c r="AT579" s="82"/>
      <c r="AU579" s="82"/>
      <c r="AV579" s="82"/>
      <c r="AW579" s="82"/>
      <c r="AX579" s="82"/>
      <c r="AY579" s="82"/>
      <c r="AZ579" s="82"/>
      <c r="BA579" s="82"/>
      <c r="BB579" s="82"/>
      <c r="BC579" s="82"/>
      <c r="BD579" s="82"/>
      <c r="BE579" s="82"/>
      <c r="BF579" s="82"/>
      <c r="BG579" s="82"/>
      <c r="BH579" s="82"/>
      <c r="BI579" s="82"/>
      <c r="BJ579" s="82"/>
      <c r="BK579" s="82"/>
      <c r="BL579" s="82"/>
      <c r="BM579" s="82"/>
      <c r="BN579" s="82"/>
      <c r="BO579" s="82"/>
      <c r="BP579" s="82"/>
      <c r="BQ579" s="63"/>
      <c r="BR579" s="82"/>
      <c r="BS579" s="82"/>
      <c r="BT579" s="82"/>
      <c r="BU579" s="4"/>
    </row>
    <row r="580" spans="1:73" ht="12.75" x14ac:dyDescent="0.2">
      <c r="A580" s="1"/>
      <c r="B580" s="85"/>
      <c r="C580" s="85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4"/>
      <c r="O580" s="82"/>
      <c r="P580" s="82"/>
      <c r="Q580" s="82"/>
      <c r="R580" s="63"/>
      <c r="S580" s="63"/>
      <c r="T580" s="63"/>
      <c r="U580" s="63"/>
      <c r="V580" s="63"/>
      <c r="W580" s="63"/>
      <c r="X580" s="63"/>
      <c r="Y580" s="82"/>
      <c r="Z580" s="82"/>
      <c r="AA580" s="82"/>
      <c r="AB580" s="82"/>
      <c r="AC580" s="82"/>
      <c r="AD580" s="82"/>
      <c r="AE580" s="82"/>
      <c r="AF580" s="63" t="str">
        <f t="shared" si="2"/>
        <v/>
      </c>
      <c r="AG580" s="82"/>
      <c r="AH580" s="82"/>
      <c r="AI580" s="82"/>
      <c r="AJ580" s="82"/>
      <c r="AK580" s="82"/>
      <c r="AL580" s="82"/>
      <c r="AM580" s="82"/>
      <c r="AN580" s="82"/>
      <c r="AO580" s="82"/>
      <c r="AP580" s="82"/>
      <c r="AQ580" s="82"/>
      <c r="AR580" s="82"/>
      <c r="AS580" s="82"/>
      <c r="AT580" s="82"/>
      <c r="AU580" s="82"/>
      <c r="AV580" s="82"/>
      <c r="AW580" s="82"/>
      <c r="AX580" s="82"/>
      <c r="AY580" s="82"/>
      <c r="AZ580" s="82"/>
      <c r="BA580" s="82"/>
      <c r="BB580" s="82"/>
      <c r="BC580" s="82"/>
      <c r="BD580" s="82"/>
      <c r="BE580" s="82"/>
      <c r="BF580" s="82"/>
      <c r="BG580" s="82"/>
      <c r="BH580" s="82"/>
      <c r="BI580" s="82"/>
      <c r="BJ580" s="82"/>
      <c r="BK580" s="82"/>
      <c r="BL580" s="82"/>
      <c r="BM580" s="82"/>
      <c r="BN580" s="82"/>
      <c r="BO580" s="82"/>
      <c r="BP580" s="82"/>
      <c r="BQ580" s="63"/>
      <c r="BR580" s="82"/>
      <c r="BS580" s="82"/>
      <c r="BT580" s="82"/>
      <c r="BU580" s="4"/>
    </row>
    <row r="581" spans="1:73" ht="12.75" x14ac:dyDescent="0.2">
      <c r="A581" s="1"/>
      <c r="B581" s="85"/>
      <c r="C581" s="85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4"/>
      <c r="O581" s="82"/>
      <c r="P581" s="82"/>
      <c r="Q581" s="82"/>
      <c r="R581" s="63"/>
      <c r="S581" s="63"/>
      <c r="T581" s="63"/>
      <c r="U581" s="63"/>
      <c r="V581" s="63"/>
      <c r="W581" s="63"/>
      <c r="X581" s="63"/>
      <c r="Y581" s="82"/>
      <c r="Z581" s="82"/>
      <c r="AA581" s="82"/>
      <c r="AB581" s="82"/>
      <c r="AC581" s="82"/>
      <c r="AD581" s="82"/>
      <c r="AE581" s="82"/>
      <c r="AF581" s="63" t="str">
        <f t="shared" si="2"/>
        <v/>
      </c>
      <c r="AG581" s="82"/>
      <c r="AH581" s="82"/>
      <c r="AI581" s="82"/>
      <c r="AJ581" s="82"/>
      <c r="AK581" s="82"/>
      <c r="AL581" s="82"/>
      <c r="AM581" s="82"/>
      <c r="AN581" s="82"/>
      <c r="AO581" s="82"/>
      <c r="AP581" s="82"/>
      <c r="AQ581" s="82"/>
      <c r="AR581" s="82"/>
      <c r="AS581" s="82"/>
      <c r="AT581" s="82"/>
      <c r="AU581" s="82"/>
      <c r="AV581" s="82"/>
      <c r="AW581" s="82"/>
      <c r="AX581" s="82"/>
      <c r="AY581" s="82"/>
      <c r="AZ581" s="82"/>
      <c r="BA581" s="82"/>
      <c r="BB581" s="82"/>
      <c r="BC581" s="82"/>
      <c r="BD581" s="82"/>
      <c r="BE581" s="82"/>
      <c r="BF581" s="82"/>
      <c r="BG581" s="82"/>
      <c r="BH581" s="82"/>
      <c r="BI581" s="82"/>
      <c r="BJ581" s="82"/>
      <c r="BK581" s="82"/>
      <c r="BL581" s="82"/>
      <c r="BM581" s="82"/>
      <c r="BN581" s="82"/>
      <c r="BO581" s="82"/>
      <c r="BP581" s="82"/>
      <c r="BQ581" s="63"/>
      <c r="BR581" s="82"/>
      <c r="BS581" s="82"/>
      <c r="BT581" s="82"/>
      <c r="BU581" s="4"/>
    </row>
    <row r="582" spans="1:73" ht="12.75" x14ac:dyDescent="0.2">
      <c r="A582" s="1"/>
      <c r="B582" s="85"/>
      <c r="C582" s="85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4"/>
      <c r="O582" s="82"/>
      <c r="P582" s="82"/>
      <c r="Q582" s="82"/>
      <c r="R582" s="63"/>
      <c r="S582" s="63"/>
      <c r="T582" s="63"/>
      <c r="U582" s="63"/>
      <c r="V582" s="63"/>
      <c r="W582" s="63"/>
      <c r="X582" s="63"/>
      <c r="Y582" s="82"/>
      <c r="Z582" s="82"/>
      <c r="AA582" s="82"/>
      <c r="AB582" s="82"/>
      <c r="AC582" s="82"/>
      <c r="AD582" s="82"/>
      <c r="AE582" s="82"/>
      <c r="AF582" s="63" t="str">
        <f t="shared" si="2"/>
        <v/>
      </c>
      <c r="AG582" s="82"/>
      <c r="AH582" s="82"/>
      <c r="AI582" s="82"/>
      <c r="AJ582" s="82"/>
      <c r="AK582" s="82"/>
      <c r="AL582" s="82"/>
      <c r="AM582" s="82"/>
      <c r="AN582" s="82"/>
      <c r="AO582" s="82"/>
      <c r="AP582" s="82"/>
      <c r="AQ582" s="82"/>
      <c r="AR582" s="82"/>
      <c r="AS582" s="82"/>
      <c r="AT582" s="82"/>
      <c r="AU582" s="82"/>
      <c r="AV582" s="82"/>
      <c r="AW582" s="82"/>
      <c r="AX582" s="82"/>
      <c r="AY582" s="82"/>
      <c r="AZ582" s="82"/>
      <c r="BA582" s="82"/>
      <c r="BB582" s="82"/>
      <c r="BC582" s="82"/>
      <c r="BD582" s="82"/>
      <c r="BE582" s="82"/>
      <c r="BF582" s="82"/>
      <c r="BG582" s="82"/>
      <c r="BH582" s="82"/>
      <c r="BI582" s="82"/>
      <c r="BJ582" s="82"/>
      <c r="BK582" s="82"/>
      <c r="BL582" s="82"/>
      <c r="BM582" s="82"/>
      <c r="BN582" s="82"/>
      <c r="BO582" s="82"/>
      <c r="BP582" s="82"/>
      <c r="BQ582" s="63"/>
      <c r="BR582" s="82"/>
      <c r="BS582" s="82"/>
      <c r="BT582" s="82"/>
      <c r="BU582" s="4"/>
    </row>
    <row r="583" spans="1:73" ht="12.75" x14ac:dyDescent="0.2">
      <c r="A583" s="1"/>
      <c r="B583" s="85"/>
      <c r="C583" s="85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4"/>
      <c r="O583" s="82"/>
      <c r="P583" s="82"/>
      <c r="Q583" s="82"/>
      <c r="R583" s="63"/>
      <c r="S583" s="63"/>
      <c r="T583" s="63"/>
      <c r="U583" s="63"/>
      <c r="V583" s="63"/>
      <c r="W583" s="63"/>
      <c r="X583" s="63"/>
      <c r="Y583" s="82"/>
      <c r="Z583" s="82"/>
      <c r="AA583" s="82"/>
      <c r="AB583" s="82"/>
      <c r="AC583" s="82"/>
      <c r="AD583" s="82"/>
      <c r="AE583" s="82"/>
      <c r="AF583" s="63" t="str">
        <f t="shared" si="2"/>
        <v/>
      </c>
      <c r="AG583" s="82"/>
      <c r="AH583" s="82"/>
      <c r="AI583" s="82"/>
      <c r="AJ583" s="82"/>
      <c r="AK583" s="82"/>
      <c r="AL583" s="82"/>
      <c r="AM583" s="82"/>
      <c r="AN583" s="82"/>
      <c r="AO583" s="82"/>
      <c r="AP583" s="82"/>
      <c r="AQ583" s="82"/>
      <c r="AR583" s="82"/>
      <c r="AS583" s="82"/>
      <c r="AT583" s="82"/>
      <c r="AU583" s="82"/>
      <c r="AV583" s="82"/>
      <c r="AW583" s="82"/>
      <c r="AX583" s="82"/>
      <c r="AY583" s="82"/>
      <c r="AZ583" s="82"/>
      <c r="BA583" s="82"/>
      <c r="BB583" s="82"/>
      <c r="BC583" s="82"/>
      <c r="BD583" s="82"/>
      <c r="BE583" s="82"/>
      <c r="BF583" s="82"/>
      <c r="BG583" s="82"/>
      <c r="BH583" s="82"/>
      <c r="BI583" s="82"/>
      <c r="BJ583" s="82"/>
      <c r="BK583" s="82"/>
      <c r="BL583" s="82"/>
      <c r="BM583" s="82"/>
      <c r="BN583" s="82"/>
      <c r="BO583" s="82"/>
      <c r="BP583" s="82"/>
      <c r="BQ583" s="63"/>
      <c r="BR583" s="82"/>
      <c r="BS583" s="82"/>
      <c r="BT583" s="82"/>
      <c r="BU583" s="4"/>
    </row>
    <row r="584" spans="1:73" ht="12.75" x14ac:dyDescent="0.2">
      <c r="A584" s="1"/>
      <c r="B584" s="85"/>
      <c r="C584" s="85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4"/>
      <c r="O584" s="82"/>
      <c r="P584" s="82"/>
      <c r="Q584" s="82"/>
      <c r="R584" s="63"/>
      <c r="S584" s="63"/>
      <c r="T584" s="63"/>
      <c r="U584" s="63"/>
      <c r="V584" s="63"/>
      <c r="W584" s="63"/>
      <c r="X584" s="63"/>
      <c r="Y584" s="82"/>
      <c r="Z584" s="82"/>
      <c r="AA584" s="82"/>
      <c r="AB584" s="82"/>
      <c r="AC584" s="82"/>
      <c r="AD584" s="82"/>
      <c r="AE584" s="82"/>
      <c r="AF584" s="63" t="str">
        <f t="shared" si="2"/>
        <v/>
      </c>
      <c r="AG584" s="82"/>
      <c r="AH584" s="82"/>
      <c r="AI584" s="82"/>
      <c r="AJ584" s="82"/>
      <c r="AK584" s="82"/>
      <c r="AL584" s="82"/>
      <c r="AM584" s="82"/>
      <c r="AN584" s="82"/>
      <c r="AO584" s="82"/>
      <c r="AP584" s="82"/>
      <c r="AQ584" s="82"/>
      <c r="AR584" s="82"/>
      <c r="AS584" s="82"/>
      <c r="AT584" s="82"/>
      <c r="AU584" s="82"/>
      <c r="AV584" s="82"/>
      <c r="AW584" s="82"/>
      <c r="AX584" s="82"/>
      <c r="AY584" s="82"/>
      <c r="AZ584" s="82"/>
      <c r="BA584" s="82"/>
      <c r="BB584" s="82"/>
      <c r="BC584" s="82"/>
      <c r="BD584" s="82"/>
      <c r="BE584" s="82"/>
      <c r="BF584" s="82"/>
      <c r="BG584" s="82"/>
      <c r="BH584" s="82"/>
      <c r="BI584" s="82"/>
      <c r="BJ584" s="82"/>
      <c r="BK584" s="82"/>
      <c r="BL584" s="82"/>
      <c r="BM584" s="82"/>
      <c r="BN584" s="82"/>
      <c r="BO584" s="82"/>
      <c r="BP584" s="82"/>
      <c r="BQ584" s="63"/>
      <c r="BR584" s="82"/>
      <c r="BS584" s="82"/>
      <c r="BT584" s="82"/>
      <c r="BU584" s="4"/>
    </row>
    <row r="585" spans="1:73" ht="12.75" x14ac:dyDescent="0.2">
      <c r="A585" s="1"/>
      <c r="B585" s="85"/>
      <c r="C585" s="85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4"/>
      <c r="O585" s="82"/>
      <c r="P585" s="82"/>
      <c r="Q585" s="82"/>
      <c r="R585" s="63"/>
      <c r="S585" s="63"/>
      <c r="T585" s="63"/>
      <c r="U585" s="63"/>
      <c r="V585" s="63"/>
      <c r="W585" s="63"/>
      <c r="X585" s="63"/>
      <c r="Y585" s="82"/>
      <c r="Z585" s="82"/>
      <c r="AA585" s="82"/>
      <c r="AB585" s="82"/>
      <c r="AC585" s="82"/>
      <c r="AD585" s="82"/>
      <c r="AE585" s="82"/>
      <c r="AF585" s="63" t="str">
        <f t="shared" si="2"/>
        <v/>
      </c>
      <c r="AG585" s="82"/>
      <c r="AH585" s="82"/>
      <c r="AI585" s="82"/>
      <c r="AJ585" s="82"/>
      <c r="AK585" s="82"/>
      <c r="AL585" s="82"/>
      <c r="AM585" s="82"/>
      <c r="AN585" s="82"/>
      <c r="AO585" s="82"/>
      <c r="AP585" s="82"/>
      <c r="AQ585" s="82"/>
      <c r="AR585" s="82"/>
      <c r="AS585" s="82"/>
      <c r="AT585" s="82"/>
      <c r="AU585" s="82"/>
      <c r="AV585" s="82"/>
      <c r="AW585" s="82"/>
      <c r="AX585" s="82"/>
      <c r="AY585" s="82"/>
      <c r="AZ585" s="82"/>
      <c r="BA585" s="82"/>
      <c r="BB585" s="82"/>
      <c r="BC585" s="82"/>
      <c r="BD585" s="82"/>
      <c r="BE585" s="82"/>
      <c r="BF585" s="82"/>
      <c r="BG585" s="82"/>
      <c r="BH585" s="82"/>
      <c r="BI585" s="82"/>
      <c r="BJ585" s="82"/>
      <c r="BK585" s="82"/>
      <c r="BL585" s="82"/>
      <c r="BM585" s="82"/>
      <c r="BN585" s="82"/>
      <c r="BO585" s="82"/>
      <c r="BP585" s="82"/>
      <c r="BQ585" s="63"/>
      <c r="BR585" s="82"/>
      <c r="BS585" s="82"/>
      <c r="BT585" s="82"/>
      <c r="BU585" s="4"/>
    </row>
    <row r="586" spans="1:73" ht="12.75" x14ac:dyDescent="0.2">
      <c r="A586" s="1"/>
      <c r="B586" s="85"/>
      <c r="C586" s="85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4"/>
      <c r="O586" s="82"/>
      <c r="P586" s="82"/>
      <c r="Q586" s="82"/>
      <c r="R586" s="63"/>
      <c r="S586" s="63"/>
      <c r="T586" s="63"/>
      <c r="U586" s="63"/>
      <c r="V586" s="63"/>
      <c r="W586" s="63"/>
      <c r="X586" s="63"/>
      <c r="Y586" s="82"/>
      <c r="Z586" s="82"/>
      <c r="AA586" s="82"/>
      <c r="AB586" s="82"/>
      <c r="AC586" s="82"/>
      <c r="AD586" s="82"/>
      <c r="AE586" s="82"/>
      <c r="AF586" s="63" t="str">
        <f t="shared" si="2"/>
        <v/>
      </c>
      <c r="AG586" s="82"/>
      <c r="AH586" s="82"/>
      <c r="AI586" s="82"/>
      <c r="AJ586" s="82"/>
      <c r="AK586" s="82"/>
      <c r="AL586" s="82"/>
      <c r="AM586" s="82"/>
      <c r="AN586" s="82"/>
      <c r="AO586" s="82"/>
      <c r="AP586" s="82"/>
      <c r="AQ586" s="82"/>
      <c r="AR586" s="82"/>
      <c r="AS586" s="82"/>
      <c r="AT586" s="82"/>
      <c r="AU586" s="82"/>
      <c r="AV586" s="82"/>
      <c r="AW586" s="82"/>
      <c r="AX586" s="82"/>
      <c r="AY586" s="82"/>
      <c r="AZ586" s="82"/>
      <c r="BA586" s="82"/>
      <c r="BB586" s="82"/>
      <c r="BC586" s="82"/>
      <c r="BD586" s="82"/>
      <c r="BE586" s="82"/>
      <c r="BF586" s="82"/>
      <c r="BG586" s="82"/>
      <c r="BH586" s="82"/>
      <c r="BI586" s="82"/>
      <c r="BJ586" s="82"/>
      <c r="BK586" s="82"/>
      <c r="BL586" s="82"/>
      <c r="BM586" s="82"/>
      <c r="BN586" s="82"/>
      <c r="BO586" s="82"/>
      <c r="BP586" s="82"/>
      <c r="BQ586" s="63"/>
      <c r="BR586" s="82"/>
      <c r="BS586" s="82"/>
      <c r="BT586" s="82"/>
      <c r="BU586" s="4"/>
    </row>
    <row r="587" spans="1:73" ht="12.75" x14ac:dyDescent="0.2">
      <c r="A587" s="1"/>
      <c r="B587" s="85"/>
      <c r="C587" s="85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4"/>
      <c r="O587" s="82"/>
      <c r="P587" s="82"/>
      <c r="Q587" s="82"/>
      <c r="R587" s="63"/>
      <c r="S587" s="63"/>
      <c r="T587" s="63"/>
      <c r="U587" s="63"/>
      <c r="V587" s="63"/>
      <c r="W587" s="63"/>
      <c r="X587" s="63"/>
      <c r="Y587" s="82"/>
      <c r="Z587" s="82"/>
      <c r="AA587" s="82"/>
      <c r="AB587" s="82"/>
      <c r="AC587" s="82"/>
      <c r="AD587" s="82"/>
      <c r="AE587" s="82"/>
      <c r="AF587" s="63" t="str">
        <f t="shared" si="2"/>
        <v/>
      </c>
      <c r="AG587" s="82"/>
      <c r="AH587" s="82"/>
      <c r="AI587" s="82"/>
      <c r="AJ587" s="82"/>
      <c r="AK587" s="82"/>
      <c r="AL587" s="82"/>
      <c r="AM587" s="82"/>
      <c r="AN587" s="82"/>
      <c r="AO587" s="82"/>
      <c r="AP587" s="82"/>
      <c r="AQ587" s="82"/>
      <c r="AR587" s="82"/>
      <c r="AS587" s="82"/>
      <c r="AT587" s="82"/>
      <c r="AU587" s="82"/>
      <c r="AV587" s="82"/>
      <c r="AW587" s="82"/>
      <c r="AX587" s="82"/>
      <c r="AY587" s="82"/>
      <c r="AZ587" s="82"/>
      <c r="BA587" s="82"/>
      <c r="BB587" s="82"/>
      <c r="BC587" s="82"/>
      <c r="BD587" s="82"/>
      <c r="BE587" s="82"/>
      <c r="BF587" s="82"/>
      <c r="BG587" s="82"/>
      <c r="BH587" s="82"/>
      <c r="BI587" s="82"/>
      <c r="BJ587" s="82"/>
      <c r="BK587" s="82"/>
      <c r="BL587" s="82"/>
      <c r="BM587" s="82"/>
      <c r="BN587" s="82"/>
      <c r="BO587" s="82"/>
      <c r="BP587" s="82"/>
      <c r="BQ587" s="63"/>
      <c r="BR587" s="82"/>
      <c r="BS587" s="82"/>
      <c r="BT587" s="82"/>
      <c r="BU587" s="4"/>
    </row>
    <row r="588" spans="1:73" ht="12.75" x14ac:dyDescent="0.2">
      <c r="A588" s="1"/>
      <c r="B588" s="85"/>
      <c r="C588" s="85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4"/>
      <c r="O588" s="82"/>
      <c r="P588" s="82"/>
      <c r="Q588" s="82"/>
      <c r="R588" s="63"/>
      <c r="S588" s="63"/>
      <c r="T588" s="63"/>
      <c r="U588" s="63"/>
      <c r="V588" s="63"/>
      <c r="W588" s="63"/>
      <c r="X588" s="63"/>
      <c r="Y588" s="82"/>
      <c r="Z588" s="82"/>
      <c r="AA588" s="82"/>
      <c r="AB588" s="82"/>
      <c r="AC588" s="82"/>
      <c r="AD588" s="82"/>
      <c r="AE588" s="82"/>
      <c r="AF588" s="63" t="str">
        <f t="shared" si="2"/>
        <v/>
      </c>
      <c r="AG588" s="82"/>
      <c r="AH588" s="82"/>
      <c r="AI588" s="82"/>
      <c r="AJ588" s="82"/>
      <c r="AK588" s="82"/>
      <c r="AL588" s="82"/>
      <c r="AM588" s="82"/>
      <c r="AN588" s="82"/>
      <c r="AO588" s="82"/>
      <c r="AP588" s="82"/>
      <c r="AQ588" s="82"/>
      <c r="AR588" s="82"/>
      <c r="AS588" s="82"/>
      <c r="AT588" s="82"/>
      <c r="AU588" s="82"/>
      <c r="AV588" s="82"/>
      <c r="AW588" s="82"/>
      <c r="AX588" s="82"/>
      <c r="AY588" s="82"/>
      <c r="AZ588" s="82"/>
      <c r="BA588" s="82"/>
      <c r="BB588" s="82"/>
      <c r="BC588" s="82"/>
      <c r="BD588" s="82"/>
      <c r="BE588" s="82"/>
      <c r="BF588" s="82"/>
      <c r="BG588" s="82"/>
      <c r="BH588" s="82"/>
      <c r="BI588" s="82"/>
      <c r="BJ588" s="82"/>
      <c r="BK588" s="82"/>
      <c r="BL588" s="82"/>
      <c r="BM588" s="82"/>
      <c r="BN588" s="82"/>
      <c r="BO588" s="82"/>
      <c r="BP588" s="82"/>
      <c r="BQ588" s="63"/>
      <c r="BR588" s="82"/>
      <c r="BS588" s="82"/>
      <c r="BT588" s="82"/>
      <c r="BU588" s="4"/>
    </row>
    <row r="589" spans="1:73" ht="12.75" x14ac:dyDescent="0.2">
      <c r="A589" s="1"/>
      <c r="B589" s="85"/>
      <c r="C589" s="85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4"/>
      <c r="O589" s="82"/>
      <c r="P589" s="82"/>
      <c r="Q589" s="82"/>
      <c r="R589" s="63"/>
      <c r="S589" s="63"/>
      <c r="T589" s="63"/>
      <c r="U589" s="63"/>
      <c r="V589" s="63"/>
      <c r="W589" s="63"/>
      <c r="X589" s="63"/>
      <c r="Y589" s="82"/>
      <c r="Z589" s="82"/>
      <c r="AA589" s="82"/>
      <c r="AB589" s="82"/>
      <c r="AC589" s="82"/>
      <c r="AD589" s="82"/>
      <c r="AE589" s="82"/>
      <c r="AF589" s="63" t="str">
        <f t="shared" si="2"/>
        <v/>
      </c>
      <c r="AG589" s="82"/>
      <c r="AH589" s="82"/>
      <c r="AI589" s="82"/>
      <c r="AJ589" s="82"/>
      <c r="AK589" s="82"/>
      <c r="AL589" s="82"/>
      <c r="AM589" s="82"/>
      <c r="AN589" s="82"/>
      <c r="AO589" s="82"/>
      <c r="AP589" s="82"/>
      <c r="AQ589" s="82"/>
      <c r="AR589" s="82"/>
      <c r="AS589" s="82"/>
      <c r="AT589" s="82"/>
      <c r="AU589" s="82"/>
      <c r="AV589" s="82"/>
      <c r="AW589" s="82"/>
      <c r="AX589" s="82"/>
      <c r="AY589" s="82"/>
      <c r="AZ589" s="82"/>
      <c r="BA589" s="82"/>
      <c r="BB589" s="82"/>
      <c r="BC589" s="82"/>
      <c r="BD589" s="82"/>
      <c r="BE589" s="82"/>
      <c r="BF589" s="82"/>
      <c r="BG589" s="82"/>
      <c r="BH589" s="82"/>
      <c r="BI589" s="82"/>
      <c r="BJ589" s="82"/>
      <c r="BK589" s="82"/>
      <c r="BL589" s="82"/>
      <c r="BM589" s="82"/>
      <c r="BN589" s="82"/>
      <c r="BO589" s="82"/>
      <c r="BP589" s="82"/>
      <c r="BQ589" s="63"/>
      <c r="BR589" s="82"/>
      <c r="BS589" s="82"/>
      <c r="BT589" s="82"/>
      <c r="BU589" s="4"/>
    </row>
    <row r="590" spans="1:73" ht="12.75" x14ac:dyDescent="0.2">
      <c r="A590" s="1"/>
      <c r="B590" s="85"/>
      <c r="C590" s="85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4"/>
      <c r="O590" s="82"/>
      <c r="P590" s="82"/>
      <c r="Q590" s="82"/>
      <c r="R590" s="63"/>
      <c r="S590" s="63"/>
      <c r="T590" s="63"/>
      <c r="U590" s="63"/>
      <c r="V590" s="63"/>
      <c r="W590" s="63"/>
      <c r="X590" s="63"/>
      <c r="Y590" s="82"/>
      <c r="Z590" s="82"/>
      <c r="AA590" s="82"/>
      <c r="AB590" s="82"/>
      <c r="AC590" s="82"/>
      <c r="AD590" s="82"/>
      <c r="AE590" s="82"/>
      <c r="AF590" s="63" t="str">
        <f t="shared" si="2"/>
        <v/>
      </c>
      <c r="AG590" s="82"/>
      <c r="AH590" s="82"/>
      <c r="AI590" s="82"/>
      <c r="AJ590" s="82"/>
      <c r="AK590" s="82"/>
      <c r="AL590" s="82"/>
      <c r="AM590" s="82"/>
      <c r="AN590" s="82"/>
      <c r="AO590" s="82"/>
      <c r="AP590" s="82"/>
      <c r="AQ590" s="82"/>
      <c r="AR590" s="82"/>
      <c r="AS590" s="82"/>
      <c r="AT590" s="82"/>
      <c r="AU590" s="82"/>
      <c r="AV590" s="82"/>
      <c r="AW590" s="82"/>
      <c r="AX590" s="82"/>
      <c r="AY590" s="82"/>
      <c r="AZ590" s="82"/>
      <c r="BA590" s="82"/>
      <c r="BB590" s="82"/>
      <c r="BC590" s="82"/>
      <c r="BD590" s="82"/>
      <c r="BE590" s="82"/>
      <c r="BF590" s="82"/>
      <c r="BG590" s="82"/>
      <c r="BH590" s="82"/>
      <c r="BI590" s="82"/>
      <c r="BJ590" s="82"/>
      <c r="BK590" s="82"/>
      <c r="BL590" s="82"/>
      <c r="BM590" s="82"/>
      <c r="BN590" s="82"/>
      <c r="BO590" s="82"/>
      <c r="BP590" s="82"/>
      <c r="BQ590" s="63"/>
      <c r="BR590" s="82"/>
      <c r="BS590" s="82"/>
      <c r="BT590" s="82"/>
      <c r="BU590" s="4"/>
    </row>
    <row r="591" spans="1:73" ht="12.75" x14ac:dyDescent="0.2">
      <c r="A591" s="1"/>
      <c r="B591" s="85"/>
      <c r="C591" s="85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4"/>
      <c r="O591" s="82"/>
      <c r="P591" s="82"/>
      <c r="Q591" s="82"/>
      <c r="R591" s="63"/>
      <c r="S591" s="63"/>
      <c r="T591" s="63"/>
      <c r="U591" s="63"/>
      <c r="V591" s="63"/>
      <c r="W591" s="63"/>
      <c r="X591" s="63"/>
      <c r="Y591" s="82"/>
      <c r="Z591" s="82"/>
      <c r="AA591" s="82"/>
      <c r="AB591" s="82"/>
      <c r="AC591" s="82"/>
      <c r="AD591" s="82"/>
      <c r="AE591" s="82"/>
      <c r="AF591" s="63" t="str">
        <f t="shared" si="2"/>
        <v/>
      </c>
      <c r="AG591" s="82"/>
      <c r="AH591" s="82"/>
      <c r="AI591" s="82"/>
      <c r="AJ591" s="82"/>
      <c r="AK591" s="82"/>
      <c r="AL591" s="82"/>
      <c r="AM591" s="82"/>
      <c r="AN591" s="82"/>
      <c r="AO591" s="82"/>
      <c r="AP591" s="82"/>
      <c r="AQ591" s="82"/>
      <c r="AR591" s="82"/>
      <c r="AS591" s="82"/>
      <c r="AT591" s="82"/>
      <c r="AU591" s="82"/>
      <c r="AV591" s="82"/>
      <c r="AW591" s="82"/>
      <c r="AX591" s="82"/>
      <c r="AY591" s="82"/>
      <c r="AZ591" s="82"/>
      <c r="BA591" s="82"/>
      <c r="BB591" s="82"/>
      <c r="BC591" s="82"/>
      <c r="BD591" s="82"/>
      <c r="BE591" s="82"/>
      <c r="BF591" s="82"/>
      <c r="BG591" s="82"/>
      <c r="BH591" s="82"/>
      <c r="BI591" s="82"/>
      <c r="BJ591" s="82"/>
      <c r="BK591" s="82"/>
      <c r="BL591" s="82"/>
      <c r="BM591" s="82"/>
      <c r="BN591" s="82"/>
      <c r="BO591" s="82"/>
      <c r="BP591" s="82"/>
      <c r="BQ591" s="63"/>
      <c r="BR591" s="82"/>
      <c r="BS591" s="82"/>
      <c r="BT591" s="82"/>
      <c r="BU591" s="4"/>
    </row>
    <row r="592" spans="1:73" ht="12.75" x14ac:dyDescent="0.2">
      <c r="A592" s="1"/>
      <c r="B592" s="85"/>
      <c r="C592" s="85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4"/>
      <c r="O592" s="82"/>
      <c r="P592" s="82"/>
      <c r="Q592" s="82"/>
      <c r="R592" s="63"/>
      <c r="S592" s="63"/>
      <c r="T592" s="63"/>
      <c r="U592" s="63"/>
      <c r="V592" s="63"/>
      <c r="W592" s="63"/>
      <c r="X592" s="63"/>
      <c r="Y592" s="82"/>
      <c r="Z592" s="82"/>
      <c r="AA592" s="82"/>
      <c r="AB592" s="82"/>
      <c r="AC592" s="82"/>
      <c r="AD592" s="82"/>
      <c r="AE592" s="82"/>
      <c r="AF592" s="63" t="str">
        <f t="shared" si="2"/>
        <v/>
      </c>
      <c r="AG592" s="82"/>
      <c r="AH592" s="82"/>
      <c r="AI592" s="82"/>
      <c r="AJ592" s="82"/>
      <c r="AK592" s="82"/>
      <c r="AL592" s="82"/>
      <c r="AM592" s="82"/>
      <c r="AN592" s="82"/>
      <c r="AO592" s="82"/>
      <c r="AP592" s="82"/>
      <c r="AQ592" s="82"/>
      <c r="AR592" s="82"/>
      <c r="AS592" s="82"/>
      <c r="AT592" s="82"/>
      <c r="AU592" s="82"/>
      <c r="AV592" s="82"/>
      <c r="AW592" s="82"/>
      <c r="AX592" s="82"/>
      <c r="AY592" s="82"/>
      <c r="AZ592" s="82"/>
      <c r="BA592" s="82"/>
      <c r="BB592" s="82"/>
      <c r="BC592" s="82"/>
      <c r="BD592" s="82"/>
      <c r="BE592" s="82"/>
      <c r="BF592" s="82"/>
      <c r="BG592" s="82"/>
      <c r="BH592" s="82"/>
      <c r="BI592" s="82"/>
      <c r="BJ592" s="82"/>
      <c r="BK592" s="82"/>
      <c r="BL592" s="82"/>
      <c r="BM592" s="82"/>
      <c r="BN592" s="82"/>
      <c r="BO592" s="82"/>
      <c r="BP592" s="82"/>
      <c r="BQ592" s="63"/>
      <c r="BR592" s="82"/>
      <c r="BS592" s="82"/>
      <c r="BT592" s="82"/>
      <c r="BU592" s="4"/>
    </row>
    <row r="593" spans="1:73" ht="12.75" x14ac:dyDescent="0.2">
      <c r="A593" s="1"/>
      <c r="B593" s="85"/>
      <c r="C593" s="85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4"/>
      <c r="O593" s="82"/>
      <c r="P593" s="82"/>
      <c r="Q593" s="82"/>
      <c r="R593" s="63"/>
      <c r="S593" s="63"/>
      <c r="T593" s="63"/>
      <c r="U593" s="63"/>
      <c r="V593" s="63"/>
      <c r="W593" s="63"/>
      <c r="X593" s="63"/>
      <c r="Y593" s="82"/>
      <c r="Z593" s="82"/>
      <c r="AA593" s="82"/>
      <c r="AB593" s="82"/>
      <c r="AC593" s="82"/>
      <c r="AD593" s="82"/>
      <c r="AE593" s="82"/>
      <c r="AF593" s="63" t="str">
        <f t="shared" si="2"/>
        <v/>
      </c>
      <c r="AG593" s="82"/>
      <c r="AH593" s="82"/>
      <c r="AI593" s="82"/>
      <c r="AJ593" s="82"/>
      <c r="AK593" s="82"/>
      <c r="AL593" s="82"/>
      <c r="AM593" s="82"/>
      <c r="AN593" s="82"/>
      <c r="AO593" s="82"/>
      <c r="AP593" s="82"/>
      <c r="AQ593" s="82"/>
      <c r="AR593" s="82"/>
      <c r="AS593" s="82"/>
      <c r="AT593" s="82"/>
      <c r="AU593" s="82"/>
      <c r="AV593" s="82"/>
      <c r="AW593" s="82"/>
      <c r="AX593" s="82"/>
      <c r="AY593" s="82"/>
      <c r="AZ593" s="82"/>
      <c r="BA593" s="82"/>
      <c r="BB593" s="82"/>
      <c r="BC593" s="82"/>
      <c r="BD593" s="82"/>
      <c r="BE593" s="82"/>
      <c r="BF593" s="82"/>
      <c r="BG593" s="82"/>
      <c r="BH593" s="82"/>
      <c r="BI593" s="82"/>
      <c r="BJ593" s="82"/>
      <c r="BK593" s="82"/>
      <c r="BL593" s="82"/>
      <c r="BM593" s="82"/>
      <c r="BN593" s="82"/>
      <c r="BO593" s="82"/>
      <c r="BP593" s="82"/>
      <c r="BQ593" s="63"/>
      <c r="BR593" s="82"/>
      <c r="BS593" s="82"/>
      <c r="BT593" s="82"/>
      <c r="BU593" s="4"/>
    </row>
    <row r="594" spans="1:73" ht="12.75" x14ac:dyDescent="0.2">
      <c r="A594" s="1"/>
      <c r="B594" s="85"/>
      <c r="C594" s="85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4"/>
      <c r="O594" s="82"/>
      <c r="P594" s="82"/>
      <c r="Q594" s="82"/>
      <c r="R594" s="63"/>
      <c r="S594" s="63"/>
      <c r="T594" s="63"/>
      <c r="U594" s="63"/>
      <c r="V594" s="63"/>
      <c r="W594" s="63"/>
      <c r="X594" s="63"/>
      <c r="Y594" s="82"/>
      <c r="Z594" s="82"/>
      <c r="AA594" s="82"/>
      <c r="AB594" s="82"/>
      <c r="AC594" s="82"/>
      <c r="AD594" s="82"/>
      <c r="AE594" s="82"/>
      <c r="AF594" s="63" t="str">
        <f t="shared" si="2"/>
        <v/>
      </c>
      <c r="AG594" s="82"/>
      <c r="AH594" s="82"/>
      <c r="AI594" s="82"/>
      <c r="AJ594" s="82"/>
      <c r="AK594" s="82"/>
      <c r="AL594" s="82"/>
      <c r="AM594" s="82"/>
      <c r="AN594" s="82"/>
      <c r="AO594" s="82"/>
      <c r="AP594" s="82"/>
      <c r="AQ594" s="82"/>
      <c r="AR594" s="82"/>
      <c r="AS594" s="82"/>
      <c r="AT594" s="82"/>
      <c r="AU594" s="82"/>
      <c r="AV594" s="82"/>
      <c r="AW594" s="82"/>
      <c r="AX594" s="82"/>
      <c r="AY594" s="82"/>
      <c r="AZ594" s="82"/>
      <c r="BA594" s="82"/>
      <c r="BB594" s="82"/>
      <c r="BC594" s="82"/>
      <c r="BD594" s="82"/>
      <c r="BE594" s="82"/>
      <c r="BF594" s="82"/>
      <c r="BG594" s="82"/>
      <c r="BH594" s="82"/>
      <c r="BI594" s="82"/>
      <c r="BJ594" s="82"/>
      <c r="BK594" s="82"/>
      <c r="BL594" s="82"/>
      <c r="BM594" s="82"/>
      <c r="BN594" s="82"/>
      <c r="BO594" s="82"/>
      <c r="BP594" s="82"/>
      <c r="BQ594" s="63"/>
      <c r="BR594" s="82"/>
      <c r="BS594" s="82"/>
      <c r="BT594" s="82"/>
      <c r="BU594" s="4"/>
    </row>
    <row r="595" spans="1:73" ht="12.75" x14ac:dyDescent="0.2">
      <c r="A595" s="1"/>
      <c r="B595" s="85"/>
      <c r="C595" s="85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4"/>
      <c r="O595" s="82"/>
      <c r="P595" s="82"/>
      <c r="Q595" s="82"/>
      <c r="R595" s="63"/>
      <c r="S595" s="63"/>
      <c r="T595" s="63"/>
      <c r="U595" s="63"/>
      <c r="V595" s="63"/>
      <c r="W595" s="63"/>
      <c r="X595" s="63"/>
      <c r="Y595" s="82"/>
      <c r="Z595" s="82"/>
      <c r="AA595" s="82"/>
      <c r="AB595" s="82"/>
      <c r="AC595" s="82"/>
      <c r="AD595" s="82"/>
      <c r="AE595" s="82"/>
      <c r="AF595" s="63" t="str">
        <f t="shared" si="2"/>
        <v/>
      </c>
      <c r="AG595" s="82"/>
      <c r="AH595" s="82"/>
      <c r="AI595" s="82"/>
      <c r="AJ595" s="82"/>
      <c r="AK595" s="82"/>
      <c r="AL595" s="82"/>
      <c r="AM595" s="82"/>
      <c r="AN595" s="82"/>
      <c r="AO595" s="82"/>
      <c r="AP595" s="82"/>
      <c r="AQ595" s="82"/>
      <c r="AR595" s="82"/>
      <c r="AS595" s="82"/>
      <c r="AT595" s="82"/>
      <c r="AU595" s="82"/>
      <c r="AV595" s="82"/>
      <c r="AW595" s="82"/>
      <c r="AX595" s="82"/>
      <c r="AY595" s="82"/>
      <c r="AZ595" s="82"/>
      <c r="BA595" s="82"/>
      <c r="BB595" s="82"/>
      <c r="BC595" s="82"/>
      <c r="BD595" s="82"/>
      <c r="BE595" s="82"/>
      <c r="BF595" s="82"/>
      <c r="BG595" s="82"/>
      <c r="BH595" s="82"/>
      <c r="BI595" s="82"/>
      <c r="BJ595" s="82"/>
      <c r="BK595" s="82"/>
      <c r="BL595" s="82"/>
      <c r="BM595" s="82"/>
      <c r="BN595" s="82"/>
      <c r="BO595" s="82"/>
      <c r="BP595" s="82"/>
      <c r="BQ595" s="63"/>
      <c r="BR595" s="82"/>
      <c r="BS595" s="82"/>
      <c r="BT595" s="82"/>
      <c r="BU595" s="4"/>
    </row>
    <row r="596" spans="1:73" ht="12.75" x14ac:dyDescent="0.2">
      <c r="A596" s="1"/>
      <c r="B596" s="85"/>
      <c r="C596" s="85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4"/>
      <c r="O596" s="82"/>
      <c r="P596" s="82"/>
      <c r="Q596" s="82"/>
      <c r="R596" s="63"/>
      <c r="S596" s="63"/>
      <c r="T596" s="63"/>
      <c r="U596" s="63"/>
      <c r="V596" s="63"/>
      <c r="W596" s="63"/>
      <c r="X596" s="63"/>
      <c r="Y596" s="82"/>
      <c r="Z596" s="82"/>
      <c r="AA596" s="82"/>
      <c r="AB596" s="82"/>
      <c r="AC596" s="82"/>
      <c r="AD596" s="82"/>
      <c r="AE596" s="82"/>
      <c r="AF596" s="63" t="str">
        <f t="shared" si="2"/>
        <v/>
      </c>
      <c r="AG596" s="82"/>
      <c r="AH596" s="82"/>
      <c r="AI596" s="82"/>
      <c r="AJ596" s="82"/>
      <c r="AK596" s="82"/>
      <c r="AL596" s="82"/>
      <c r="AM596" s="82"/>
      <c r="AN596" s="82"/>
      <c r="AO596" s="82"/>
      <c r="AP596" s="82"/>
      <c r="AQ596" s="82"/>
      <c r="AR596" s="82"/>
      <c r="AS596" s="82"/>
      <c r="AT596" s="82"/>
      <c r="AU596" s="82"/>
      <c r="AV596" s="82"/>
      <c r="AW596" s="82"/>
      <c r="AX596" s="82"/>
      <c r="AY596" s="82"/>
      <c r="AZ596" s="82"/>
      <c r="BA596" s="82"/>
      <c r="BB596" s="82"/>
      <c r="BC596" s="82"/>
      <c r="BD596" s="82"/>
      <c r="BE596" s="82"/>
      <c r="BF596" s="82"/>
      <c r="BG596" s="82"/>
      <c r="BH596" s="82"/>
      <c r="BI596" s="82"/>
      <c r="BJ596" s="82"/>
      <c r="BK596" s="82"/>
      <c r="BL596" s="82"/>
      <c r="BM596" s="82"/>
      <c r="BN596" s="82"/>
      <c r="BO596" s="82"/>
      <c r="BP596" s="82"/>
      <c r="BQ596" s="63"/>
      <c r="BR596" s="82"/>
      <c r="BS596" s="82"/>
      <c r="BT596" s="82"/>
      <c r="BU596" s="4"/>
    </row>
    <row r="597" spans="1:73" ht="12.75" x14ac:dyDescent="0.2">
      <c r="A597" s="1"/>
      <c r="B597" s="85"/>
      <c r="C597" s="85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4"/>
      <c r="O597" s="82"/>
      <c r="P597" s="82"/>
      <c r="Q597" s="82"/>
      <c r="R597" s="63"/>
      <c r="S597" s="63"/>
      <c r="T597" s="63"/>
      <c r="U597" s="63"/>
      <c r="V597" s="63"/>
      <c r="W597" s="63"/>
      <c r="X597" s="63"/>
      <c r="Y597" s="82"/>
      <c r="Z597" s="82"/>
      <c r="AA597" s="82"/>
      <c r="AB597" s="82"/>
      <c r="AC597" s="82"/>
      <c r="AD597" s="82"/>
      <c r="AE597" s="82"/>
      <c r="AF597" s="63" t="str">
        <f t="shared" si="2"/>
        <v/>
      </c>
      <c r="AG597" s="82"/>
      <c r="AH597" s="82"/>
      <c r="AI597" s="82"/>
      <c r="AJ597" s="82"/>
      <c r="AK597" s="82"/>
      <c r="AL597" s="82"/>
      <c r="AM597" s="82"/>
      <c r="AN597" s="82"/>
      <c r="AO597" s="82"/>
      <c r="AP597" s="82"/>
      <c r="AQ597" s="82"/>
      <c r="AR597" s="82"/>
      <c r="AS597" s="82"/>
      <c r="AT597" s="82"/>
      <c r="AU597" s="82"/>
      <c r="AV597" s="82"/>
      <c r="AW597" s="82"/>
      <c r="AX597" s="82"/>
      <c r="AY597" s="82"/>
      <c r="AZ597" s="82"/>
      <c r="BA597" s="82"/>
      <c r="BB597" s="82"/>
      <c r="BC597" s="82"/>
      <c r="BD597" s="82"/>
      <c r="BE597" s="82"/>
      <c r="BF597" s="82"/>
      <c r="BG597" s="82"/>
      <c r="BH597" s="82"/>
      <c r="BI597" s="82"/>
      <c r="BJ597" s="82"/>
      <c r="BK597" s="82"/>
      <c r="BL597" s="82"/>
      <c r="BM597" s="82"/>
      <c r="BN597" s="82"/>
      <c r="BO597" s="82"/>
      <c r="BP597" s="82"/>
      <c r="BQ597" s="63"/>
      <c r="BR597" s="82"/>
      <c r="BS597" s="82"/>
      <c r="BT597" s="82"/>
      <c r="BU597" s="4"/>
    </row>
    <row r="598" spans="1:73" ht="12.75" x14ac:dyDescent="0.2">
      <c r="A598" s="1"/>
      <c r="B598" s="85"/>
      <c r="C598" s="85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4"/>
      <c r="O598" s="82"/>
      <c r="P598" s="82"/>
      <c r="Q598" s="82"/>
      <c r="R598" s="63"/>
      <c r="S598" s="63"/>
      <c r="T598" s="63"/>
      <c r="U598" s="63"/>
      <c r="V598" s="63"/>
      <c r="W598" s="63"/>
      <c r="X598" s="63"/>
      <c r="Y598" s="82"/>
      <c r="Z598" s="82"/>
      <c r="AA598" s="82"/>
      <c r="AB598" s="82"/>
      <c r="AC598" s="82"/>
      <c r="AD598" s="82"/>
      <c r="AE598" s="82"/>
      <c r="AF598" s="63" t="str">
        <f t="shared" si="2"/>
        <v/>
      </c>
      <c r="AG598" s="82"/>
      <c r="AH598" s="82"/>
      <c r="AI598" s="82"/>
      <c r="AJ598" s="82"/>
      <c r="AK598" s="82"/>
      <c r="AL598" s="82"/>
      <c r="AM598" s="82"/>
      <c r="AN598" s="82"/>
      <c r="AO598" s="82"/>
      <c r="AP598" s="82"/>
      <c r="AQ598" s="82"/>
      <c r="AR598" s="82"/>
      <c r="AS598" s="82"/>
      <c r="AT598" s="82"/>
      <c r="AU598" s="82"/>
      <c r="AV598" s="82"/>
      <c r="AW598" s="82"/>
      <c r="AX598" s="82"/>
      <c r="AY598" s="82"/>
      <c r="AZ598" s="82"/>
      <c r="BA598" s="82"/>
      <c r="BB598" s="82"/>
      <c r="BC598" s="82"/>
      <c r="BD598" s="82"/>
      <c r="BE598" s="82"/>
      <c r="BF598" s="82"/>
      <c r="BG598" s="82"/>
      <c r="BH598" s="82"/>
      <c r="BI598" s="82"/>
      <c r="BJ598" s="82"/>
      <c r="BK598" s="82"/>
      <c r="BL598" s="82"/>
      <c r="BM598" s="82"/>
      <c r="BN598" s="82"/>
      <c r="BO598" s="82"/>
      <c r="BP598" s="82"/>
      <c r="BQ598" s="63"/>
      <c r="BR598" s="82"/>
      <c r="BS598" s="82"/>
      <c r="BT598" s="82"/>
      <c r="BU598" s="4"/>
    </row>
    <row r="599" spans="1:73" ht="12.75" x14ac:dyDescent="0.2">
      <c r="A599" s="1"/>
      <c r="B599" s="85"/>
      <c r="C599" s="85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4"/>
      <c r="O599" s="82"/>
      <c r="P599" s="82"/>
      <c r="Q599" s="82"/>
      <c r="R599" s="63"/>
      <c r="S599" s="63"/>
      <c r="T599" s="63"/>
      <c r="U599" s="63"/>
      <c r="V599" s="63"/>
      <c r="W599" s="63"/>
      <c r="X599" s="63"/>
      <c r="Y599" s="82"/>
      <c r="Z599" s="82"/>
      <c r="AA599" s="82"/>
      <c r="AB599" s="82"/>
      <c r="AC599" s="82"/>
      <c r="AD599" s="82"/>
      <c r="AE599" s="82"/>
      <c r="AF599" s="63" t="str">
        <f t="shared" si="2"/>
        <v/>
      </c>
      <c r="AG599" s="82"/>
      <c r="AH599" s="82"/>
      <c r="AI599" s="82"/>
      <c r="AJ599" s="82"/>
      <c r="AK599" s="82"/>
      <c r="AL599" s="82"/>
      <c r="AM599" s="82"/>
      <c r="AN599" s="82"/>
      <c r="AO599" s="82"/>
      <c r="AP599" s="82"/>
      <c r="AQ599" s="82"/>
      <c r="AR599" s="82"/>
      <c r="AS599" s="82"/>
      <c r="AT599" s="82"/>
      <c r="AU599" s="82"/>
      <c r="AV599" s="82"/>
      <c r="AW599" s="82"/>
      <c r="AX599" s="82"/>
      <c r="AY599" s="82"/>
      <c r="AZ599" s="82"/>
      <c r="BA599" s="82"/>
      <c r="BB599" s="82"/>
      <c r="BC599" s="82"/>
      <c r="BD599" s="82"/>
      <c r="BE599" s="82"/>
      <c r="BF599" s="82"/>
      <c r="BG599" s="82"/>
      <c r="BH599" s="82"/>
      <c r="BI599" s="82"/>
      <c r="BJ599" s="82"/>
      <c r="BK599" s="82"/>
      <c r="BL599" s="82"/>
      <c r="BM599" s="82"/>
      <c r="BN599" s="82"/>
      <c r="BO599" s="82"/>
      <c r="BP599" s="82"/>
      <c r="BQ599" s="63"/>
      <c r="BR599" s="82"/>
      <c r="BS599" s="82"/>
      <c r="BT599" s="82"/>
      <c r="BU599" s="4"/>
    </row>
    <row r="600" spans="1:73" ht="12.75" x14ac:dyDescent="0.2">
      <c r="A600" s="1"/>
      <c r="B600" s="85"/>
      <c r="C600" s="85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4"/>
      <c r="O600" s="82"/>
      <c r="P600" s="82"/>
      <c r="Q600" s="82"/>
      <c r="R600" s="63"/>
      <c r="S600" s="63"/>
      <c r="T600" s="63"/>
      <c r="U600" s="63"/>
      <c r="V600" s="63"/>
      <c r="W600" s="63"/>
      <c r="X600" s="63"/>
      <c r="Y600" s="82"/>
      <c r="Z600" s="82"/>
      <c r="AA600" s="82"/>
      <c r="AB600" s="82"/>
      <c r="AC600" s="82"/>
      <c r="AD600" s="82"/>
      <c r="AE600" s="82"/>
      <c r="AF600" s="63" t="str">
        <f t="shared" si="2"/>
        <v/>
      </c>
      <c r="AG600" s="82"/>
      <c r="AH600" s="82"/>
      <c r="AI600" s="82"/>
      <c r="AJ600" s="82"/>
      <c r="AK600" s="82"/>
      <c r="AL600" s="82"/>
      <c r="AM600" s="82"/>
      <c r="AN600" s="82"/>
      <c r="AO600" s="82"/>
      <c r="AP600" s="82"/>
      <c r="AQ600" s="82"/>
      <c r="AR600" s="82"/>
      <c r="AS600" s="82"/>
      <c r="AT600" s="82"/>
      <c r="AU600" s="82"/>
      <c r="AV600" s="82"/>
      <c r="AW600" s="82"/>
      <c r="AX600" s="82"/>
      <c r="AY600" s="82"/>
      <c r="AZ600" s="82"/>
      <c r="BA600" s="82"/>
      <c r="BB600" s="82"/>
      <c r="BC600" s="82"/>
      <c r="BD600" s="82"/>
      <c r="BE600" s="82"/>
      <c r="BF600" s="82"/>
      <c r="BG600" s="82"/>
      <c r="BH600" s="82"/>
      <c r="BI600" s="82"/>
      <c r="BJ600" s="82"/>
      <c r="BK600" s="82"/>
      <c r="BL600" s="82"/>
      <c r="BM600" s="82"/>
      <c r="BN600" s="82"/>
      <c r="BO600" s="82"/>
      <c r="BP600" s="82"/>
      <c r="BQ600" s="63"/>
      <c r="BR600" s="82"/>
      <c r="BS600" s="82"/>
      <c r="BT600" s="82"/>
      <c r="BU600" s="4"/>
    </row>
    <row r="601" spans="1:73" ht="12.75" x14ac:dyDescent="0.2">
      <c r="A601" s="1"/>
      <c r="B601" s="85"/>
      <c r="C601" s="85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4"/>
      <c r="O601" s="82"/>
      <c r="P601" s="82"/>
      <c r="Q601" s="82"/>
      <c r="R601" s="63"/>
      <c r="S601" s="63"/>
      <c r="T601" s="63"/>
      <c r="U601" s="63"/>
      <c r="V601" s="63"/>
      <c r="W601" s="63"/>
      <c r="X601" s="63"/>
      <c r="Y601" s="82"/>
      <c r="Z601" s="82"/>
      <c r="AA601" s="82"/>
      <c r="AB601" s="82"/>
      <c r="AC601" s="82"/>
      <c r="AD601" s="82"/>
      <c r="AE601" s="82"/>
      <c r="AF601" s="63" t="str">
        <f t="shared" si="2"/>
        <v/>
      </c>
      <c r="AG601" s="82"/>
      <c r="AH601" s="82"/>
      <c r="AI601" s="82"/>
      <c r="AJ601" s="82"/>
      <c r="AK601" s="82"/>
      <c r="AL601" s="82"/>
      <c r="AM601" s="82"/>
      <c r="AN601" s="82"/>
      <c r="AO601" s="82"/>
      <c r="AP601" s="82"/>
      <c r="AQ601" s="82"/>
      <c r="AR601" s="82"/>
      <c r="AS601" s="82"/>
      <c r="AT601" s="82"/>
      <c r="AU601" s="82"/>
      <c r="AV601" s="82"/>
      <c r="AW601" s="82"/>
      <c r="AX601" s="82"/>
      <c r="AY601" s="82"/>
      <c r="AZ601" s="82"/>
      <c r="BA601" s="82"/>
      <c r="BB601" s="82"/>
      <c r="BC601" s="82"/>
      <c r="BD601" s="82"/>
      <c r="BE601" s="82"/>
      <c r="BF601" s="82"/>
      <c r="BG601" s="82"/>
      <c r="BH601" s="82"/>
      <c r="BI601" s="82"/>
      <c r="BJ601" s="82"/>
      <c r="BK601" s="82"/>
      <c r="BL601" s="82"/>
      <c r="BM601" s="82"/>
      <c r="BN601" s="82"/>
      <c r="BO601" s="82"/>
      <c r="BP601" s="82"/>
      <c r="BQ601" s="63"/>
      <c r="BR601" s="82"/>
      <c r="BS601" s="82"/>
      <c r="BT601" s="82"/>
      <c r="BU601" s="4"/>
    </row>
    <row r="602" spans="1:73" ht="12.75" x14ac:dyDescent="0.2">
      <c r="A602" s="1"/>
      <c r="B602" s="85"/>
      <c r="C602" s="85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4"/>
      <c r="O602" s="82"/>
      <c r="P602" s="82"/>
      <c r="Q602" s="82"/>
      <c r="R602" s="63"/>
      <c r="S602" s="63"/>
      <c r="T602" s="63"/>
      <c r="U602" s="63"/>
      <c r="V602" s="63"/>
      <c r="W602" s="63"/>
      <c r="X602" s="63"/>
      <c r="Y602" s="82"/>
      <c r="Z602" s="82"/>
      <c r="AA602" s="82"/>
      <c r="AB602" s="82"/>
      <c r="AC602" s="82"/>
      <c r="AD602" s="82"/>
      <c r="AE602" s="82"/>
      <c r="AF602" s="63" t="str">
        <f t="shared" si="2"/>
        <v/>
      </c>
      <c r="AG602" s="82"/>
      <c r="AH602" s="82"/>
      <c r="AI602" s="82"/>
      <c r="AJ602" s="82"/>
      <c r="AK602" s="82"/>
      <c r="AL602" s="82"/>
      <c r="AM602" s="82"/>
      <c r="AN602" s="82"/>
      <c r="AO602" s="82"/>
      <c r="AP602" s="82"/>
      <c r="AQ602" s="82"/>
      <c r="AR602" s="82"/>
      <c r="AS602" s="82"/>
      <c r="AT602" s="82"/>
      <c r="AU602" s="82"/>
      <c r="AV602" s="82"/>
      <c r="AW602" s="82"/>
      <c r="AX602" s="82"/>
      <c r="AY602" s="82"/>
      <c r="AZ602" s="82"/>
      <c r="BA602" s="82"/>
      <c r="BB602" s="82"/>
      <c r="BC602" s="82"/>
      <c r="BD602" s="82"/>
      <c r="BE602" s="82"/>
      <c r="BF602" s="82"/>
      <c r="BG602" s="82"/>
      <c r="BH602" s="82"/>
      <c r="BI602" s="82"/>
      <c r="BJ602" s="82"/>
      <c r="BK602" s="82"/>
      <c r="BL602" s="82"/>
      <c r="BM602" s="82"/>
      <c r="BN602" s="82"/>
      <c r="BO602" s="82"/>
      <c r="BP602" s="82"/>
      <c r="BQ602" s="63"/>
      <c r="BR602" s="82"/>
      <c r="BS602" s="82"/>
      <c r="BT602" s="82"/>
      <c r="BU602" s="4"/>
    </row>
    <row r="603" spans="1:73" ht="12.75" x14ac:dyDescent="0.2">
      <c r="A603" s="1"/>
      <c r="B603" s="85"/>
      <c r="C603" s="85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4"/>
      <c r="O603" s="82"/>
      <c r="P603" s="82"/>
      <c r="Q603" s="82"/>
      <c r="R603" s="63"/>
      <c r="S603" s="63"/>
      <c r="T603" s="63"/>
      <c r="U603" s="63"/>
      <c r="V603" s="63"/>
      <c r="W603" s="63"/>
      <c r="X603" s="63"/>
      <c r="Y603" s="82"/>
      <c r="Z603" s="82"/>
      <c r="AA603" s="82"/>
      <c r="AB603" s="82"/>
      <c r="AC603" s="82"/>
      <c r="AD603" s="82"/>
      <c r="AE603" s="82"/>
      <c r="AF603" s="63" t="str">
        <f t="shared" si="2"/>
        <v/>
      </c>
      <c r="AG603" s="82"/>
      <c r="AH603" s="82"/>
      <c r="AI603" s="82"/>
      <c r="AJ603" s="82"/>
      <c r="AK603" s="82"/>
      <c r="AL603" s="82"/>
      <c r="AM603" s="82"/>
      <c r="AN603" s="82"/>
      <c r="AO603" s="82"/>
      <c r="AP603" s="82"/>
      <c r="AQ603" s="82"/>
      <c r="AR603" s="82"/>
      <c r="AS603" s="82"/>
      <c r="AT603" s="82"/>
      <c r="AU603" s="82"/>
      <c r="AV603" s="82"/>
      <c r="AW603" s="82"/>
      <c r="AX603" s="82"/>
      <c r="AY603" s="82"/>
      <c r="AZ603" s="82"/>
      <c r="BA603" s="82"/>
      <c r="BB603" s="82"/>
      <c r="BC603" s="82"/>
      <c r="BD603" s="82"/>
      <c r="BE603" s="82"/>
      <c r="BF603" s="82"/>
      <c r="BG603" s="82"/>
      <c r="BH603" s="82"/>
      <c r="BI603" s="82"/>
      <c r="BJ603" s="82"/>
      <c r="BK603" s="82"/>
      <c r="BL603" s="82"/>
      <c r="BM603" s="82"/>
      <c r="BN603" s="82"/>
      <c r="BO603" s="82"/>
      <c r="BP603" s="82"/>
      <c r="BQ603" s="63"/>
      <c r="BR603" s="82"/>
      <c r="BS603" s="82"/>
      <c r="BT603" s="82"/>
      <c r="BU603" s="4"/>
    </row>
    <row r="604" spans="1:73" ht="12.75" x14ac:dyDescent="0.2">
      <c r="A604" s="1"/>
      <c r="B604" s="85"/>
      <c r="C604" s="85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4"/>
      <c r="O604" s="82"/>
      <c r="P604" s="82"/>
      <c r="Q604" s="82"/>
      <c r="R604" s="63"/>
      <c r="S604" s="63"/>
      <c r="T604" s="63"/>
      <c r="U604" s="63"/>
      <c r="V604" s="63"/>
      <c r="W604" s="63"/>
      <c r="X604" s="63"/>
      <c r="Y604" s="82"/>
      <c r="Z604" s="82"/>
      <c r="AA604" s="82"/>
      <c r="AB604" s="82"/>
      <c r="AC604" s="82"/>
      <c r="AD604" s="82"/>
      <c r="AE604" s="82"/>
      <c r="AF604" s="63" t="str">
        <f t="shared" si="2"/>
        <v/>
      </c>
      <c r="AG604" s="82"/>
      <c r="AH604" s="82"/>
      <c r="AI604" s="82"/>
      <c r="AJ604" s="82"/>
      <c r="AK604" s="82"/>
      <c r="AL604" s="82"/>
      <c r="AM604" s="82"/>
      <c r="AN604" s="82"/>
      <c r="AO604" s="82"/>
      <c r="AP604" s="82"/>
      <c r="AQ604" s="82"/>
      <c r="AR604" s="82"/>
      <c r="AS604" s="82"/>
      <c r="AT604" s="82"/>
      <c r="AU604" s="82"/>
      <c r="AV604" s="82"/>
      <c r="AW604" s="82"/>
      <c r="AX604" s="82"/>
      <c r="AY604" s="82"/>
      <c r="AZ604" s="82"/>
      <c r="BA604" s="82"/>
      <c r="BB604" s="82"/>
      <c r="BC604" s="82"/>
      <c r="BD604" s="82"/>
      <c r="BE604" s="82"/>
      <c r="BF604" s="82"/>
      <c r="BG604" s="82"/>
      <c r="BH604" s="82"/>
      <c r="BI604" s="82"/>
      <c r="BJ604" s="82"/>
      <c r="BK604" s="82"/>
      <c r="BL604" s="82"/>
      <c r="BM604" s="82"/>
      <c r="BN604" s="82"/>
      <c r="BO604" s="82"/>
      <c r="BP604" s="82"/>
      <c r="BQ604" s="63"/>
      <c r="BR604" s="82"/>
      <c r="BS604" s="82"/>
      <c r="BT604" s="82"/>
      <c r="BU604" s="4"/>
    </row>
    <row r="605" spans="1:73" ht="12.75" x14ac:dyDescent="0.2">
      <c r="A605" s="1"/>
      <c r="B605" s="85"/>
      <c r="C605" s="85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4"/>
      <c r="O605" s="82"/>
      <c r="P605" s="82"/>
      <c r="Q605" s="82"/>
      <c r="R605" s="63"/>
      <c r="S605" s="63"/>
      <c r="T605" s="63"/>
      <c r="U605" s="63"/>
      <c r="V605" s="63"/>
      <c r="W605" s="63"/>
      <c r="X605" s="63"/>
      <c r="Y605" s="82"/>
      <c r="Z605" s="82"/>
      <c r="AA605" s="82"/>
      <c r="AB605" s="82"/>
      <c r="AC605" s="82"/>
      <c r="AD605" s="82"/>
      <c r="AE605" s="82"/>
      <c r="AF605" s="63" t="str">
        <f t="shared" si="2"/>
        <v/>
      </c>
      <c r="AG605" s="82"/>
      <c r="AH605" s="82"/>
      <c r="AI605" s="82"/>
      <c r="AJ605" s="82"/>
      <c r="AK605" s="82"/>
      <c r="AL605" s="82"/>
      <c r="AM605" s="82"/>
      <c r="AN605" s="82"/>
      <c r="AO605" s="82"/>
      <c r="AP605" s="82"/>
      <c r="AQ605" s="82"/>
      <c r="AR605" s="82"/>
      <c r="AS605" s="82"/>
      <c r="AT605" s="82"/>
      <c r="AU605" s="82"/>
      <c r="AV605" s="82"/>
      <c r="AW605" s="82"/>
      <c r="AX605" s="82"/>
      <c r="AY605" s="82"/>
      <c r="AZ605" s="82"/>
      <c r="BA605" s="82"/>
      <c r="BB605" s="82"/>
      <c r="BC605" s="82"/>
      <c r="BD605" s="82"/>
      <c r="BE605" s="82"/>
      <c r="BF605" s="82"/>
      <c r="BG605" s="82"/>
      <c r="BH605" s="82"/>
      <c r="BI605" s="82"/>
      <c r="BJ605" s="82"/>
      <c r="BK605" s="82"/>
      <c r="BL605" s="82"/>
      <c r="BM605" s="82"/>
      <c r="BN605" s="82"/>
      <c r="BO605" s="82"/>
      <c r="BP605" s="82"/>
      <c r="BQ605" s="63"/>
      <c r="BR605" s="82"/>
      <c r="BS605" s="82"/>
      <c r="BT605" s="82"/>
      <c r="BU605" s="4"/>
    </row>
    <row r="606" spans="1:73" ht="12.75" x14ac:dyDescent="0.2">
      <c r="A606" s="1"/>
      <c r="B606" s="85"/>
      <c r="C606" s="85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4"/>
      <c r="O606" s="82"/>
      <c r="P606" s="82"/>
      <c r="Q606" s="82"/>
      <c r="R606" s="63"/>
      <c r="S606" s="63"/>
      <c r="T606" s="63"/>
      <c r="U606" s="63"/>
      <c r="V606" s="63"/>
      <c r="W606" s="63"/>
      <c r="X606" s="63"/>
      <c r="Y606" s="82"/>
      <c r="Z606" s="82"/>
      <c r="AA606" s="82"/>
      <c r="AB606" s="82"/>
      <c r="AC606" s="82"/>
      <c r="AD606" s="82"/>
      <c r="AE606" s="82"/>
      <c r="AF606" s="63" t="str">
        <f t="shared" si="2"/>
        <v/>
      </c>
      <c r="AG606" s="82"/>
      <c r="AH606" s="82"/>
      <c r="AI606" s="82"/>
      <c r="AJ606" s="82"/>
      <c r="AK606" s="82"/>
      <c r="AL606" s="82"/>
      <c r="AM606" s="82"/>
      <c r="AN606" s="82"/>
      <c r="AO606" s="82"/>
      <c r="AP606" s="82"/>
      <c r="AQ606" s="82"/>
      <c r="AR606" s="82"/>
      <c r="AS606" s="82"/>
      <c r="AT606" s="82"/>
      <c r="AU606" s="82"/>
      <c r="AV606" s="82"/>
      <c r="AW606" s="82"/>
      <c r="AX606" s="82"/>
      <c r="AY606" s="82"/>
      <c r="AZ606" s="82"/>
      <c r="BA606" s="82"/>
      <c r="BB606" s="82"/>
      <c r="BC606" s="82"/>
      <c r="BD606" s="82"/>
      <c r="BE606" s="82"/>
      <c r="BF606" s="82"/>
      <c r="BG606" s="82"/>
      <c r="BH606" s="82"/>
      <c r="BI606" s="82"/>
      <c r="BJ606" s="82"/>
      <c r="BK606" s="82"/>
      <c r="BL606" s="82"/>
      <c r="BM606" s="82"/>
      <c r="BN606" s="82"/>
      <c r="BO606" s="82"/>
      <c r="BP606" s="82"/>
      <c r="BQ606" s="63"/>
      <c r="BR606" s="82"/>
      <c r="BS606" s="82"/>
      <c r="BT606" s="82"/>
      <c r="BU606" s="4"/>
    </row>
    <row r="607" spans="1:73" ht="12.75" x14ac:dyDescent="0.2">
      <c r="A607" s="1"/>
      <c r="B607" s="85"/>
      <c r="C607" s="85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4"/>
      <c r="O607" s="82"/>
      <c r="P607" s="82"/>
      <c r="Q607" s="82"/>
      <c r="R607" s="63"/>
      <c r="S607" s="63"/>
      <c r="T607" s="63"/>
      <c r="U607" s="63"/>
      <c r="V607" s="63"/>
      <c r="W607" s="63"/>
      <c r="X607" s="63"/>
      <c r="Y607" s="82"/>
      <c r="Z607" s="82"/>
      <c r="AA607" s="82"/>
      <c r="AB607" s="82"/>
      <c r="AC607" s="82"/>
      <c r="AD607" s="82"/>
      <c r="AE607" s="82"/>
      <c r="AF607" s="63" t="str">
        <f t="shared" si="2"/>
        <v/>
      </c>
      <c r="AG607" s="82"/>
      <c r="AH607" s="82"/>
      <c r="AI607" s="82"/>
      <c r="AJ607" s="82"/>
      <c r="AK607" s="82"/>
      <c r="AL607" s="82"/>
      <c r="AM607" s="82"/>
      <c r="AN607" s="82"/>
      <c r="AO607" s="82"/>
      <c r="AP607" s="82"/>
      <c r="AQ607" s="82"/>
      <c r="AR607" s="82"/>
      <c r="AS607" s="82"/>
      <c r="AT607" s="82"/>
      <c r="AU607" s="82"/>
      <c r="AV607" s="82"/>
      <c r="AW607" s="82"/>
      <c r="AX607" s="82"/>
      <c r="AY607" s="82"/>
      <c r="AZ607" s="82"/>
      <c r="BA607" s="82"/>
      <c r="BB607" s="82"/>
      <c r="BC607" s="82"/>
      <c r="BD607" s="82"/>
      <c r="BE607" s="82"/>
      <c r="BF607" s="82"/>
      <c r="BG607" s="82"/>
      <c r="BH607" s="82"/>
      <c r="BI607" s="82"/>
      <c r="BJ607" s="82"/>
      <c r="BK607" s="82"/>
      <c r="BL607" s="82"/>
      <c r="BM607" s="82"/>
      <c r="BN607" s="82"/>
      <c r="BO607" s="82"/>
      <c r="BP607" s="82"/>
      <c r="BQ607" s="63"/>
      <c r="BR607" s="82"/>
      <c r="BS607" s="82"/>
      <c r="BT607" s="82"/>
      <c r="BU607" s="4"/>
    </row>
    <row r="608" spans="1:73" ht="12.75" x14ac:dyDescent="0.2">
      <c r="A608" s="1"/>
      <c r="B608" s="85"/>
      <c r="C608" s="85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4"/>
      <c r="O608" s="82"/>
      <c r="P608" s="82"/>
      <c r="Q608" s="82"/>
      <c r="R608" s="63"/>
      <c r="S608" s="63"/>
      <c r="T608" s="63"/>
      <c r="U608" s="63"/>
      <c r="V608" s="63"/>
      <c r="W608" s="63"/>
      <c r="X608" s="63"/>
      <c r="Y608" s="82"/>
      <c r="Z608" s="82"/>
      <c r="AA608" s="82"/>
      <c r="AB608" s="82"/>
      <c r="AC608" s="82"/>
      <c r="AD608" s="82"/>
      <c r="AE608" s="82"/>
      <c r="AF608" s="63" t="str">
        <f t="shared" si="2"/>
        <v/>
      </c>
      <c r="AG608" s="82"/>
      <c r="AH608" s="82"/>
      <c r="AI608" s="82"/>
      <c r="AJ608" s="82"/>
      <c r="AK608" s="82"/>
      <c r="AL608" s="82"/>
      <c r="AM608" s="82"/>
      <c r="AN608" s="82"/>
      <c r="AO608" s="82"/>
      <c r="AP608" s="82"/>
      <c r="AQ608" s="82"/>
      <c r="AR608" s="82"/>
      <c r="AS608" s="82"/>
      <c r="AT608" s="82"/>
      <c r="AU608" s="82"/>
      <c r="AV608" s="82"/>
      <c r="AW608" s="82"/>
      <c r="AX608" s="82"/>
      <c r="AY608" s="82"/>
      <c r="AZ608" s="82"/>
      <c r="BA608" s="82"/>
      <c r="BB608" s="82"/>
      <c r="BC608" s="82"/>
      <c r="BD608" s="82"/>
      <c r="BE608" s="82"/>
      <c r="BF608" s="82"/>
      <c r="BG608" s="82"/>
      <c r="BH608" s="82"/>
      <c r="BI608" s="82"/>
      <c r="BJ608" s="82"/>
      <c r="BK608" s="82"/>
      <c r="BL608" s="82"/>
      <c r="BM608" s="82"/>
      <c r="BN608" s="82"/>
      <c r="BO608" s="82"/>
      <c r="BP608" s="82"/>
      <c r="BQ608" s="63"/>
      <c r="BR608" s="82"/>
      <c r="BS608" s="82"/>
      <c r="BT608" s="82"/>
      <c r="BU608" s="4"/>
    </row>
    <row r="609" spans="1:73" ht="12.75" x14ac:dyDescent="0.2">
      <c r="A609" s="1"/>
      <c r="B609" s="85"/>
      <c r="C609" s="85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4"/>
      <c r="O609" s="82"/>
      <c r="P609" s="82"/>
      <c r="Q609" s="82"/>
      <c r="R609" s="63"/>
      <c r="S609" s="63"/>
      <c r="T609" s="63"/>
      <c r="U609" s="63"/>
      <c r="V609" s="63"/>
      <c r="W609" s="63"/>
      <c r="X609" s="63"/>
      <c r="Y609" s="82"/>
      <c r="Z609" s="82"/>
      <c r="AA609" s="82"/>
      <c r="AB609" s="82"/>
      <c r="AC609" s="82"/>
      <c r="AD609" s="82"/>
      <c r="AE609" s="82"/>
      <c r="AF609" s="63" t="str">
        <f t="shared" si="2"/>
        <v/>
      </c>
      <c r="AG609" s="82"/>
      <c r="AH609" s="82"/>
      <c r="AI609" s="82"/>
      <c r="AJ609" s="82"/>
      <c r="AK609" s="82"/>
      <c r="AL609" s="82"/>
      <c r="AM609" s="82"/>
      <c r="AN609" s="82"/>
      <c r="AO609" s="82"/>
      <c r="AP609" s="82"/>
      <c r="AQ609" s="82"/>
      <c r="AR609" s="82"/>
      <c r="AS609" s="82"/>
      <c r="AT609" s="82"/>
      <c r="AU609" s="82"/>
      <c r="AV609" s="82"/>
      <c r="AW609" s="82"/>
      <c r="AX609" s="82"/>
      <c r="AY609" s="82"/>
      <c r="AZ609" s="82"/>
      <c r="BA609" s="82"/>
      <c r="BB609" s="82"/>
      <c r="BC609" s="82"/>
      <c r="BD609" s="82"/>
      <c r="BE609" s="82"/>
      <c r="BF609" s="82"/>
      <c r="BG609" s="82"/>
      <c r="BH609" s="82"/>
      <c r="BI609" s="82"/>
      <c r="BJ609" s="82"/>
      <c r="BK609" s="82"/>
      <c r="BL609" s="82"/>
      <c r="BM609" s="82"/>
      <c r="BN609" s="82"/>
      <c r="BO609" s="82"/>
      <c r="BP609" s="82"/>
      <c r="BQ609" s="63"/>
      <c r="BR609" s="82"/>
      <c r="BS609" s="82"/>
      <c r="BT609" s="82"/>
      <c r="BU609" s="4"/>
    </row>
    <row r="610" spans="1:73" ht="12.75" x14ac:dyDescent="0.2">
      <c r="A610" s="1"/>
      <c r="B610" s="85"/>
      <c r="C610" s="85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4"/>
      <c r="O610" s="82"/>
      <c r="P610" s="82"/>
      <c r="Q610" s="82"/>
      <c r="R610" s="63"/>
      <c r="S610" s="63"/>
      <c r="T610" s="63"/>
      <c r="U610" s="63"/>
      <c r="V610" s="63"/>
      <c r="W610" s="63"/>
      <c r="X610" s="63"/>
      <c r="Y610" s="82"/>
      <c r="Z610" s="82"/>
      <c r="AA610" s="82"/>
      <c r="AB610" s="82"/>
      <c r="AC610" s="82"/>
      <c r="AD610" s="82"/>
      <c r="AE610" s="82"/>
      <c r="AF610" s="63" t="str">
        <f t="shared" si="2"/>
        <v/>
      </c>
      <c r="AG610" s="82"/>
      <c r="AH610" s="82"/>
      <c r="AI610" s="82"/>
      <c r="AJ610" s="82"/>
      <c r="AK610" s="82"/>
      <c r="AL610" s="82"/>
      <c r="AM610" s="82"/>
      <c r="AN610" s="82"/>
      <c r="AO610" s="82"/>
      <c r="AP610" s="82"/>
      <c r="AQ610" s="82"/>
      <c r="AR610" s="82"/>
      <c r="AS610" s="82"/>
      <c r="AT610" s="82"/>
      <c r="AU610" s="82"/>
      <c r="AV610" s="82"/>
      <c r="AW610" s="82"/>
      <c r="AX610" s="82"/>
      <c r="AY610" s="82"/>
      <c r="AZ610" s="82"/>
      <c r="BA610" s="82"/>
      <c r="BB610" s="82"/>
      <c r="BC610" s="82"/>
      <c r="BD610" s="82"/>
      <c r="BE610" s="82"/>
      <c r="BF610" s="82"/>
      <c r="BG610" s="82"/>
      <c r="BH610" s="82"/>
      <c r="BI610" s="82"/>
      <c r="BJ610" s="82"/>
      <c r="BK610" s="82"/>
      <c r="BL610" s="82"/>
      <c r="BM610" s="82"/>
      <c r="BN610" s="82"/>
      <c r="BO610" s="82"/>
      <c r="BP610" s="82"/>
      <c r="BQ610" s="63"/>
      <c r="BR610" s="82"/>
      <c r="BS610" s="82"/>
      <c r="BT610" s="82"/>
      <c r="BU610" s="4"/>
    </row>
    <row r="611" spans="1:73" ht="12.75" x14ac:dyDescent="0.2">
      <c r="A611" s="1"/>
      <c r="B611" s="85"/>
      <c r="C611" s="85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4"/>
      <c r="O611" s="82"/>
      <c r="P611" s="82"/>
      <c r="Q611" s="82"/>
      <c r="R611" s="63"/>
      <c r="S611" s="63"/>
      <c r="T611" s="63"/>
      <c r="U611" s="63"/>
      <c r="V611" s="63"/>
      <c r="W611" s="63"/>
      <c r="X611" s="63"/>
      <c r="Y611" s="82"/>
      <c r="Z611" s="82"/>
      <c r="AA611" s="82"/>
      <c r="AB611" s="82"/>
      <c r="AC611" s="82"/>
      <c r="AD611" s="82"/>
      <c r="AE611" s="82"/>
      <c r="AF611" s="63" t="str">
        <f t="shared" si="2"/>
        <v/>
      </c>
      <c r="AG611" s="82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  <c r="AR611" s="82"/>
      <c r="AS611" s="82"/>
      <c r="AT611" s="82"/>
      <c r="AU611" s="82"/>
      <c r="AV611" s="82"/>
      <c r="AW611" s="82"/>
      <c r="AX611" s="82"/>
      <c r="AY611" s="82"/>
      <c r="AZ611" s="82"/>
      <c r="BA611" s="82"/>
      <c r="BB611" s="82"/>
      <c r="BC611" s="82"/>
      <c r="BD611" s="82"/>
      <c r="BE611" s="82"/>
      <c r="BF611" s="82"/>
      <c r="BG611" s="82"/>
      <c r="BH611" s="82"/>
      <c r="BI611" s="82"/>
      <c r="BJ611" s="82"/>
      <c r="BK611" s="82"/>
      <c r="BL611" s="82"/>
      <c r="BM611" s="82"/>
      <c r="BN611" s="82"/>
      <c r="BO611" s="82"/>
      <c r="BP611" s="82"/>
      <c r="BQ611" s="63"/>
      <c r="BR611" s="82"/>
      <c r="BS611" s="82"/>
      <c r="BT611" s="82"/>
      <c r="BU611" s="4"/>
    </row>
    <row r="612" spans="1:73" ht="12.75" x14ac:dyDescent="0.2">
      <c r="A612" s="1"/>
      <c r="B612" s="85"/>
      <c r="C612" s="85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4"/>
      <c r="O612" s="82"/>
      <c r="P612" s="82"/>
      <c r="Q612" s="82"/>
      <c r="R612" s="63"/>
      <c r="S612" s="63"/>
      <c r="T612" s="63"/>
      <c r="U612" s="63"/>
      <c r="V612" s="63"/>
      <c r="W612" s="63"/>
      <c r="X612" s="63"/>
      <c r="Y612" s="82"/>
      <c r="Z612" s="82"/>
      <c r="AA612" s="82"/>
      <c r="AB612" s="82"/>
      <c r="AC612" s="82"/>
      <c r="AD612" s="82"/>
      <c r="AE612" s="82"/>
      <c r="AF612" s="63" t="str">
        <f t="shared" si="2"/>
        <v/>
      </c>
      <c r="AG612" s="82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  <c r="AR612" s="82"/>
      <c r="AS612" s="82"/>
      <c r="AT612" s="82"/>
      <c r="AU612" s="82"/>
      <c r="AV612" s="82"/>
      <c r="AW612" s="82"/>
      <c r="AX612" s="82"/>
      <c r="AY612" s="82"/>
      <c r="AZ612" s="82"/>
      <c r="BA612" s="82"/>
      <c r="BB612" s="82"/>
      <c r="BC612" s="82"/>
      <c r="BD612" s="82"/>
      <c r="BE612" s="82"/>
      <c r="BF612" s="82"/>
      <c r="BG612" s="82"/>
      <c r="BH612" s="82"/>
      <c r="BI612" s="82"/>
      <c r="BJ612" s="82"/>
      <c r="BK612" s="82"/>
      <c r="BL612" s="82"/>
      <c r="BM612" s="82"/>
      <c r="BN612" s="82"/>
      <c r="BO612" s="82"/>
      <c r="BP612" s="82"/>
      <c r="BQ612" s="63"/>
      <c r="BR612" s="82"/>
      <c r="BS612" s="82"/>
      <c r="BT612" s="82"/>
      <c r="BU612" s="4"/>
    </row>
    <row r="613" spans="1:73" ht="12.75" x14ac:dyDescent="0.2">
      <c r="A613" s="1"/>
      <c r="B613" s="85"/>
      <c r="C613" s="85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4"/>
      <c r="O613" s="82"/>
      <c r="P613" s="82"/>
      <c r="Q613" s="82"/>
      <c r="R613" s="63"/>
      <c r="S613" s="63"/>
      <c r="T613" s="63"/>
      <c r="U613" s="63"/>
      <c r="V613" s="63"/>
      <c r="W613" s="63"/>
      <c r="X613" s="63"/>
      <c r="Y613" s="82"/>
      <c r="Z613" s="82"/>
      <c r="AA613" s="82"/>
      <c r="AB613" s="82"/>
      <c r="AC613" s="82"/>
      <c r="AD613" s="82"/>
      <c r="AE613" s="82"/>
      <c r="AF613" s="63" t="str">
        <f t="shared" si="2"/>
        <v/>
      </c>
      <c r="AG613" s="82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  <c r="AR613" s="82"/>
      <c r="AS613" s="82"/>
      <c r="AT613" s="82"/>
      <c r="AU613" s="82"/>
      <c r="AV613" s="82"/>
      <c r="AW613" s="82"/>
      <c r="AX613" s="82"/>
      <c r="AY613" s="82"/>
      <c r="AZ613" s="82"/>
      <c r="BA613" s="82"/>
      <c r="BB613" s="82"/>
      <c r="BC613" s="82"/>
      <c r="BD613" s="82"/>
      <c r="BE613" s="82"/>
      <c r="BF613" s="82"/>
      <c r="BG613" s="82"/>
      <c r="BH613" s="82"/>
      <c r="BI613" s="82"/>
      <c r="BJ613" s="82"/>
      <c r="BK613" s="82"/>
      <c r="BL613" s="82"/>
      <c r="BM613" s="82"/>
      <c r="BN613" s="82"/>
      <c r="BO613" s="82"/>
      <c r="BP613" s="82"/>
      <c r="BQ613" s="63"/>
      <c r="BR613" s="82"/>
      <c r="BS613" s="82"/>
      <c r="BT613" s="82"/>
      <c r="BU613" s="4"/>
    </row>
    <row r="614" spans="1:73" ht="12.75" x14ac:dyDescent="0.2">
      <c r="A614" s="1"/>
      <c r="B614" s="85"/>
      <c r="C614" s="85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4"/>
      <c r="O614" s="82"/>
      <c r="P614" s="82"/>
      <c r="Q614" s="82"/>
      <c r="R614" s="63"/>
      <c r="S614" s="63"/>
      <c r="T614" s="63"/>
      <c r="U614" s="63"/>
      <c r="V614" s="63"/>
      <c r="W614" s="63"/>
      <c r="X614" s="63"/>
      <c r="Y614" s="82"/>
      <c r="Z614" s="82"/>
      <c r="AA614" s="82"/>
      <c r="AB614" s="82"/>
      <c r="AC614" s="82"/>
      <c r="AD614" s="82"/>
      <c r="AE614" s="82"/>
      <c r="AF614" s="63" t="str">
        <f t="shared" si="2"/>
        <v/>
      </c>
      <c r="AG614" s="82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  <c r="AR614" s="82"/>
      <c r="AS614" s="82"/>
      <c r="AT614" s="82"/>
      <c r="AU614" s="82"/>
      <c r="AV614" s="82"/>
      <c r="AW614" s="82"/>
      <c r="AX614" s="82"/>
      <c r="AY614" s="82"/>
      <c r="AZ614" s="82"/>
      <c r="BA614" s="82"/>
      <c r="BB614" s="82"/>
      <c r="BC614" s="82"/>
      <c r="BD614" s="82"/>
      <c r="BE614" s="82"/>
      <c r="BF614" s="82"/>
      <c r="BG614" s="82"/>
      <c r="BH614" s="82"/>
      <c r="BI614" s="82"/>
      <c r="BJ614" s="82"/>
      <c r="BK614" s="82"/>
      <c r="BL614" s="82"/>
      <c r="BM614" s="82"/>
      <c r="BN614" s="82"/>
      <c r="BO614" s="82"/>
      <c r="BP614" s="82"/>
      <c r="BQ614" s="63"/>
      <c r="BR614" s="82"/>
      <c r="BS614" s="82"/>
      <c r="BT614" s="82"/>
      <c r="BU614" s="4"/>
    </row>
    <row r="615" spans="1:73" ht="12.75" x14ac:dyDescent="0.2">
      <c r="A615" s="1"/>
      <c r="B615" s="85"/>
      <c r="C615" s="85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4"/>
      <c r="O615" s="82"/>
      <c r="P615" s="82"/>
      <c r="Q615" s="82"/>
      <c r="R615" s="63"/>
      <c r="S615" s="63"/>
      <c r="T615" s="63"/>
      <c r="U615" s="63"/>
      <c r="V615" s="63"/>
      <c r="W615" s="63"/>
      <c r="X615" s="63"/>
      <c r="Y615" s="82"/>
      <c r="Z615" s="82"/>
      <c r="AA615" s="82"/>
      <c r="AB615" s="82"/>
      <c r="AC615" s="82"/>
      <c r="AD615" s="82"/>
      <c r="AE615" s="82"/>
      <c r="AF615" s="63" t="str">
        <f t="shared" si="2"/>
        <v/>
      </c>
      <c r="AG615" s="82"/>
      <c r="AH615" s="82"/>
      <c r="AI615" s="82"/>
      <c r="AJ615" s="82"/>
      <c r="AK615" s="82"/>
      <c r="AL615" s="82"/>
      <c r="AM615" s="82"/>
      <c r="AN615" s="82"/>
      <c r="AO615" s="82"/>
      <c r="AP615" s="82"/>
      <c r="AQ615" s="82"/>
      <c r="AR615" s="82"/>
      <c r="AS615" s="82"/>
      <c r="AT615" s="82"/>
      <c r="AU615" s="82"/>
      <c r="AV615" s="82"/>
      <c r="AW615" s="82"/>
      <c r="AX615" s="82"/>
      <c r="AY615" s="82"/>
      <c r="AZ615" s="82"/>
      <c r="BA615" s="82"/>
      <c r="BB615" s="82"/>
      <c r="BC615" s="82"/>
      <c r="BD615" s="82"/>
      <c r="BE615" s="82"/>
      <c r="BF615" s="82"/>
      <c r="BG615" s="82"/>
      <c r="BH615" s="82"/>
      <c r="BI615" s="82"/>
      <c r="BJ615" s="82"/>
      <c r="BK615" s="82"/>
      <c r="BL615" s="82"/>
      <c r="BM615" s="82"/>
      <c r="BN615" s="82"/>
      <c r="BO615" s="82"/>
      <c r="BP615" s="82"/>
      <c r="BQ615" s="63"/>
      <c r="BR615" s="82"/>
      <c r="BS615" s="82"/>
      <c r="BT615" s="82"/>
      <c r="BU615" s="4"/>
    </row>
    <row r="616" spans="1:73" ht="12.75" x14ac:dyDescent="0.2">
      <c r="A616" s="1"/>
      <c r="B616" s="85"/>
      <c r="C616" s="85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4"/>
      <c r="O616" s="82"/>
      <c r="P616" s="82"/>
      <c r="Q616" s="82"/>
      <c r="R616" s="63"/>
      <c r="S616" s="63"/>
      <c r="T616" s="63"/>
      <c r="U616" s="63"/>
      <c r="V616" s="63"/>
      <c r="W616" s="63"/>
      <c r="X616" s="63"/>
      <c r="Y616" s="82"/>
      <c r="Z616" s="82"/>
      <c r="AA616" s="82"/>
      <c r="AB616" s="82"/>
      <c r="AC616" s="82"/>
      <c r="AD616" s="82"/>
      <c r="AE616" s="82"/>
      <c r="AF616" s="63" t="str">
        <f t="shared" si="2"/>
        <v/>
      </c>
      <c r="AG616" s="82"/>
      <c r="AH616" s="82"/>
      <c r="AI616" s="82"/>
      <c r="AJ616" s="82"/>
      <c r="AK616" s="82"/>
      <c r="AL616" s="82"/>
      <c r="AM616" s="82"/>
      <c r="AN616" s="82"/>
      <c r="AO616" s="82"/>
      <c r="AP616" s="82"/>
      <c r="AQ616" s="82"/>
      <c r="AR616" s="82"/>
      <c r="AS616" s="82"/>
      <c r="AT616" s="82"/>
      <c r="AU616" s="82"/>
      <c r="AV616" s="82"/>
      <c r="AW616" s="82"/>
      <c r="AX616" s="82"/>
      <c r="AY616" s="82"/>
      <c r="AZ616" s="82"/>
      <c r="BA616" s="82"/>
      <c r="BB616" s="82"/>
      <c r="BC616" s="82"/>
      <c r="BD616" s="82"/>
      <c r="BE616" s="82"/>
      <c r="BF616" s="82"/>
      <c r="BG616" s="82"/>
      <c r="BH616" s="82"/>
      <c r="BI616" s="82"/>
      <c r="BJ616" s="82"/>
      <c r="BK616" s="82"/>
      <c r="BL616" s="82"/>
      <c r="BM616" s="82"/>
      <c r="BN616" s="82"/>
      <c r="BO616" s="82"/>
      <c r="BP616" s="82"/>
      <c r="BQ616" s="63"/>
      <c r="BR616" s="82"/>
      <c r="BS616" s="82"/>
      <c r="BT616" s="82"/>
      <c r="BU616" s="4"/>
    </row>
    <row r="617" spans="1:73" ht="12.75" x14ac:dyDescent="0.2">
      <c r="A617" s="1"/>
      <c r="B617" s="85"/>
      <c r="C617" s="85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4"/>
      <c r="O617" s="82"/>
      <c r="P617" s="82"/>
      <c r="Q617" s="82"/>
      <c r="R617" s="63"/>
      <c r="S617" s="63"/>
      <c r="T617" s="63"/>
      <c r="U617" s="63"/>
      <c r="V617" s="63"/>
      <c r="W617" s="63"/>
      <c r="X617" s="63"/>
      <c r="Y617" s="82"/>
      <c r="Z617" s="82"/>
      <c r="AA617" s="82"/>
      <c r="AB617" s="82"/>
      <c r="AC617" s="82"/>
      <c r="AD617" s="82"/>
      <c r="AE617" s="82"/>
      <c r="AF617" s="63" t="str">
        <f t="shared" si="2"/>
        <v/>
      </c>
      <c r="AG617" s="82"/>
      <c r="AH617" s="82"/>
      <c r="AI617" s="82"/>
      <c r="AJ617" s="82"/>
      <c r="AK617" s="82"/>
      <c r="AL617" s="82"/>
      <c r="AM617" s="82"/>
      <c r="AN617" s="82"/>
      <c r="AO617" s="82"/>
      <c r="AP617" s="82"/>
      <c r="AQ617" s="82"/>
      <c r="AR617" s="82"/>
      <c r="AS617" s="82"/>
      <c r="AT617" s="82"/>
      <c r="AU617" s="82"/>
      <c r="AV617" s="82"/>
      <c r="AW617" s="82"/>
      <c r="AX617" s="82"/>
      <c r="AY617" s="82"/>
      <c r="AZ617" s="82"/>
      <c r="BA617" s="82"/>
      <c r="BB617" s="82"/>
      <c r="BC617" s="82"/>
      <c r="BD617" s="82"/>
      <c r="BE617" s="82"/>
      <c r="BF617" s="82"/>
      <c r="BG617" s="82"/>
      <c r="BH617" s="82"/>
      <c r="BI617" s="82"/>
      <c r="BJ617" s="82"/>
      <c r="BK617" s="82"/>
      <c r="BL617" s="82"/>
      <c r="BM617" s="82"/>
      <c r="BN617" s="82"/>
      <c r="BO617" s="82"/>
      <c r="BP617" s="82"/>
      <c r="BQ617" s="63"/>
      <c r="BR617" s="82"/>
      <c r="BS617" s="82"/>
      <c r="BT617" s="82"/>
      <c r="BU617" s="4"/>
    </row>
    <row r="618" spans="1:73" ht="12.75" x14ac:dyDescent="0.2">
      <c r="A618" s="1"/>
      <c r="B618" s="85"/>
      <c r="C618" s="85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4"/>
      <c r="O618" s="82"/>
      <c r="P618" s="82"/>
      <c r="Q618" s="82"/>
      <c r="R618" s="63"/>
      <c r="S618" s="63"/>
      <c r="T618" s="63"/>
      <c r="U618" s="63"/>
      <c r="V618" s="63"/>
      <c r="W618" s="63"/>
      <c r="X618" s="63"/>
      <c r="Y618" s="82"/>
      <c r="Z618" s="82"/>
      <c r="AA618" s="82"/>
      <c r="AB618" s="82"/>
      <c r="AC618" s="82"/>
      <c r="AD618" s="82"/>
      <c r="AE618" s="82"/>
      <c r="AF618" s="63" t="str">
        <f t="shared" si="2"/>
        <v/>
      </c>
      <c r="AG618" s="82"/>
      <c r="AH618" s="82"/>
      <c r="AI618" s="82"/>
      <c r="AJ618" s="82"/>
      <c r="AK618" s="82"/>
      <c r="AL618" s="82"/>
      <c r="AM618" s="82"/>
      <c r="AN618" s="82"/>
      <c r="AO618" s="82"/>
      <c r="AP618" s="82"/>
      <c r="AQ618" s="82"/>
      <c r="AR618" s="82"/>
      <c r="AS618" s="82"/>
      <c r="AT618" s="82"/>
      <c r="AU618" s="82"/>
      <c r="AV618" s="82"/>
      <c r="AW618" s="82"/>
      <c r="AX618" s="82"/>
      <c r="AY618" s="82"/>
      <c r="AZ618" s="82"/>
      <c r="BA618" s="82"/>
      <c r="BB618" s="82"/>
      <c r="BC618" s="82"/>
      <c r="BD618" s="82"/>
      <c r="BE618" s="82"/>
      <c r="BF618" s="82"/>
      <c r="BG618" s="82"/>
      <c r="BH618" s="82"/>
      <c r="BI618" s="82"/>
      <c r="BJ618" s="82"/>
      <c r="BK618" s="82"/>
      <c r="BL618" s="82"/>
      <c r="BM618" s="82"/>
      <c r="BN618" s="82"/>
      <c r="BO618" s="82"/>
      <c r="BP618" s="82"/>
      <c r="BQ618" s="63"/>
      <c r="BR618" s="82"/>
      <c r="BS618" s="82"/>
      <c r="BT618" s="82"/>
      <c r="BU618" s="4"/>
    </row>
    <row r="619" spans="1:73" ht="12.75" x14ac:dyDescent="0.2">
      <c r="A619" s="1"/>
      <c r="B619" s="85"/>
      <c r="C619" s="85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4"/>
      <c r="O619" s="82"/>
      <c r="P619" s="82"/>
      <c r="Q619" s="82"/>
      <c r="R619" s="63"/>
      <c r="S619" s="63"/>
      <c r="T619" s="63"/>
      <c r="U619" s="63"/>
      <c r="V619" s="63"/>
      <c r="W619" s="63"/>
      <c r="X619" s="63"/>
      <c r="Y619" s="82"/>
      <c r="Z619" s="82"/>
      <c r="AA619" s="82"/>
      <c r="AB619" s="82"/>
      <c r="AC619" s="82"/>
      <c r="AD619" s="82"/>
      <c r="AE619" s="82"/>
      <c r="AF619" s="63" t="str">
        <f t="shared" si="2"/>
        <v/>
      </c>
      <c r="AG619" s="82"/>
      <c r="AH619" s="82"/>
      <c r="AI619" s="82"/>
      <c r="AJ619" s="82"/>
      <c r="AK619" s="82"/>
      <c r="AL619" s="82"/>
      <c r="AM619" s="82"/>
      <c r="AN619" s="82"/>
      <c r="AO619" s="82"/>
      <c r="AP619" s="82"/>
      <c r="AQ619" s="82"/>
      <c r="AR619" s="82"/>
      <c r="AS619" s="82"/>
      <c r="AT619" s="82"/>
      <c r="AU619" s="82"/>
      <c r="AV619" s="82"/>
      <c r="AW619" s="82"/>
      <c r="AX619" s="82"/>
      <c r="AY619" s="82"/>
      <c r="AZ619" s="82"/>
      <c r="BA619" s="82"/>
      <c r="BB619" s="82"/>
      <c r="BC619" s="82"/>
      <c r="BD619" s="82"/>
      <c r="BE619" s="82"/>
      <c r="BF619" s="82"/>
      <c r="BG619" s="82"/>
      <c r="BH619" s="82"/>
      <c r="BI619" s="82"/>
      <c r="BJ619" s="82"/>
      <c r="BK619" s="82"/>
      <c r="BL619" s="82"/>
      <c r="BM619" s="82"/>
      <c r="BN619" s="82"/>
      <c r="BO619" s="82"/>
      <c r="BP619" s="82"/>
      <c r="BQ619" s="63"/>
      <c r="BR619" s="82"/>
      <c r="BS619" s="82"/>
      <c r="BT619" s="82"/>
      <c r="BU619" s="4"/>
    </row>
    <row r="620" spans="1:73" ht="12.75" x14ac:dyDescent="0.2">
      <c r="A620" s="1"/>
      <c r="B620" s="85"/>
      <c r="C620" s="85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4"/>
      <c r="O620" s="82"/>
      <c r="P620" s="82"/>
      <c r="Q620" s="82"/>
      <c r="R620" s="63"/>
      <c r="S620" s="63"/>
      <c r="T620" s="63"/>
      <c r="U620" s="63"/>
      <c r="V620" s="63"/>
      <c r="W620" s="63"/>
      <c r="X620" s="63"/>
      <c r="Y620" s="82"/>
      <c r="Z620" s="82"/>
      <c r="AA620" s="82"/>
      <c r="AB620" s="82"/>
      <c r="AC620" s="82"/>
      <c r="AD620" s="82"/>
      <c r="AE620" s="82"/>
      <c r="AF620" s="63" t="str">
        <f t="shared" si="2"/>
        <v/>
      </c>
      <c r="AG620" s="82"/>
      <c r="AH620" s="82"/>
      <c r="AI620" s="82"/>
      <c r="AJ620" s="82"/>
      <c r="AK620" s="82"/>
      <c r="AL620" s="82"/>
      <c r="AM620" s="82"/>
      <c r="AN620" s="82"/>
      <c r="AO620" s="82"/>
      <c r="AP620" s="82"/>
      <c r="AQ620" s="82"/>
      <c r="AR620" s="82"/>
      <c r="AS620" s="82"/>
      <c r="AT620" s="82"/>
      <c r="AU620" s="82"/>
      <c r="AV620" s="82"/>
      <c r="AW620" s="82"/>
      <c r="AX620" s="82"/>
      <c r="AY620" s="82"/>
      <c r="AZ620" s="82"/>
      <c r="BA620" s="82"/>
      <c r="BB620" s="82"/>
      <c r="BC620" s="82"/>
      <c r="BD620" s="82"/>
      <c r="BE620" s="82"/>
      <c r="BF620" s="82"/>
      <c r="BG620" s="82"/>
      <c r="BH620" s="82"/>
      <c r="BI620" s="82"/>
      <c r="BJ620" s="82"/>
      <c r="BK620" s="82"/>
      <c r="BL620" s="82"/>
      <c r="BM620" s="82"/>
      <c r="BN620" s="82"/>
      <c r="BO620" s="82"/>
      <c r="BP620" s="82"/>
      <c r="BQ620" s="63"/>
      <c r="BR620" s="82"/>
      <c r="BS620" s="82"/>
      <c r="BT620" s="82"/>
      <c r="BU620" s="4"/>
    </row>
    <row r="621" spans="1:73" ht="12.75" x14ac:dyDescent="0.2">
      <c r="A621" s="1"/>
      <c r="B621" s="85"/>
      <c r="C621" s="85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4"/>
      <c r="O621" s="82"/>
      <c r="P621" s="82"/>
      <c r="Q621" s="82"/>
      <c r="R621" s="63"/>
      <c r="S621" s="63"/>
      <c r="T621" s="63"/>
      <c r="U621" s="63"/>
      <c r="V621" s="63"/>
      <c r="W621" s="63"/>
      <c r="X621" s="63"/>
      <c r="Y621" s="82"/>
      <c r="Z621" s="82"/>
      <c r="AA621" s="82"/>
      <c r="AB621" s="82"/>
      <c r="AC621" s="82"/>
      <c r="AD621" s="82"/>
      <c r="AE621" s="82"/>
      <c r="AF621" s="63" t="str">
        <f t="shared" si="2"/>
        <v/>
      </c>
      <c r="AG621" s="82"/>
      <c r="AH621" s="82"/>
      <c r="AI621" s="82"/>
      <c r="AJ621" s="82"/>
      <c r="AK621" s="82"/>
      <c r="AL621" s="82"/>
      <c r="AM621" s="82"/>
      <c r="AN621" s="82"/>
      <c r="AO621" s="82"/>
      <c r="AP621" s="82"/>
      <c r="AQ621" s="82"/>
      <c r="AR621" s="82"/>
      <c r="AS621" s="82"/>
      <c r="AT621" s="82"/>
      <c r="AU621" s="82"/>
      <c r="AV621" s="82"/>
      <c r="AW621" s="82"/>
      <c r="AX621" s="82"/>
      <c r="AY621" s="82"/>
      <c r="AZ621" s="82"/>
      <c r="BA621" s="82"/>
      <c r="BB621" s="82"/>
      <c r="BC621" s="82"/>
      <c r="BD621" s="82"/>
      <c r="BE621" s="82"/>
      <c r="BF621" s="82"/>
      <c r="BG621" s="82"/>
      <c r="BH621" s="82"/>
      <c r="BI621" s="82"/>
      <c r="BJ621" s="82"/>
      <c r="BK621" s="82"/>
      <c r="BL621" s="82"/>
      <c r="BM621" s="82"/>
      <c r="BN621" s="82"/>
      <c r="BO621" s="82"/>
      <c r="BP621" s="82"/>
      <c r="BQ621" s="63"/>
      <c r="BR621" s="82"/>
      <c r="BS621" s="82"/>
      <c r="BT621" s="82"/>
      <c r="BU621" s="4"/>
    </row>
    <row r="622" spans="1:73" ht="12.75" x14ac:dyDescent="0.2">
      <c r="A622" s="1"/>
      <c r="B622" s="85"/>
      <c r="C622" s="85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4"/>
      <c r="O622" s="82"/>
      <c r="P622" s="82"/>
      <c r="Q622" s="82"/>
      <c r="R622" s="63"/>
      <c r="S622" s="63"/>
      <c r="T622" s="63"/>
      <c r="U622" s="63"/>
      <c r="V622" s="63"/>
      <c r="W622" s="63"/>
      <c r="X622" s="63"/>
      <c r="Y622" s="82"/>
      <c r="Z622" s="82"/>
      <c r="AA622" s="82"/>
      <c r="AB622" s="82"/>
      <c r="AC622" s="82"/>
      <c r="AD622" s="82"/>
      <c r="AE622" s="82"/>
      <c r="AF622" s="63" t="str">
        <f t="shared" si="2"/>
        <v/>
      </c>
      <c r="AG622" s="82"/>
      <c r="AH622" s="82"/>
      <c r="AI622" s="82"/>
      <c r="AJ622" s="82"/>
      <c r="AK622" s="82"/>
      <c r="AL622" s="82"/>
      <c r="AM622" s="82"/>
      <c r="AN622" s="82"/>
      <c r="AO622" s="82"/>
      <c r="AP622" s="82"/>
      <c r="AQ622" s="82"/>
      <c r="AR622" s="82"/>
      <c r="AS622" s="82"/>
      <c r="AT622" s="82"/>
      <c r="AU622" s="82"/>
      <c r="AV622" s="82"/>
      <c r="AW622" s="82"/>
      <c r="AX622" s="82"/>
      <c r="AY622" s="82"/>
      <c r="AZ622" s="82"/>
      <c r="BA622" s="82"/>
      <c r="BB622" s="82"/>
      <c r="BC622" s="82"/>
      <c r="BD622" s="82"/>
      <c r="BE622" s="82"/>
      <c r="BF622" s="82"/>
      <c r="BG622" s="82"/>
      <c r="BH622" s="82"/>
      <c r="BI622" s="82"/>
      <c r="BJ622" s="82"/>
      <c r="BK622" s="82"/>
      <c r="BL622" s="82"/>
      <c r="BM622" s="82"/>
      <c r="BN622" s="82"/>
      <c r="BO622" s="82"/>
      <c r="BP622" s="82"/>
      <c r="BQ622" s="63"/>
      <c r="BR622" s="82"/>
      <c r="BS622" s="82"/>
      <c r="BT622" s="82"/>
      <c r="BU622" s="4"/>
    </row>
    <row r="623" spans="1:73" ht="12.75" x14ac:dyDescent="0.2">
      <c r="A623" s="1"/>
      <c r="B623" s="85"/>
      <c r="C623" s="85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4"/>
      <c r="O623" s="82"/>
      <c r="P623" s="82"/>
      <c r="Q623" s="82"/>
      <c r="R623" s="63"/>
      <c r="S623" s="63"/>
      <c r="T623" s="63"/>
      <c r="U623" s="63"/>
      <c r="V623" s="63"/>
      <c r="W623" s="63"/>
      <c r="X623" s="63"/>
      <c r="Y623" s="82"/>
      <c r="Z623" s="82"/>
      <c r="AA623" s="82"/>
      <c r="AB623" s="82"/>
      <c r="AC623" s="82"/>
      <c r="AD623" s="82"/>
      <c r="AE623" s="82"/>
      <c r="AF623" s="63" t="str">
        <f t="shared" si="2"/>
        <v/>
      </c>
      <c r="AG623" s="82"/>
      <c r="AH623" s="82"/>
      <c r="AI623" s="82"/>
      <c r="AJ623" s="82"/>
      <c r="AK623" s="82"/>
      <c r="AL623" s="82"/>
      <c r="AM623" s="82"/>
      <c r="AN623" s="82"/>
      <c r="AO623" s="82"/>
      <c r="AP623" s="82"/>
      <c r="AQ623" s="82"/>
      <c r="AR623" s="82"/>
      <c r="AS623" s="82"/>
      <c r="AT623" s="82"/>
      <c r="AU623" s="82"/>
      <c r="AV623" s="82"/>
      <c r="AW623" s="82"/>
      <c r="AX623" s="82"/>
      <c r="AY623" s="82"/>
      <c r="AZ623" s="82"/>
      <c r="BA623" s="82"/>
      <c r="BB623" s="82"/>
      <c r="BC623" s="82"/>
      <c r="BD623" s="82"/>
      <c r="BE623" s="82"/>
      <c r="BF623" s="82"/>
      <c r="BG623" s="82"/>
      <c r="BH623" s="82"/>
      <c r="BI623" s="82"/>
      <c r="BJ623" s="82"/>
      <c r="BK623" s="82"/>
      <c r="BL623" s="82"/>
      <c r="BM623" s="82"/>
      <c r="BN623" s="82"/>
      <c r="BO623" s="82"/>
      <c r="BP623" s="82"/>
      <c r="BQ623" s="63"/>
      <c r="BR623" s="82"/>
      <c r="BS623" s="82"/>
      <c r="BT623" s="82"/>
      <c r="BU623" s="4"/>
    </row>
    <row r="624" spans="1:73" ht="12.75" x14ac:dyDescent="0.2">
      <c r="A624" s="1"/>
      <c r="B624" s="85"/>
      <c r="C624" s="85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4"/>
      <c r="O624" s="82"/>
      <c r="P624" s="82"/>
      <c r="Q624" s="82"/>
      <c r="R624" s="63"/>
      <c r="S624" s="63"/>
      <c r="T624" s="63"/>
      <c r="U624" s="63"/>
      <c r="V624" s="63"/>
      <c r="W624" s="63"/>
      <c r="X624" s="63"/>
      <c r="Y624" s="82"/>
      <c r="Z624" s="82"/>
      <c r="AA624" s="82"/>
      <c r="AB624" s="82"/>
      <c r="AC624" s="82"/>
      <c r="AD624" s="82"/>
      <c r="AE624" s="82"/>
      <c r="AF624" s="63" t="str">
        <f t="shared" si="2"/>
        <v/>
      </c>
      <c r="AG624" s="82"/>
      <c r="AH624" s="82"/>
      <c r="AI624" s="82"/>
      <c r="AJ624" s="82"/>
      <c r="AK624" s="82"/>
      <c r="AL624" s="82"/>
      <c r="AM624" s="82"/>
      <c r="AN624" s="82"/>
      <c r="AO624" s="82"/>
      <c r="AP624" s="82"/>
      <c r="AQ624" s="82"/>
      <c r="AR624" s="82"/>
      <c r="AS624" s="82"/>
      <c r="AT624" s="82"/>
      <c r="AU624" s="82"/>
      <c r="AV624" s="82"/>
      <c r="AW624" s="82"/>
      <c r="AX624" s="82"/>
      <c r="AY624" s="82"/>
      <c r="AZ624" s="82"/>
      <c r="BA624" s="82"/>
      <c r="BB624" s="82"/>
      <c r="BC624" s="82"/>
      <c r="BD624" s="82"/>
      <c r="BE624" s="82"/>
      <c r="BF624" s="82"/>
      <c r="BG624" s="82"/>
      <c r="BH624" s="82"/>
      <c r="BI624" s="82"/>
      <c r="BJ624" s="82"/>
      <c r="BK624" s="82"/>
      <c r="BL624" s="82"/>
      <c r="BM624" s="82"/>
      <c r="BN624" s="82"/>
      <c r="BO624" s="82"/>
      <c r="BP624" s="82"/>
      <c r="BQ624" s="63"/>
      <c r="BR624" s="82"/>
      <c r="BS624" s="82"/>
      <c r="BT624" s="82"/>
      <c r="BU624" s="4"/>
    </row>
    <row r="625" spans="1:73" ht="12.75" x14ac:dyDescent="0.2">
      <c r="A625" s="1"/>
      <c r="B625" s="85"/>
      <c r="C625" s="85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4"/>
      <c r="O625" s="82"/>
      <c r="P625" s="82"/>
      <c r="Q625" s="82"/>
      <c r="R625" s="63"/>
      <c r="S625" s="63"/>
      <c r="T625" s="63"/>
      <c r="U625" s="63"/>
      <c r="V625" s="63"/>
      <c r="W625" s="63"/>
      <c r="X625" s="63"/>
      <c r="Y625" s="82"/>
      <c r="Z625" s="82"/>
      <c r="AA625" s="82"/>
      <c r="AB625" s="82"/>
      <c r="AC625" s="82"/>
      <c r="AD625" s="82"/>
      <c r="AE625" s="82"/>
      <c r="AF625" s="63" t="str">
        <f t="shared" si="2"/>
        <v/>
      </c>
      <c r="AG625" s="82"/>
      <c r="AH625" s="82"/>
      <c r="AI625" s="82"/>
      <c r="AJ625" s="82"/>
      <c r="AK625" s="82"/>
      <c r="AL625" s="82"/>
      <c r="AM625" s="82"/>
      <c r="AN625" s="82"/>
      <c r="AO625" s="82"/>
      <c r="AP625" s="82"/>
      <c r="AQ625" s="82"/>
      <c r="AR625" s="82"/>
      <c r="AS625" s="82"/>
      <c r="AT625" s="82"/>
      <c r="AU625" s="82"/>
      <c r="AV625" s="82"/>
      <c r="AW625" s="82"/>
      <c r="AX625" s="82"/>
      <c r="AY625" s="82"/>
      <c r="AZ625" s="82"/>
      <c r="BA625" s="82"/>
      <c r="BB625" s="82"/>
      <c r="BC625" s="82"/>
      <c r="BD625" s="82"/>
      <c r="BE625" s="82"/>
      <c r="BF625" s="82"/>
      <c r="BG625" s="82"/>
      <c r="BH625" s="82"/>
      <c r="BI625" s="82"/>
      <c r="BJ625" s="82"/>
      <c r="BK625" s="82"/>
      <c r="BL625" s="82"/>
      <c r="BM625" s="82"/>
      <c r="BN625" s="82"/>
      <c r="BO625" s="82"/>
      <c r="BP625" s="82"/>
      <c r="BQ625" s="63"/>
      <c r="BR625" s="82"/>
      <c r="BS625" s="82"/>
      <c r="BT625" s="82"/>
      <c r="BU625" s="4"/>
    </row>
    <row r="626" spans="1:73" ht="12.75" x14ac:dyDescent="0.2">
      <c r="A626" s="1"/>
      <c r="B626" s="85"/>
      <c r="C626" s="85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4"/>
      <c r="O626" s="82"/>
      <c r="P626" s="82"/>
      <c r="Q626" s="82"/>
      <c r="R626" s="63"/>
      <c r="S626" s="63"/>
      <c r="T626" s="63"/>
      <c r="U626" s="63"/>
      <c r="V626" s="63"/>
      <c r="W626" s="63"/>
      <c r="X626" s="63"/>
      <c r="Y626" s="82"/>
      <c r="Z626" s="82"/>
      <c r="AA626" s="82"/>
      <c r="AB626" s="82"/>
      <c r="AC626" s="82"/>
      <c r="AD626" s="82"/>
      <c r="AE626" s="82"/>
      <c r="AF626" s="63" t="str">
        <f t="shared" si="2"/>
        <v/>
      </c>
      <c r="AG626" s="82"/>
      <c r="AH626" s="82"/>
      <c r="AI626" s="82"/>
      <c r="AJ626" s="82"/>
      <c r="AK626" s="82"/>
      <c r="AL626" s="82"/>
      <c r="AM626" s="82"/>
      <c r="AN626" s="82"/>
      <c r="AO626" s="82"/>
      <c r="AP626" s="82"/>
      <c r="AQ626" s="82"/>
      <c r="AR626" s="82"/>
      <c r="AS626" s="82"/>
      <c r="AT626" s="82"/>
      <c r="AU626" s="82"/>
      <c r="AV626" s="82"/>
      <c r="AW626" s="82"/>
      <c r="AX626" s="82"/>
      <c r="AY626" s="82"/>
      <c r="AZ626" s="82"/>
      <c r="BA626" s="82"/>
      <c r="BB626" s="82"/>
      <c r="BC626" s="82"/>
      <c r="BD626" s="82"/>
      <c r="BE626" s="82"/>
      <c r="BF626" s="82"/>
      <c r="BG626" s="82"/>
      <c r="BH626" s="82"/>
      <c r="BI626" s="82"/>
      <c r="BJ626" s="82"/>
      <c r="BK626" s="82"/>
      <c r="BL626" s="82"/>
      <c r="BM626" s="82"/>
      <c r="BN626" s="82"/>
      <c r="BO626" s="82"/>
      <c r="BP626" s="82"/>
      <c r="BQ626" s="63"/>
      <c r="BR626" s="82"/>
      <c r="BS626" s="82"/>
      <c r="BT626" s="82"/>
      <c r="BU626" s="4"/>
    </row>
    <row r="627" spans="1:73" ht="12.75" x14ac:dyDescent="0.2">
      <c r="A627" s="1"/>
      <c r="B627" s="85"/>
      <c r="C627" s="85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4"/>
      <c r="O627" s="82"/>
      <c r="P627" s="82"/>
      <c r="Q627" s="82"/>
      <c r="R627" s="63"/>
      <c r="S627" s="63"/>
      <c r="T627" s="63"/>
      <c r="U627" s="63"/>
      <c r="V627" s="63"/>
      <c r="W627" s="63"/>
      <c r="X627" s="63"/>
      <c r="Y627" s="82"/>
      <c r="Z627" s="82"/>
      <c r="AA627" s="82"/>
      <c r="AB627" s="82"/>
      <c r="AC627" s="82"/>
      <c r="AD627" s="82"/>
      <c r="AE627" s="82"/>
      <c r="AF627" s="63" t="str">
        <f t="shared" si="2"/>
        <v/>
      </c>
      <c r="AG627" s="82"/>
      <c r="AH627" s="82"/>
      <c r="AI627" s="82"/>
      <c r="AJ627" s="82"/>
      <c r="AK627" s="82"/>
      <c r="AL627" s="82"/>
      <c r="AM627" s="82"/>
      <c r="AN627" s="82"/>
      <c r="AO627" s="82"/>
      <c r="AP627" s="82"/>
      <c r="AQ627" s="82"/>
      <c r="AR627" s="82"/>
      <c r="AS627" s="82"/>
      <c r="AT627" s="82"/>
      <c r="AU627" s="82"/>
      <c r="AV627" s="82"/>
      <c r="AW627" s="82"/>
      <c r="AX627" s="82"/>
      <c r="AY627" s="82"/>
      <c r="AZ627" s="82"/>
      <c r="BA627" s="82"/>
      <c r="BB627" s="82"/>
      <c r="BC627" s="82"/>
      <c r="BD627" s="82"/>
      <c r="BE627" s="82"/>
      <c r="BF627" s="82"/>
      <c r="BG627" s="82"/>
      <c r="BH627" s="82"/>
      <c r="BI627" s="82"/>
      <c r="BJ627" s="82"/>
      <c r="BK627" s="82"/>
      <c r="BL627" s="82"/>
      <c r="BM627" s="82"/>
      <c r="BN627" s="82"/>
      <c r="BO627" s="82"/>
      <c r="BP627" s="82"/>
      <c r="BQ627" s="63"/>
      <c r="BR627" s="82"/>
      <c r="BS627" s="82"/>
      <c r="BT627" s="82"/>
      <c r="BU627" s="4"/>
    </row>
    <row r="628" spans="1:73" ht="12.75" x14ac:dyDescent="0.2">
      <c r="A628" s="1"/>
      <c r="B628" s="85"/>
      <c r="C628" s="85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4"/>
      <c r="O628" s="82"/>
      <c r="P628" s="82"/>
      <c r="Q628" s="82"/>
      <c r="R628" s="63"/>
      <c r="S628" s="63"/>
      <c r="T628" s="63"/>
      <c r="U628" s="63"/>
      <c r="V628" s="63"/>
      <c r="W628" s="63"/>
      <c r="X628" s="63"/>
      <c r="Y628" s="82"/>
      <c r="Z628" s="82"/>
      <c r="AA628" s="82"/>
      <c r="AB628" s="82"/>
      <c r="AC628" s="82"/>
      <c r="AD628" s="82"/>
      <c r="AE628" s="82"/>
      <c r="AF628" s="63" t="str">
        <f t="shared" si="2"/>
        <v/>
      </c>
      <c r="AG628" s="82"/>
      <c r="AH628" s="82"/>
      <c r="AI628" s="82"/>
      <c r="AJ628" s="82"/>
      <c r="AK628" s="82"/>
      <c r="AL628" s="82"/>
      <c r="AM628" s="82"/>
      <c r="AN628" s="82"/>
      <c r="AO628" s="82"/>
      <c r="AP628" s="82"/>
      <c r="AQ628" s="82"/>
      <c r="AR628" s="82"/>
      <c r="AS628" s="82"/>
      <c r="AT628" s="82"/>
      <c r="AU628" s="82"/>
      <c r="AV628" s="82"/>
      <c r="AW628" s="82"/>
      <c r="AX628" s="82"/>
      <c r="AY628" s="82"/>
      <c r="AZ628" s="82"/>
      <c r="BA628" s="82"/>
      <c r="BB628" s="82"/>
      <c r="BC628" s="82"/>
      <c r="BD628" s="82"/>
      <c r="BE628" s="82"/>
      <c r="BF628" s="82"/>
      <c r="BG628" s="82"/>
      <c r="BH628" s="82"/>
      <c r="BI628" s="82"/>
      <c r="BJ628" s="82"/>
      <c r="BK628" s="82"/>
      <c r="BL628" s="82"/>
      <c r="BM628" s="82"/>
      <c r="BN628" s="82"/>
      <c r="BO628" s="82"/>
      <c r="BP628" s="82"/>
      <c r="BQ628" s="63"/>
      <c r="BR628" s="82"/>
      <c r="BS628" s="82"/>
      <c r="BT628" s="82"/>
      <c r="BU628" s="4"/>
    </row>
    <row r="629" spans="1:73" ht="12.75" x14ac:dyDescent="0.2">
      <c r="A629" s="1"/>
      <c r="B629" s="85"/>
      <c r="C629" s="85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4"/>
      <c r="O629" s="82"/>
      <c r="P629" s="82"/>
      <c r="Q629" s="82"/>
      <c r="R629" s="63"/>
      <c r="S629" s="63"/>
      <c r="T629" s="63"/>
      <c r="U629" s="63"/>
      <c r="V629" s="63"/>
      <c r="W629" s="63"/>
      <c r="X629" s="63"/>
      <c r="Y629" s="82"/>
      <c r="Z629" s="82"/>
      <c r="AA629" s="82"/>
      <c r="AB629" s="82"/>
      <c r="AC629" s="82"/>
      <c r="AD629" s="82"/>
      <c r="AE629" s="82"/>
      <c r="AF629" s="63" t="str">
        <f t="shared" si="2"/>
        <v/>
      </c>
      <c r="AG629" s="82"/>
      <c r="AH629" s="82"/>
      <c r="AI629" s="82"/>
      <c r="AJ629" s="82"/>
      <c r="AK629" s="82"/>
      <c r="AL629" s="82"/>
      <c r="AM629" s="82"/>
      <c r="AN629" s="82"/>
      <c r="AO629" s="82"/>
      <c r="AP629" s="82"/>
      <c r="AQ629" s="82"/>
      <c r="AR629" s="82"/>
      <c r="AS629" s="82"/>
      <c r="AT629" s="82"/>
      <c r="AU629" s="82"/>
      <c r="AV629" s="82"/>
      <c r="AW629" s="82"/>
      <c r="AX629" s="82"/>
      <c r="AY629" s="82"/>
      <c r="AZ629" s="82"/>
      <c r="BA629" s="82"/>
      <c r="BB629" s="82"/>
      <c r="BC629" s="82"/>
      <c r="BD629" s="82"/>
      <c r="BE629" s="82"/>
      <c r="BF629" s="82"/>
      <c r="BG629" s="82"/>
      <c r="BH629" s="82"/>
      <c r="BI629" s="82"/>
      <c r="BJ629" s="82"/>
      <c r="BK629" s="82"/>
      <c r="BL629" s="82"/>
      <c r="BM629" s="82"/>
      <c r="BN629" s="82"/>
      <c r="BO629" s="82"/>
      <c r="BP629" s="82"/>
      <c r="BQ629" s="63"/>
      <c r="BR629" s="82"/>
      <c r="BS629" s="82"/>
      <c r="BT629" s="82"/>
      <c r="BU629" s="4"/>
    </row>
    <row r="630" spans="1:73" ht="12.75" x14ac:dyDescent="0.2">
      <c r="A630" s="1"/>
      <c r="B630" s="85"/>
      <c r="C630" s="85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4"/>
      <c r="O630" s="82"/>
      <c r="P630" s="82"/>
      <c r="Q630" s="82"/>
      <c r="R630" s="63"/>
      <c r="S630" s="63"/>
      <c r="T630" s="63"/>
      <c r="U630" s="63"/>
      <c r="V630" s="63"/>
      <c r="W630" s="63"/>
      <c r="X630" s="63"/>
      <c r="Y630" s="82"/>
      <c r="Z630" s="82"/>
      <c r="AA630" s="82"/>
      <c r="AB630" s="82"/>
      <c r="AC630" s="82"/>
      <c r="AD630" s="82"/>
      <c r="AE630" s="82"/>
      <c r="AF630" s="63" t="str">
        <f t="shared" si="2"/>
        <v/>
      </c>
      <c r="AG630" s="82"/>
      <c r="AH630" s="82"/>
      <c r="AI630" s="82"/>
      <c r="AJ630" s="82"/>
      <c r="AK630" s="82"/>
      <c r="AL630" s="82"/>
      <c r="AM630" s="82"/>
      <c r="AN630" s="82"/>
      <c r="AO630" s="82"/>
      <c r="AP630" s="82"/>
      <c r="AQ630" s="82"/>
      <c r="AR630" s="82"/>
      <c r="AS630" s="82"/>
      <c r="AT630" s="82"/>
      <c r="AU630" s="82"/>
      <c r="AV630" s="82"/>
      <c r="AW630" s="82"/>
      <c r="AX630" s="82"/>
      <c r="AY630" s="82"/>
      <c r="AZ630" s="82"/>
      <c r="BA630" s="82"/>
      <c r="BB630" s="82"/>
      <c r="BC630" s="82"/>
      <c r="BD630" s="82"/>
      <c r="BE630" s="82"/>
      <c r="BF630" s="82"/>
      <c r="BG630" s="82"/>
      <c r="BH630" s="82"/>
      <c r="BI630" s="82"/>
      <c r="BJ630" s="82"/>
      <c r="BK630" s="82"/>
      <c r="BL630" s="82"/>
      <c r="BM630" s="82"/>
      <c r="BN630" s="82"/>
      <c r="BO630" s="82"/>
      <c r="BP630" s="82"/>
      <c r="BQ630" s="63"/>
      <c r="BR630" s="82"/>
      <c r="BS630" s="82"/>
      <c r="BT630" s="82"/>
      <c r="BU630" s="4"/>
    </row>
    <row r="631" spans="1:73" ht="12.75" x14ac:dyDescent="0.2">
      <c r="A631" s="1"/>
      <c r="B631" s="85"/>
      <c r="C631" s="85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4"/>
      <c r="O631" s="82"/>
      <c r="P631" s="82"/>
      <c r="Q631" s="82"/>
      <c r="R631" s="63"/>
      <c r="S631" s="63"/>
      <c r="T631" s="63"/>
      <c r="U631" s="63"/>
      <c r="V631" s="63"/>
      <c r="W631" s="63"/>
      <c r="X631" s="63"/>
      <c r="Y631" s="82"/>
      <c r="Z631" s="82"/>
      <c r="AA631" s="82"/>
      <c r="AB631" s="82"/>
      <c r="AC631" s="82"/>
      <c r="AD631" s="82"/>
      <c r="AE631" s="82"/>
      <c r="AF631" s="63" t="str">
        <f t="shared" si="2"/>
        <v/>
      </c>
      <c r="AG631" s="82"/>
      <c r="AH631" s="82"/>
      <c r="AI631" s="82"/>
      <c r="AJ631" s="82"/>
      <c r="AK631" s="82"/>
      <c r="AL631" s="82"/>
      <c r="AM631" s="82"/>
      <c r="AN631" s="82"/>
      <c r="AO631" s="82"/>
      <c r="AP631" s="82"/>
      <c r="AQ631" s="82"/>
      <c r="AR631" s="82"/>
      <c r="AS631" s="82"/>
      <c r="AT631" s="82"/>
      <c r="AU631" s="82"/>
      <c r="AV631" s="82"/>
      <c r="AW631" s="82"/>
      <c r="AX631" s="82"/>
      <c r="AY631" s="82"/>
      <c r="AZ631" s="82"/>
      <c r="BA631" s="82"/>
      <c r="BB631" s="82"/>
      <c r="BC631" s="82"/>
      <c r="BD631" s="82"/>
      <c r="BE631" s="82"/>
      <c r="BF631" s="82"/>
      <c r="BG631" s="82"/>
      <c r="BH631" s="82"/>
      <c r="BI631" s="82"/>
      <c r="BJ631" s="82"/>
      <c r="BK631" s="82"/>
      <c r="BL631" s="82"/>
      <c r="BM631" s="82"/>
      <c r="BN631" s="82"/>
      <c r="BO631" s="82"/>
      <c r="BP631" s="82"/>
      <c r="BQ631" s="63"/>
      <c r="BR631" s="82"/>
      <c r="BS631" s="82"/>
      <c r="BT631" s="82"/>
      <c r="BU631" s="4"/>
    </row>
    <row r="632" spans="1:73" ht="12.75" x14ac:dyDescent="0.2">
      <c r="A632" s="1"/>
      <c r="B632" s="85"/>
      <c r="C632" s="85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4"/>
      <c r="O632" s="82"/>
      <c r="P632" s="82"/>
      <c r="Q632" s="82"/>
      <c r="R632" s="63"/>
      <c r="S632" s="63"/>
      <c r="T632" s="63"/>
      <c r="U632" s="63"/>
      <c r="V632" s="63"/>
      <c r="W632" s="63"/>
      <c r="X632" s="63"/>
      <c r="Y632" s="82"/>
      <c r="Z632" s="82"/>
      <c r="AA632" s="82"/>
      <c r="AB632" s="82"/>
      <c r="AC632" s="82"/>
      <c r="AD632" s="82"/>
      <c r="AE632" s="82"/>
      <c r="AF632" s="63" t="str">
        <f t="shared" si="2"/>
        <v/>
      </c>
      <c r="AG632" s="82"/>
      <c r="AH632" s="82"/>
      <c r="AI632" s="82"/>
      <c r="AJ632" s="82"/>
      <c r="AK632" s="82"/>
      <c r="AL632" s="82"/>
      <c r="AM632" s="82"/>
      <c r="AN632" s="82"/>
      <c r="AO632" s="82"/>
      <c r="AP632" s="82"/>
      <c r="AQ632" s="82"/>
      <c r="AR632" s="82"/>
      <c r="AS632" s="82"/>
      <c r="AT632" s="82"/>
      <c r="AU632" s="82"/>
      <c r="AV632" s="82"/>
      <c r="AW632" s="82"/>
      <c r="AX632" s="82"/>
      <c r="AY632" s="82"/>
      <c r="AZ632" s="82"/>
      <c r="BA632" s="82"/>
      <c r="BB632" s="82"/>
      <c r="BC632" s="82"/>
      <c r="BD632" s="82"/>
      <c r="BE632" s="82"/>
      <c r="BF632" s="82"/>
      <c r="BG632" s="82"/>
      <c r="BH632" s="82"/>
      <c r="BI632" s="82"/>
      <c r="BJ632" s="82"/>
      <c r="BK632" s="82"/>
      <c r="BL632" s="82"/>
      <c r="BM632" s="82"/>
      <c r="BN632" s="82"/>
      <c r="BO632" s="82"/>
      <c r="BP632" s="82"/>
      <c r="BQ632" s="63"/>
      <c r="BR632" s="82"/>
      <c r="BS632" s="82"/>
      <c r="BT632" s="82"/>
      <c r="BU632" s="4"/>
    </row>
    <row r="633" spans="1:73" ht="12.75" x14ac:dyDescent="0.2">
      <c r="A633" s="1"/>
      <c r="B633" s="85"/>
      <c r="C633" s="85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4"/>
      <c r="O633" s="82"/>
      <c r="P633" s="82"/>
      <c r="Q633" s="82"/>
      <c r="R633" s="63"/>
      <c r="S633" s="63"/>
      <c r="T633" s="63"/>
      <c r="U633" s="63"/>
      <c r="V633" s="63"/>
      <c r="W633" s="63"/>
      <c r="X633" s="63"/>
      <c r="Y633" s="82"/>
      <c r="Z633" s="82"/>
      <c r="AA633" s="82"/>
      <c r="AB633" s="82"/>
      <c r="AC633" s="82"/>
      <c r="AD633" s="82"/>
      <c r="AE633" s="82"/>
      <c r="AF633" s="63" t="str">
        <f t="shared" si="2"/>
        <v/>
      </c>
      <c r="AG633" s="82"/>
      <c r="AH633" s="82"/>
      <c r="AI633" s="82"/>
      <c r="AJ633" s="82"/>
      <c r="AK633" s="82"/>
      <c r="AL633" s="82"/>
      <c r="AM633" s="82"/>
      <c r="AN633" s="82"/>
      <c r="AO633" s="82"/>
      <c r="AP633" s="82"/>
      <c r="AQ633" s="82"/>
      <c r="AR633" s="82"/>
      <c r="AS633" s="82"/>
      <c r="AT633" s="82"/>
      <c r="AU633" s="82"/>
      <c r="AV633" s="82"/>
      <c r="AW633" s="82"/>
      <c r="AX633" s="82"/>
      <c r="AY633" s="82"/>
      <c r="AZ633" s="82"/>
      <c r="BA633" s="82"/>
      <c r="BB633" s="82"/>
      <c r="BC633" s="82"/>
      <c r="BD633" s="82"/>
      <c r="BE633" s="82"/>
      <c r="BF633" s="82"/>
      <c r="BG633" s="82"/>
      <c r="BH633" s="82"/>
      <c r="BI633" s="82"/>
      <c r="BJ633" s="82"/>
      <c r="BK633" s="82"/>
      <c r="BL633" s="82"/>
      <c r="BM633" s="82"/>
      <c r="BN633" s="82"/>
      <c r="BO633" s="82"/>
      <c r="BP633" s="82"/>
      <c r="BQ633" s="63"/>
      <c r="BR633" s="82"/>
      <c r="BS633" s="82"/>
      <c r="BT633" s="82"/>
      <c r="BU633" s="4"/>
    </row>
    <row r="634" spans="1:73" ht="12.75" x14ac:dyDescent="0.2">
      <c r="A634" s="1"/>
      <c r="B634" s="85"/>
      <c r="C634" s="85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4"/>
      <c r="O634" s="82"/>
      <c r="P634" s="82"/>
      <c r="Q634" s="82"/>
      <c r="R634" s="63"/>
      <c r="S634" s="63"/>
      <c r="T634" s="63"/>
      <c r="U634" s="63"/>
      <c r="V634" s="63"/>
      <c r="W634" s="63"/>
      <c r="X634" s="63"/>
      <c r="Y634" s="82"/>
      <c r="Z634" s="82"/>
      <c r="AA634" s="82"/>
      <c r="AB634" s="82"/>
      <c r="AC634" s="82"/>
      <c r="AD634" s="82"/>
      <c r="AE634" s="82"/>
      <c r="AF634" s="63" t="str">
        <f t="shared" si="2"/>
        <v/>
      </c>
      <c r="AG634" s="82"/>
      <c r="AH634" s="82"/>
      <c r="AI634" s="82"/>
      <c r="AJ634" s="82"/>
      <c r="AK634" s="82"/>
      <c r="AL634" s="82"/>
      <c r="AM634" s="82"/>
      <c r="AN634" s="82"/>
      <c r="AO634" s="82"/>
      <c r="AP634" s="82"/>
      <c r="AQ634" s="82"/>
      <c r="AR634" s="82"/>
      <c r="AS634" s="82"/>
      <c r="AT634" s="82"/>
      <c r="AU634" s="82"/>
      <c r="AV634" s="82"/>
      <c r="AW634" s="82"/>
      <c r="AX634" s="82"/>
      <c r="AY634" s="82"/>
      <c r="AZ634" s="82"/>
      <c r="BA634" s="82"/>
      <c r="BB634" s="82"/>
      <c r="BC634" s="82"/>
      <c r="BD634" s="82"/>
      <c r="BE634" s="82"/>
      <c r="BF634" s="82"/>
      <c r="BG634" s="82"/>
      <c r="BH634" s="82"/>
      <c r="BI634" s="82"/>
      <c r="BJ634" s="82"/>
      <c r="BK634" s="82"/>
      <c r="BL634" s="82"/>
      <c r="BM634" s="82"/>
      <c r="BN634" s="82"/>
      <c r="BO634" s="82"/>
      <c r="BP634" s="82"/>
      <c r="BQ634" s="63"/>
      <c r="BR634" s="82"/>
      <c r="BS634" s="82"/>
      <c r="BT634" s="82"/>
      <c r="BU634" s="4"/>
    </row>
    <row r="635" spans="1:73" ht="12.75" x14ac:dyDescent="0.2">
      <c r="A635" s="1"/>
      <c r="B635" s="85"/>
      <c r="C635" s="85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4"/>
      <c r="O635" s="82"/>
      <c r="P635" s="82"/>
      <c r="Q635" s="82"/>
      <c r="R635" s="63"/>
      <c r="S635" s="63"/>
      <c r="T635" s="63"/>
      <c r="U635" s="63"/>
      <c r="V635" s="63"/>
      <c r="W635" s="63"/>
      <c r="X635" s="63"/>
      <c r="Y635" s="82"/>
      <c r="Z635" s="82"/>
      <c r="AA635" s="82"/>
      <c r="AB635" s="82"/>
      <c r="AC635" s="82"/>
      <c r="AD635" s="82"/>
      <c r="AE635" s="82"/>
      <c r="AF635" s="63" t="str">
        <f t="shared" si="2"/>
        <v/>
      </c>
      <c r="AG635" s="82"/>
      <c r="AH635" s="82"/>
      <c r="AI635" s="82"/>
      <c r="AJ635" s="82"/>
      <c r="AK635" s="82"/>
      <c r="AL635" s="82"/>
      <c r="AM635" s="82"/>
      <c r="AN635" s="82"/>
      <c r="AO635" s="82"/>
      <c r="AP635" s="82"/>
      <c r="AQ635" s="82"/>
      <c r="AR635" s="82"/>
      <c r="AS635" s="82"/>
      <c r="AT635" s="82"/>
      <c r="AU635" s="82"/>
      <c r="AV635" s="82"/>
      <c r="AW635" s="82"/>
      <c r="AX635" s="82"/>
      <c r="AY635" s="82"/>
      <c r="AZ635" s="82"/>
      <c r="BA635" s="82"/>
      <c r="BB635" s="82"/>
      <c r="BC635" s="82"/>
      <c r="BD635" s="82"/>
      <c r="BE635" s="82"/>
      <c r="BF635" s="82"/>
      <c r="BG635" s="82"/>
      <c r="BH635" s="82"/>
      <c r="BI635" s="82"/>
      <c r="BJ635" s="82"/>
      <c r="BK635" s="82"/>
      <c r="BL635" s="82"/>
      <c r="BM635" s="82"/>
      <c r="BN635" s="82"/>
      <c r="BO635" s="82"/>
      <c r="BP635" s="82"/>
      <c r="BQ635" s="63"/>
      <c r="BR635" s="82"/>
      <c r="BS635" s="82"/>
      <c r="BT635" s="82"/>
      <c r="BU635" s="4"/>
    </row>
    <row r="636" spans="1:73" ht="12.75" x14ac:dyDescent="0.2">
      <c r="A636" s="1"/>
      <c r="B636" s="85"/>
      <c r="C636" s="85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4"/>
      <c r="O636" s="82"/>
      <c r="P636" s="82"/>
      <c r="Q636" s="82"/>
      <c r="R636" s="63"/>
      <c r="S636" s="63"/>
      <c r="T636" s="63"/>
      <c r="U636" s="63"/>
      <c r="V636" s="63"/>
      <c r="W636" s="63"/>
      <c r="X636" s="63"/>
      <c r="Y636" s="82"/>
      <c r="Z636" s="82"/>
      <c r="AA636" s="82"/>
      <c r="AB636" s="82"/>
      <c r="AC636" s="82"/>
      <c r="AD636" s="82"/>
      <c r="AE636" s="82"/>
      <c r="AF636" s="63" t="str">
        <f t="shared" si="2"/>
        <v/>
      </c>
      <c r="AG636" s="82"/>
      <c r="AH636" s="82"/>
      <c r="AI636" s="82"/>
      <c r="AJ636" s="82"/>
      <c r="AK636" s="82"/>
      <c r="AL636" s="82"/>
      <c r="AM636" s="82"/>
      <c r="AN636" s="82"/>
      <c r="AO636" s="82"/>
      <c r="AP636" s="82"/>
      <c r="AQ636" s="82"/>
      <c r="AR636" s="82"/>
      <c r="AS636" s="82"/>
      <c r="AT636" s="82"/>
      <c r="AU636" s="82"/>
      <c r="AV636" s="82"/>
      <c r="AW636" s="82"/>
      <c r="AX636" s="82"/>
      <c r="AY636" s="82"/>
      <c r="AZ636" s="82"/>
      <c r="BA636" s="82"/>
      <c r="BB636" s="82"/>
      <c r="BC636" s="82"/>
      <c r="BD636" s="82"/>
      <c r="BE636" s="82"/>
      <c r="BF636" s="82"/>
      <c r="BG636" s="82"/>
      <c r="BH636" s="82"/>
      <c r="BI636" s="82"/>
      <c r="BJ636" s="82"/>
      <c r="BK636" s="82"/>
      <c r="BL636" s="82"/>
      <c r="BM636" s="82"/>
      <c r="BN636" s="82"/>
      <c r="BO636" s="82"/>
      <c r="BP636" s="82"/>
      <c r="BQ636" s="63"/>
      <c r="BR636" s="82"/>
      <c r="BS636" s="82"/>
      <c r="BT636" s="82"/>
      <c r="BU636" s="4"/>
    </row>
    <row r="637" spans="1:73" ht="12.75" x14ac:dyDescent="0.2">
      <c r="A637" s="1"/>
      <c r="B637" s="85"/>
      <c r="C637" s="85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4"/>
      <c r="O637" s="82"/>
      <c r="P637" s="82"/>
      <c r="Q637" s="82"/>
      <c r="R637" s="63"/>
      <c r="S637" s="63"/>
      <c r="T637" s="63"/>
      <c r="U637" s="63"/>
      <c r="V637" s="63"/>
      <c r="W637" s="63"/>
      <c r="X637" s="63"/>
      <c r="Y637" s="82"/>
      <c r="Z637" s="82"/>
      <c r="AA637" s="82"/>
      <c r="AB637" s="82"/>
      <c r="AC637" s="82"/>
      <c r="AD637" s="82"/>
      <c r="AE637" s="82"/>
      <c r="AF637" s="63" t="str">
        <f t="shared" si="2"/>
        <v/>
      </c>
      <c r="AG637" s="82"/>
      <c r="AH637" s="82"/>
      <c r="AI637" s="82"/>
      <c r="AJ637" s="82"/>
      <c r="AK637" s="82"/>
      <c r="AL637" s="82"/>
      <c r="AM637" s="82"/>
      <c r="AN637" s="82"/>
      <c r="AO637" s="82"/>
      <c r="AP637" s="82"/>
      <c r="AQ637" s="82"/>
      <c r="AR637" s="82"/>
      <c r="AS637" s="82"/>
      <c r="AT637" s="82"/>
      <c r="AU637" s="82"/>
      <c r="AV637" s="82"/>
      <c r="AW637" s="82"/>
      <c r="AX637" s="82"/>
      <c r="AY637" s="82"/>
      <c r="AZ637" s="82"/>
      <c r="BA637" s="82"/>
      <c r="BB637" s="82"/>
      <c r="BC637" s="82"/>
      <c r="BD637" s="82"/>
      <c r="BE637" s="82"/>
      <c r="BF637" s="82"/>
      <c r="BG637" s="82"/>
      <c r="BH637" s="82"/>
      <c r="BI637" s="82"/>
      <c r="BJ637" s="82"/>
      <c r="BK637" s="82"/>
      <c r="BL637" s="82"/>
      <c r="BM637" s="82"/>
      <c r="BN637" s="82"/>
      <c r="BO637" s="82"/>
      <c r="BP637" s="82"/>
      <c r="BQ637" s="63"/>
      <c r="BR637" s="82"/>
      <c r="BS637" s="82"/>
      <c r="BT637" s="82"/>
      <c r="BU637" s="4"/>
    </row>
    <row r="638" spans="1:73" ht="12.75" x14ac:dyDescent="0.2">
      <c r="A638" s="1"/>
      <c r="B638" s="85"/>
      <c r="C638" s="85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4"/>
      <c r="O638" s="82"/>
      <c r="P638" s="82"/>
      <c r="Q638" s="82"/>
      <c r="R638" s="63"/>
      <c r="S638" s="63"/>
      <c r="T638" s="63"/>
      <c r="U638" s="63"/>
      <c r="V638" s="63"/>
      <c r="W638" s="63"/>
      <c r="X638" s="63"/>
      <c r="Y638" s="82"/>
      <c r="Z638" s="82"/>
      <c r="AA638" s="82"/>
      <c r="AB638" s="82"/>
      <c r="AC638" s="82"/>
      <c r="AD638" s="82"/>
      <c r="AE638" s="82"/>
      <c r="AF638" s="63" t="str">
        <f t="shared" si="2"/>
        <v/>
      </c>
      <c r="AG638" s="82"/>
      <c r="AH638" s="82"/>
      <c r="AI638" s="82"/>
      <c r="AJ638" s="82"/>
      <c r="AK638" s="82"/>
      <c r="AL638" s="82"/>
      <c r="AM638" s="82"/>
      <c r="AN638" s="82"/>
      <c r="AO638" s="82"/>
      <c r="AP638" s="82"/>
      <c r="AQ638" s="82"/>
      <c r="AR638" s="82"/>
      <c r="AS638" s="82"/>
      <c r="AT638" s="82"/>
      <c r="AU638" s="82"/>
      <c r="AV638" s="82"/>
      <c r="AW638" s="82"/>
      <c r="AX638" s="82"/>
      <c r="AY638" s="82"/>
      <c r="AZ638" s="82"/>
      <c r="BA638" s="82"/>
      <c r="BB638" s="82"/>
      <c r="BC638" s="82"/>
      <c r="BD638" s="82"/>
      <c r="BE638" s="82"/>
      <c r="BF638" s="82"/>
      <c r="BG638" s="82"/>
      <c r="BH638" s="82"/>
      <c r="BI638" s="82"/>
      <c r="BJ638" s="82"/>
      <c r="BK638" s="82"/>
      <c r="BL638" s="82"/>
      <c r="BM638" s="82"/>
      <c r="BN638" s="82"/>
      <c r="BO638" s="82"/>
      <c r="BP638" s="82"/>
      <c r="BQ638" s="63"/>
      <c r="BR638" s="82"/>
      <c r="BS638" s="82"/>
      <c r="BT638" s="82"/>
      <c r="BU638" s="4"/>
    </row>
    <row r="639" spans="1:73" ht="12.75" x14ac:dyDescent="0.2">
      <c r="A639" s="1"/>
      <c r="B639" s="85"/>
      <c r="C639" s="85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4"/>
      <c r="O639" s="82"/>
      <c r="P639" s="82"/>
      <c r="Q639" s="82"/>
      <c r="R639" s="63"/>
      <c r="S639" s="63"/>
      <c r="T639" s="63"/>
      <c r="U639" s="63"/>
      <c r="V639" s="63"/>
      <c r="W639" s="63"/>
      <c r="X639" s="63"/>
      <c r="Y639" s="82"/>
      <c r="Z639" s="82"/>
      <c r="AA639" s="82"/>
      <c r="AB639" s="82"/>
      <c r="AC639" s="82"/>
      <c r="AD639" s="82"/>
      <c r="AE639" s="82"/>
      <c r="AF639" s="63" t="str">
        <f t="shared" si="2"/>
        <v/>
      </c>
      <c r="AG639" s="82"/>
      <c r="AH639" s="82"/>
      <c r="AI639" s="82"/>
      <c r="AJ639" s="82"/>
      <c r="AK639" s="82"/>
      <c r="AL639" s="82"/>
      <c r="AM639" s="82"/>
      <c r="AN639" s="82"/>
      <c r="AO639" s="82"/>
      <c r="AP639" s="82"/>
      <c r="AQ639" s="82"/>
      <c r="AR639" s="82"/>
      <c r="AS639" s="82"/>
      <c r="AT639" s="82"/>
      <c r="AU639" s="82"/>
      <c r="AV639" s="82"/>
      <c r="AW639" s="82"/>
      <c r="AX639" s="82"/>
      <c r="AY639" s="82"/>
      <c r="AZ639" s="82"/>
      <c r="BA639" s="82"/>
      <c r="BB639" s="82"/>
      <c r="BC639" s="82"/>
      <c r="BD639" s="82"/>
      <c r="BE639" s="82"/>
      <c r="BF639" s="82"/>
      <c r="BG639" s="82"/>
      <c r="BH639" s="82"/>
      <c r="BI639" s="82"/>
      <c r="BJ639" s="82"/>
      <c r="BK639" s="82"/>
      <c r="BL639" s="82"/>
      <c r="BM639" s="82"/>
      <c r="BN639" s="82"/>
      <c r="BO639" s="82"/>
      <c r="BP639" s="82"/>
      <c r="BQ639" s="63"/>
      <c r="BR639" s="82"/>
      <c r="BS639" s="82"/>
      <c r="BT639" s="82"/>
      <c r="BU639" s="4"/>
    </row>
    <row r="640" spans="1:73" ht="12.75" x14ac:dyDescent="0.2">
      <c r="A640" s="1"/>
      <c r="B640" s="85"/>
      <c r="C640" s="85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4"/>
      <c r="O640" s="82"/>
      <c r="P640" s="82"/>
      <c r="Q640" s="82"/>
      <c r="R640" s="63"/>
      <c r="S640" s="63"/>
      <c r="T640" s="63"/>
      <c r="U640" s="63"/>
      <c r="V640" s="63"/>
      <c r="W640" s="63"/>
      <c r="X640" s="63"/>
      <c r="Y640" s="82"/>
      <c r="Z640" s="82"/>
      <c r="AA640" s="82"/>
      <c r="AB640" s="82"/>
      <c r="AC640" s="82"/>
      <c r="AD640" s="82"/>
      <c r="AE640" s="82"/>
      <c r="AF640" s="63" t="str">
        <f t="shared" si="2"/>
        <v/>
      </c>
      <c r="AG640" s="82"/>
      <c r="AH640" s="82"/>
      <c r="AI640" s="82"/>
      <c r="AJ640" s="82"/>
      <c r="AK640" s="82"/>
      <c r="AL640" s="82"/>
      <c r="AM640" s="82"/>
      <c r="AN640" s="82"/>
      <c r="AO640" s="82"/>
      <c r="AP640" s="82"/>
      <c r="AQ640" s="82"/>
      <c r="AR640" s="82"/>
      <c r="AS640" s="82"/>
      <c r="AT640" s="82"/>
      <c r="AU640" s="82"/>
      <c r="AV640" s="82"/>
      <c r="AW640" s="82"/>
      <c r="AX640" s="82"/>
      <c r="AY640" s="82"/>
      <c r="AZ640" s="82"/>
      <c r="BA640" s="82"/>
      <c r="BB640" s="82"/>
      <c r="BC640" s="82"/>
      <c r="BD640" s="82"/>
      <c r="BE640" s="82"/>
      <c r="BF640" s="82"/>
      <c r="BG640" s="82"/>
      <c r="BH640" s="82"/>
      <c r="BI640" s="82"/>
      <c r="BJ640" s="82"/>
      <c r="BK640" s="82"/>
      <c r="BL640" s="82"/>
      <c r="BM640" s="82"/>
      <c r="BN640" s="82"/>
      <c r="BO640" s="82"/>
      <c r="BP640" s="82"/>
      <c r="BQ640" s="63"/>
      <c r="BR640" s="82"/>
      <c r="BS640" s="82"/>
      <c r="BT640" s="82"/>
      <c r="BU640" s="4"/>
    </row>
    <row r="641" spans="1:73" ht="12.75" x14ac:dyDescent="0.2">
      <c r="A641" s="1"/>
      <c r="B641" s="85"/>
      <c r="C641" s="85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4"/>
      <c r="O641" s="82"/>
      <c r="P641" s="82"/>
      <c r="Q641" s="82"/>
      <c r="R641" s="63"/>
      <c r="S641" s="63"/>
      <c r="T641" s="63"/>
      <c r="U641" s="63"/>
      <c r="V641" s="63"/>
      <c r="W641" s="63"/>
      <c r="X641" s="63"/>
      <c r="Y641" s="82"/>
      <c r="Z641" s="82"/>
      <c r="AA641" s="82"/>
      <c r="AB641" s="82"/>
      <c r="AC641" s="82"/>
      <c r="AD641" s="82"/>
      <c r="AE641" s="82"/>
      <c r="AF641" s="63" t="str">
        <f t="shared" si="2"/>
        <v/>
      </c>
      <c r="AG641" s="82"/>
      <c r="AH641" s="82"/>
      <c r="AI641" s="82"/>
      <c r="AJ641" s="82"/>
      <c r="AK641" s="82"/>
      <c r="AL641" s="82"/>
      <c r="AM641" s="82"/>
      <c r="AN641" s="82"/>
      <c r="AO641" s="82"/>
      <c r="AP641" s="82"/>
      <c r="AQ641" s="82"/>
      <c r="AR641" s="82"/>
      <c r="AS641" s="82"/>
      <c r="AT641" s="82"/>
      <c r="AU641" s="82"/>
      <c r="AV641" s="82"/>
      <c r="AW641" s="82"/>
      <c r="AX641" s="82"/>
      <c r="AY641" s="82"/>
      <c r="AZ641" s="82"/>
      <c r="BA641" s="82"/>
      <c r="BB641" s="82"/>
      <c r="BC641" s="82"/>
      <c r="BD641" s="82"/>
      <c r="BE641" s="82"/>
      <c r="BF641" s="82"/>
      <c r="BG641" s="82"/>
      <c r="BH641" s="82"/>
      <c r="BI641" s="82"/>
      <c r="BJ641" s="82"/>
      <c r="BK641" s="82"/>
      <c r="BL641" s="82"/>
      <c r="BM641" s="82"/>
      <c r="BN641" s="82"/>
      <c r="BO641" s="82"/>
      <c r="BP641" s="82"/>
      <c r="BQ641" s="63"/>
      <c r="BR641" s="82"/>
      <c r="BS641" s="82"/>
      <c r="BT641" s="82"/>
      <c r="BU641" s="4"/>
    </row>
    <row r="642" spans="1:73" ht="12.75" x14ac:dyDescent="0.2">
      <c r="A642" s="1"/>
      <c r="B642" s="85"/>
      <c r="C642" s="85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4"/>
      <c r="O642" s="82"/>
      <c r="P642" s="82"/>
      <c r="Q642" s="82"/>
      <c r="R642" s="63"/>
      <c r="S642" s="63"/>
      <c r="T642" s="63"/>
      <c r="U642" s="63"/>
      <c r="V642" s="63"/>
      <c r="W642" s="63"/>
      <c r="X642" s="63"/>
      <c r="Y642" s="82"/>
      <c r="Z642" s="82"/>
      <c r="AA642" s="82"/>
      <c r="AB642" s="82"/>
      <c r="AC642" s="82"/>
      <c r="AD642" s="82"/>
      <c r="AE642" s="82"/>
      <c r="AF642" s="63" t="str">
        <f t="shared" si="2"/>
        <v/>
      </c>
      <c r="AG642" s="82"/>
      <c r="AH642" s="82"/>
      <c r="AI642" s="82"/>
      <c r="AJ642" s="82"/>
      <c r="AK642" s="82"/>
      <c r="AL642" s="82"/>
      <c r="AM642" s="82"/>
      <c r="AN642" s="82"/>
      <c r="AO642" s="82"/>
      <c r="AP642" s="82"/>
      <c r="AQ642" s="82"/>
      <c r="AR642" s="82"/>
      <c r="AS642" s="82"/>
      <c r="AT642" s="82"/>
      <c r="AU642" s="82"/>
      <c r="AV642" s="82"/>
      <c r="AW642" s="82"/>
      <c r="AX642" s="82"/>
      <c r="AY642" s="82"/>
      <c r="AZ642" s="82"/>
      <c r="BA642" s="82"/>
      <c r="BB642" s="82"/>
      <c r="BC642" s="82"/>
      <c r="BD642" s="82"/>
      <c r="BE642" s="82"/>
      <c r="BF642" s="82"/>
      <c r="BG642" s="82"/>
      <c r="BH642" s="82"/>
      <c r="BI642" s="82"/>
      <c r="BJ642" s="82"/>
      <c r="BK642" s="82"/>
      <c r="BL642" s="82"/>
      <c r="BM642" s="82"/>
      <c r="BN642" s="82"/>
      <c r="BO642" s="82"/>
      <c r="BP642" s="82"/>
      <c r="BQ642" s="63"/>
      <c r="BR642" s="82"/>
      <c r="BS642" s="82"/>
      <c r="BT642" s="82"/>
      <c r="BU642" s="4"/>
    </row>
    <row r="643" spans="1:73" ht="12.75" x14ac:dyDescent="0.2">
      <c r="A643" s="1"/>
      <c r="B643" s="85"/>
      <c r="C643" s="85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4"/>
      <c r="O643" s="82"/>
      <c r="P643" s="82"/>
      <c r="Q643" s="82"/>
      <c r="R643" s="63"/>
      <c r="S643" s="63"/>
      <c r="T643" s="63"/>
      <c r="U643" s="63"/>
      <c r="V643" s="63"/>
      <c r="W643" s="63"/>
      <c r="X643" s="63"/>
      <c r="Y643" s="82"/>
      <c r="Z643" s="82"/>
      <c r="AA643" s="82"/>
      <c r="AB643" s="82"/>
      <c r="AC643" s="82"/>
      <c r="AD643" s="82"/>
      <c r="AE643" s="82"/>
      <c r="AF643" s="63" t="str">
        <f t="shared" si="2"/>
        <v/>
      </c>
      <c r="AG643" s="82"/>
      <c r="AH643" s="82"/>
      <c r="AI643" s="82"/>
      <c r="AJ643" s="82"/>
      <c r="AK643" s="82"/>
      <c r="AL643" s="82"/>
      <c r="AM643" s="82"/>
      <c r="AN643" s="82"/>
      <c r="AO643" s="82"/>
      <c r="AP643" s="82"/>
      <c r="AQ643" s="82"/>
      <c r="AR643" s="82"/>
      <c r="AS643" s="82"/>
      <c r="AT643" s="82"/>
      <c r="AU643" s="82"/>
      <c r="AV643" s="82"/>
      <c r="AW643" s="82"/>
      <c r="AX643" s="82"/>
      <c r="AY643" s="82"/>
      <c r="AZ643" s="82"/>
      <c r="BA643" s="82"/>
      <c r="BB643" s="82"/>
      <c r="BC643" s="82"/>
      <c r="BD643" s="82"/>
      <c r="BE643" s="82"/>
      <c r="BF643" s="82"/>
      <c r="BG643" s="82"/>
      <c r="BH643" s="82"/>
      <c r="BI643" s="82"/>
      <c r="BJ643" s="82"/>
      <c r="BK643" s="82"/>
      <c r="BL643" s="82"/>
      <c r="BM643" s="82"/>
      <c r="BN643" s="82"/>
      <c r="BO643" s="82"/>
      <c r="BP643" s="82"/>
      <c r="BQ643" s="63"/>
      <c r="BR643" s="82"/>
      <c r="BS643" s="82"/>
      <c r="BT643" s="82"/>
      <c r="BU643" s="4"/>
    </row>
    <row r="644" spans="1:73" ht="12.75" x14ac:dyDescent="0.2">
      <c r="A644" s="1"/>
      <c r="B644" s="85"/>
      <c r="C644" s="85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4"/>
      <c r="O644" s="82"/>
      <c r="P644" s="82"/>
      <c r="Q644" s="82"/>
      <c r="R644" s="63"/>
      <c r="S644" s="63"/>
      <c r="T644" s="63"/>
      <c r="U644" s="63"/>
      <c r="V644" s="63"/>
      <c r="W644" s="63"/>
      <c r="X644" s="63"/>
      <c r="Y644" s="82"/>
      <c r="Z644" s="82"/>
      <c r="AA644" s="82"/>
      <c r="AB644" s="82"/>
      <c r="AC644" s="82"/>
      <c r="AD644" s="82"/>
      <c r="AE644" s="82"/>
      <c r="AF644" s="63" t="str">
        <f t="shared" si="2"/>
        <v/>
      </c>
      <c r="AG644" s="82"/>
      <c r="AH644" s="82"/>
      <c r="AI644" s="82"/>
      <c r="AJ644" s="82"/>
      <c r="AK644" s="82"/>
      <c r="AL644" s="82"/>
      <c r="AM644" s="82"/>
      <c r="AN644" s="82"/>
      <c r="AO644" s="82"/>
      <c r="AP644" s="82"/>
      <c r="AQ644" s="82"/>
      <c r="AR644" s="82"/>
      <c r="AS644" s="82"/>
      <c r="AT644" s="82"/>
      <c r="AU644" s="82"/>
      <c r="AV644" s="82"/>
      <c r="AW644" s="82"/>
      <c r="AX644" s="82"/>
      <c r="AY644" s="82"/>
      <c r="AZ644" s="82"/>
      <c r="BA644" s="82"/>
      <c r="BB644" s="82"/>
      <c r="BC644" s="82"/>
      <c r="BD644" s="82"/>
      <c r="BE644" s="82"/>
      <c r="BF644" s="82"/>
      <c r="BG644" s="82"/>
      <c r="BH644" s="82"/>
      <c r="BI644" s="82"/>
      <c r="BJ644" s="82"/>
      <c r="BK644" s="82"/>
      <c r="BL644" s="82"/>
      <c r="BM644" s="82"/>
      <c r="BN644" s="82"/>
      <c r="BO644" s="82"/>
      <c r="BP644" s="82"/>
      <c r="BQ644" s="63"/>
      <c r="BR644" s="82"/>
      <c r="BS644" s="82"/>
      <c r="BT644" s="82"/>
      <c r="BU644" s="4"/>
    </row>
    <row r="645" spans="1:73" ht="12.75" x14ac:dyDescent="0.2">
      <c r="A645" s="1"/>
      <c r="B645" s="85"/>
      <c r="C645" s="85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4"/>
      <c r="O645" s="82"/>
      <c r="P645" s="82"/>
      <c r="Q645" s="82"/>
      <c r="R645" s="63"/>
      <c r="S645" s="63"/>
      <c r="T645" s="63"/>
      <c r="U645" s="63"/>
      <c r="V645" s="63"/>
      <c r="W645" s="63"/>
      <c r="X645" s="63"/>
      <c r="Y645" s="82"/>
      <c r="Z645" s="82"/>
      <c r="AA645" s="82"/>
      <c r="AB645" s="82"/>
      <c r="AC645" s="82"/>
      <c r="AD645" s="82"/>
      <c r="AE645" s="82"/>
      <c r="AF645" s="63" t="str">
        <f t="shared" si="2"/>
        <v/>
      </c>
      <c r="AG645" s="82"/>
      <c r="AH645" s="82"/>
      <c r="AI645" s="82"/>
      <c r="AJ645" s="82"/>
      <c r="AK645" s="82"/>
      <c r="AL645" s="82"/>
      <c r="AM645" s="82"/>
      <c r="AN645" s="82"/>
      <c r="AO645" s="82"/>
      <c r="AP645" s="82"/>
      <c r="AQ645" s="82"/>
      <c r="AR645" s="82"/>
      <c r="AS645" s="82"/>
      <c r="AT645" s="82"/>
      <c r="AU645" s="82"/>
      <c r="AV645" s="82"/>
      <c r="AW645" s="82"/>
      <c r="AX645" s="82"/>
      <c r="AY645" s="82"/>
      <c r="AZ645" s="82"/>
      <c r="BA645" s="82"/>
      <c r="BB645" s="82"/>
      <c r="BC645" s="82"/>
      <c r="BD645" s="82"/>
      <c r="BE645" s="82"/>
      <c r="BF645" s="82"/>
      <c r="BG645" s="82"/>
      <c r="BH645" s="82"/>
      <c r="BI645" s="82"/>
      <c r="BJ645" s="82"/>
      <c r="BK645" s="82"/>
      <c r="BL645" s="82"/>
      <c r="BM645" s="82"/>
      <c r="BN645" s="82"/>
      <c r="BO645" s="82"/>
      <c r="BP645" s="82"/>
      <c r="BQ645" s="63"/>
      <c r="BR645" s="82"/>
      <c r="BS645" s="82"/>
      <c r="BT645" s="82"/>
      <c r="BU645" s="4"/>
    </row>
    <row r="646" spans="1:73" ht="12.75" x14ac:dyDescent="0.2">
      <c r="A646" s="1"/>
      <c r="B646" s="85"/>
      <c r="C646" s="85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4"/>
      <c r="O646" s="82"/>
      <c r="P646" s="82"/>
      <c r="Q646" s="82"/>
      <c r="R646" s="63"/>
      <c r="S646" s="63"/>
      <c r="T646" s="63"/>
      <c r="U646" s="63"/>
      <c r="V646" s="63"/>
      <c r="W646" s="63"/>
      <c r="X646" s="63"/>
      <c r="Y646" s="82"/>
      <c r="Z646" s="82"/>
      <c r="AA646" s="82"/>
      <c r="AB646" s="82"/>
      <c r="AC646" s="82"/>
      <c r="AD646" s="82"/>
      <c r="AE646" s="82"/>
      <c r="AF646" s="63" t="str">
        <f t="shared" si="2"/>
        <v/>
      </c>
      <c r="AG646" s="82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  <c r="AR646" s="82"/>
      <c r="AS646" s="82"/>
      <c r="AT646" s="82"/>
      <c r="AU646" s="82"/>
      <c r="AV646" s="82"/>
      <c r="AW646" s="82"/>
      <c r="AX646" s="82"/>
      <c r="AY646" s="82"/>
      <c r="AZ646" s="82"/>
      <c r="BA646" s="82"/>
      <c r="BB646" s="82"/>
      <c r="BC646" s="82"/>
      <c r="BD646" s="82"/>
      <c r="BE646" s="82"/>
      <c r="BF646" s="82"/>
      <c r="BG646" s="82"/>
      <c r="BH646" s="82"/>
      <c r="BI646" s="82"/>
      <c r="BJ646" s="82"/>
      <c r="BK646" s="82"/>
      <c r="BL646" s="82"/>
      <c r="BM646" s="82"/>
      <c r="BN646" s="82"/>
      <c r="BO646" s="82"/>
      <c r="BP646" s="82"/>
      <c r="BQ646" s="63"/>
      <c r="BR646" s="82"/>
      <c r="BS646" s="82"/>
      <c r="BT646" s="82"/>
      <c r="BU646" s="4"/>
    </row>
    <row r="647" spans="1:73" ht="12.75" x14ac:dyDescent="0.2">
      <c r="A647" s="1"/>
      <c r="B647" s="85"/>
      <c r="C647" s="85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4"/>
      <c r="O647" s="82"/>
      <c r="P647" s="82"/>
      <c r="Q647" s="82"/>
      <c r="R647" s="63"/>
      <c r="S647" s="63"/>
      <c r="T647" s="63"/>
      <c r="U647" s="63"/>
      <c r="V647" s="63"/>
      <c r="W647" s="63"/>
      <c r="X647" s="63"/>
      <c r="Y647" s="82"/>
      <c r="Z647" s="82"/>
      <c r="AA647" s="82"/>
      <c r="AB647" s="82"/>
      <c r="AC647" s="82"/>
      <c r="AD647" s="82"/>
      <c r="AE647" s="82"/>
      <c r="AF647" s="63" t="str">
        <f t="shared" si="2"/>
        <v/>
      </c>
      <c r="AG647" s="82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  <c r="AR647" s="82"/>
      <c r="AS647" s="82"/>
      <c r="AT647" s="82"/>
      <c r="AU647" s="82"/>
      <c r="AV647" s="82"/>
      <c r="AW647" s="82"/>
      <c r="AX647" s="82"/>
      <c r="AY647" s="82"/>
      <c r="AZ647" s="82"/>
      <c r="BA647" s="82"/>
      <c r="BB647" s="82"/>
      <c r="BC647" s="82"/>
      <c r="BD647" s="82"/>
      <c r="BE647" s="82"/>
      <c r="BF647" s="82"/>
      <c r="BG647" s="82"/>
      <c r="BH647" s="82"/>
      <c r="BI647" s="82"/>
      <c r="BJ647" s="82"/>
      <c r="BK647" s="82"/>
      <c r="BL647" s="82"/>
      <c r="BM647" s="82"/>
      <c r="BN647" s="82"/>
      <c r="BO647" s="82"/>
      <c r="BP647" s="82"/>
      <c r="BQ647" s="63"/>
      <c r="BR647" s="82"/>
      <c r="BS647" s="82"/>
      <c r="BT647" s="82"/>
      <c r="BU647" s="4"/>
    </row>
    <row r="648" spans="1:73" ht="12.75" x14ac:dyDescent="0.2">
      <c r="A648" s="1"/>
      <c r="B648" s="85"/>
      <c r="C648" s="85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4"/>
      <c r="O648" s="82"/>
      <c r="P648" s="82"/>
      <c r="Q648" s="82"/>
      <c r="R648" s="63"/>
      <c r="S648" s="63"/>
      <c r="T648" s="63"/>
      <c r="U648" s="63"/>
      <c r="V648" s="63"/>
      <c r="W648" s="63"/>
      <c r="X648" s="63"/>
      <c r="Y648" s="82"/>
      <c r="Z648" s="82"/>
      <c r="AA648" s="82"/>
      <c r="AB648" s="82"/>
      <c r="AC648" s="82"/>
      <c r="AD648" s="82"/>
      <c r="AE648" s="82"/>
      <c r="AF648" s="63" t="str">
        <f t="shared" si="2"/>
        <v/>
      </c>
      <c r="AG648" s="82"/>
      <c r="AH648" s="82"/>
      <c r="AI648" s="82"/>
      <c r="AJ648" s="82"/>
      <c r="AK648" s="82"/>
      <c r="AL648" s="82"/>
      <c r="AM648" s="82"/>
      <c r="AN648" s="82"/>
      <c r="AO648" s="82"/>
      <c r="AP648" s="82"/>
      <c r="AQ648" s="82"/>
      <c r="AR648" s="82"/>
      <c r="AS648" s="82"/>
      <c r="AT648" s="82"/>
      <c r="AU648" s="82"/>
      <c r="AV648" s="82"/>
      <c r="AW648" s="82"/>
      <c r="AX648" s="82"/>
      <c r="AY648" s="82"/>
      <c r="AZ648" s="82"/>
      <c r="BA648" s="82"/>
      <c r="BB648" s="82"/>
      <c r="BC648" s="82"/>
      <c r="BD648" s="82"/>
      <c r="BE648" s="82"/>
      <c r="BF648" s="82"/>
      <c r="BG648" s="82"/>
      <c r="BH648" s="82"/>
      <c r="BI648" s="82"/>
      <c r="BJ648" s="82"/>
      <c r="BK648" s="82"/>
      <c r="BL648" s="82"/>
      <c r="BM648" s="82"/>
      <c r="BN648" s="82"/>
      <c r="BO648" s="82"/>
      <c r="BP648" s="82"/>
      <c r="BQ648" s="63"/>
      <c r="BR648" s="82"/>
      <c r="BS648" s="82"/>
      <c r="BT648" s="82"/>
      <c r="BU648" s="4"/>
    </row>
    <row r="649" spans="1:73" ht="12.75" x14ac:dyDescent="0.2">
      <c r="A649" s="1"/>
      <c r="B649" s="85"/>
      <c r="C649" s="85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4"/>
      <c r="O649" s="82"/>
      <c r="P649" s="82"/>
      <c r="Q649" s="82"/>
      <c r="R649" s="63"/>
      <c r="S649" s="63"/>
      <c r="T649" s="63"/>
      <c r="U649" s="63"/>
      <c r="V649" s="63"/>
      <c r="W649" s="63"/>
      <c r="X649" s="63"/>
      <c r="Y649" s="82"/>
      <c r="Z649" s="82"/>
      <c r="AA649" s="82"/>
      <c r="AB649" s="82"/>
      <c r="AC649" s="82"/>
      <c r="AD649" s="82"/>
      <c r="AE649" s="82"/>
      <c r="AF649" s="63" t="str">
        <f t="shared" si="2"/>
        <v/>
      </c>
      <c r="AG649" s="82"/>
      <c r="AH649" s="82"/>
      <c r="AI649" s="82"/>
      <c r="AJ649" s="82"/>
      <c r="AK649" s="82"/>
      <c r="AL649" s="82"/>
      <c r="AM649" s="82"/>
      <c r="AN649" s="82"/>
      <c r="AO649" s="82"/>
      <c r="AP649" s="82"/>
      <c r="AQ649" s="82"/>
      <c r="AR649" s="82"/>
      <c r="AS649" s="82"/>
      <c r="AT649" s="82"/>
      <c r="AU649" s="82"/>
      <c r="AV649" s="82"/>
      <c r="AW649" s="82"/>
      <c r="AX649" s="82"/>
      <c r="AY649" s="82"/>
      <c r="AZ649" s="82"/>
      <c r="BA649" s="82"/>
      <c r="BB649" s="82"/>
      <c r="BC649" s="82"/>
      <c r="BD649" s="82"/>
      <c r="BE649" s="82"/>
      <c r="BF649" s="82"/>
      <c r="BG649" s="82"/>
      <c r="BH649" s="82"/>
      <c r="BI649" s="82"/>
      <c r="BJ649" s="82"/>
      <c r="BK649" s="82"/>
      <c r="BL649" s="82"/>
      <c r="BM649" s="82"/>
      <c r="BN649" s="82"/>
      <c r="BO649" s="82"/>
      <c r="BP649" s="82"/>
      <c r="BQ649" s="63"/>
      <c r="BR649" s="82"/>
      <c r="BS649" s="82"/>
      <c r="BT649" s="82"/>
      <c r="BU649" s="4"/>
    </row>
    <row r="650" spans="1:73" ht="12.75" x14ac:dyDescent="0.2">
      <c r="A650" s="1"/>
      <c r="B650" s="85"/>
      <c r="C650" s="85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4"/>
      <c r="O650" s="82"/>
      <c r="P650" s="82"/>
      <c r="Q650" s="82"/>
      <c r="R650" s="63"/>
      <c r="S650" s="63"/>
      <c r="T650" s="63"/>
      <c r="U650" s="63"/>
      <c r="V650" s="63"/>
      <c r="W650" s="63"/>
      <c r="X650" s="63"/>
      <c r="Y650" s="82"/>
      <c r="Z650" s="82"/>
      <c r="AA650" s="82"/>
      <c r="AB650" s="82"/>
      <c r="AC650" s="82"/>
      <c r="AD650" s="82"/>
      <c r="AE650" s="82"/>
      <c r="AF650" s="63" t="str">
        <f t="shared" si="2"/>
        <v/>
      </c>
      <c r="AG650" s="82"/>
      <c r="AH650" s="82"/>
      <c r="AI650" s="82"/>
      <c r="AJ650" s="82"/>
      <c r="AK650" s="82"/>
      <c r="AL650" s="82"/>
      <c r="AM650" s="82"/>
      <c r="AN650" s="82"/>
      <c r="AO650" s="82"/>
      <c r="AP650" s="82"/>
      <c r="AQ650" s="82"/>
      <c r="AR650" s="82"/>
      <c r="AS650" s="82"/>
      <c r="AT650" s="82"/>
      <c r="AU650" s="82"/>
      <c r="AV650" s="82"/>
      <c r="AW650" s="82"/>
      <c r="AX650" s="82"/>
      <c r="AY650" s="82"/>
      <c r="AZ650" s="82"/>
      <c r="BA650" s="82"/>
      <c r="BB650" s="82"/>
      <c r="BC650" s="82"/>
      <c r="BD650" s="82"/>
      <c r="BE650" s="82"/>
      <c r="BF650" s="82"/>
      <c r="BG650" s="82"/>
      <c r="BH650" s="82"/>
      <c r="BI650" s="82"/>
      <c r="BJ650" s="82"/>
      <c r="BK650" s="82"/>
      <c r="BL650" s="82"/>
      <c r="BM650" s="82"/>
      <c r="BN650" s="82"/>
      <c r="BO650" s="82"/>
      <c r="BP650" s="82"/>
      <c r="BQ650" s="63"/>
      <c r="BR650" s="82"/>
      <c r="BS650" s="82"/>
      <c r="BT650" s="82"/>
      <c r="BU650" s="4"/>
    </row>
    <row r="651" spans="1:73" ht="12.75" x14ac:dyDescent="0.2">
      <c r="A651" s="1"/>
      <c r="B651" s="85"/>
      <c r="C651" s="85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4"/>
      <c r="O651" s="82"/>
      <c r="P651" s="82"/>
      <c r="Q651" s="82"/>
      <c r="R651" s="63"/>
      <c r="S651" s="63"/>
      <c r="T651" s="63"/>
      <c r="U651" s="63"/>
      <c r="V651" s="63"/>
      <c r="W651" s="63"/>
      <c r="X651" s="63"/>
      <c r="Y651" s="82"/>
      <c r="Z651" s="82"/>
      <c r="AA651" s="82"/>
      <c r="AB651" s="82"/>
      <c r="AC651" s="82"/>
      <c r="AD651" s="82"/>
      <c r="AE651" s="82"/>
      <c r="AF651" s="63" t="str">
        <f t="shared" si="2"/>
        <v/>
      </c>
      <c r="AG651" s="82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  <c r="AR651" s="82"/>
      <c r="AS651" s="82"/>
      <c r="AT651" s="82"/>
      <c r="AU651" s="82"/>
      <c r="AV651" s="82"/>
      <c r="AW651" s="82"/>
      <c r="AX651" s="82"/>
      <c r="AY651" s="82"/>
      <c r="AZ651" s="82"/>
      <c r="BA651" s="82"/>
      <c r="BB651" s="82"/>
      <c r="BC651" s="82"/>
      <c r="BD651" s="82"/>
      <c r="BE651" s="82"/>
      <c r="BF651" s="82"/>
      <c r="BG651" s="82"/>
      <c r="BH651" s="82"/>
      <c r="BI651" s="82"/>
      <c r="BJ651" s="82"/>
      <c r="BK651" s="82"/>
      <c r="BL651" s="82"/>
      <c r="BM651" s="82"/>
      <c r="BN651" s="82"/>
      <c r="BO651" s="82"/>
      <c r="BP651" s="82"/>
      <c r="BQ651" s="63"/>
      <c r="BR651" s="82"/>
      <c r="BS651" s="82"/>
      <c r="BT651" s="82"/>
      <c r="BU651" s="4"/>
    </row>
    <row r="652" spans="1:73" ht="12.75" x14ac:dyDescent="0.2">
      <c r="A652" s="1"/>
      <c r="B652" s="85"/>
      <c r="C652" s="85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4"/>
      <c r="O652" s="82"/>
      <c r="P652" s="82"/>
      <c r="Q652" s="82"/>
      <c r="R652" s="63"/>
      <c r="S652" s="63"/>
      <c r="T652" s="63"/>
      <c r="U652" s="63"/>
      <c r="V652" s="63"/>
      <c r="W652" s="63"/>
      <c r="X652" s="63"/>
      <c r="Y652" s="82"/>
      <c r="Z652" s="82"/>
      <c r="AA652" s="82"/>
      <c r="AB652" s="82"/>
      <c r="AC652" s="82"/>
      <c r="AD652" s="82"/>
      <c r="AE652" s="82"/>
      <c r="AF652" s="63" t="str">
        <f t="shared" si="2"/>
        <v/>
      </c>
      <c r="AG652" s="82"/>
      <c r="AH652" s="82"/>
      <c r="AI652" s="82"/>
      <c r="AJ652" s="82"/>
      <c r="AK652" s="82"/>
      <c r="AL652" s="82"/>
      <c r="AM652" s="82"/>
      <c r="AN652" s="82"/>
      <c r="AO652" s="82"/>
      <c r="AP652" s="82"/>
      <c r="AQ652" s="82"/>
      <c r="AR652" s="82"/>
      <c r="AS652" s="82"/>
      <c r="AT652" s="82"/>
      <c r="AU652" s="82"/>
      <c r="AV652" s="82"/>
      <c r="AW652" s="82"/>
      <c r="AX652" s="82"/>
      <c r="AY652" s="82"/>
      <c r="AZ652" s="82"/>
      <c r="BA652" s="82"/>
      <c r="BB652" s="82"/>
      <c r="BC652" s="82"/>
      <c r="BD652" s="82"/>
      <c r="BE652" s="82"/>
      <c r="BF652" s="82"/>
      <c r="BG652" s="82"/>
      <c r="BH652" s="82"/>
      <c r="BI652" s="82"/>
      <c r="BJ652" s="82"/>
      <c r="BK652" s="82"/>
      <c r="BL652" s="82"/>
      <c r="BM652" s="82"/>
      <c r="BN652" s="82"/>
      <c r="BO652" s="82"/>
      <c r="BP652" s="82"/>
      <c r="BQ652" s="63"/>
      <c r="BR652" s="82"/>
      <c r="BS652" s="82"/>
      <c r="BT652" s="82"/>
      <c r="BU652" s="4"/>
    </row>
    <row r="653" spans="1:73" ht="12.75" x14ac:dyDescent="0.2">
      <c r="A653" s="1"/>
      <c r="B653" s="85"/>
      <c r="C653" s="85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4"/>
      <c r="O653" s="82"/>
      <c r="P653" s="82"/>
      <c r="Q653" s="82"/>
      <c r="R653" s="63"/>
      <c r="S653" s="63"/>
      <c r="T653" s="63"/>
      <c r="U653" s="63"/>
      <c r="V653" s="63"/>
      <c r="W653" s="63"/>
      <c r="X653" s="63"/>
      <c r="Y653" s="82"/>
      <c r="Z653" s="82"/>
      <c r="AA653" s="82"/>
      <c r="AB653" s="82"/>
      <c r="AC653" s="82"/>
      <c r="AD653" s="82"/>
      <c r="AE653" s="82"/>
      <c r="AF653" s="63" t="str">
        <f t="shared" si="2"/>
        <v/>
      </c>
      <c r="AG653" s="82"/>
      <c r="AH653" s="82"/>
      <c r="AI653" s="82"/>
      <c r="AJ653" s="82"/>
      <c r="AK653" s="82"/>
      <c r="AL653" s="82"/>
      <c r="AM653" s="82"/>
      <c r="AN653" s="82"/>
      <c r="AO653" s="82"/>
      <c r="AP653" s="82"/>
      <c r="AQ653" s="82"/>
      <c r="AR653" s="82"/>
      <c r="AS653" s="82"/>
      <c r="AT653" s="82"/>
      <c r="AU653" s="82"/>
      <c r="AV653" s="82"/>
      <c r="AW653" s="82"/>
      <c r="AX653" s="82"/>
      <c r="AY653" s="82"/>
      <c r="AZ653" s="82"/>
      <c r="BA653" s="82"/>
      <c r="BB653" s="82"/>
      <c r="BC653" s="82"/>
      <c r="BD653" s="82"/>
      <c r="BE653" s="82"/>
      <c r="BF653" s="82"/>
      <c r="BG653" s="82"/>
      <c r="BH653" s="82"/>
      <c r="BI653" s="82"/>
      <c r="BJ653" s="82"/>
      <c r="BK653" s="82"/>
      <c r="BL653" s="82"/>
      <c r="BM653" s="82"/>
      <c r="BN653" s="82"/>
      <c r="BO653" s="82"/>
      <c r="BP653" s="82"/>
      <c r="BQ653" s="63"/>
      <c r="BR653" s="82"/>
      <c r="BS653" s="82"/>
      <c r="BT653" s="82"/>
      <c r="BU653" s="4"/>
    </row>
    <row r="654" spans="1:73" ht="12.75" x14ac:dyDescent="0.2">
      <c r="A654" s="1"/>
      <c r="B654" s="85"/>
      <c r="C654" s="85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4"/>
      <c r="O654" s="82"/>
      <c r="P654" s="82"/>
      <c r="Q654" s="82"/>
      <c r="R654" s="63"/>
      <c r="S654" s="63"/>
      <c r="T654" s="63"/>
      <c r="U654" s="63"/>
      <c r="V654" s="63"/>
      <c r="W654" s="63"/>
      <c r="X654" s="63"/>
      <c r="Y654" s="82"/>
      <c r="Z654" s="82"/>
      <c r="AA654" s="82"/>
      <c r="AB654" s="82"/>
      <c r="AC654" s="82"/>
      <c r="AD654" s="82"/>
      <c r="AE654" s="82"/>
      <c r="AF654" s="63" t="str">
        <f t="shared" si="2"/>
        <v/>
      </c>
      <c r="AG654" s="82"/>
      <c r="AH654" s="82"/>
      <c r="AI654" s="82"/>
      <c r="AJ654" s="82"/>
      <c r="AK654" s="82"/>
      <c r="AL654" s="82"/>
      <c r="AM654" s="82"/>
      <c r="AN654" s="82"/>
      <c r="AO654" s="82"/>
      <c r="AP654" s="82"/>
      <c r="AQ654" s="82"/>
      <c r="AR654" s="82"/>
      <c r="AS654" s="82"/>
      <c r="AT654" s="82"/>
      <c r="AU654" s="82"/>
      <c r="AV654" s="82"/>
      <c r="AW654" s="82"/>
      <c r="AX654" s="82"/>
      <c r="AY654" s="82"/>
      <c r="AZ654" s="82"/>
      <c r="BA654" s="82"/>
      <c r="BB654" s="82"/>
      <c r="BC654" s="82"/>
      <c r="BD654" s="82"/>
      <c r="BE654" s="82"/>
      <c r="BF654" s="82"/>
      <c r="BG654" s="82"/>
      <c r="BH654" s="82"/>
      <c r="BI654" s="82"/>
      <c r="BJ654" s="82"/>
      <c r="BK654" s="82"/>
      <c r="BL654" s="82"/>
      <c r="BM654" s="82"/>
      <c r="BN654" s="82"/>
      <c r="BO654" s="82"/>
      <c r="BP654" s="82"/>
      <c r="BQ654" s="63"/>
      <c r="BR654" s="82"/>
      <c r="BS654" s="82"/>
      <c r="BT654" s="82"/>
      <c r="BU654" s="4"/>
    </row>
    <row r="655" spans="1:73" ht="12.75" x14ac:dyDescent="0.2">
      <c r="A655" s="1"/>
      <c r="B655" s="85"/>
      <c r="C655" s="85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4"/>
      <c r="O655" s="82"/>
      <c r="P655" s="82"/>
      <c r="Q655" s="82"/>
      <c r="R655" s="63"/>
      <c r="S655" s="63"/>
      <c r="T655" s="63"/>
      <c r="U655" s="63"/>
      <c r="V655" s="63"/>
      <c r="W655" s="63"/>
      <c r="X655" s="63"/>
      <c r="Y655" s="82"/>
      <c r="Z655" s="82"/>
      <c r="AA655" s="82"/>
      <c r="AB655" s="82"/>
      <c r="AC655" s="82"/>
      <c r="AD655" s="82"/>
      <c r="AE655" s="82"/>
      <c r="AF655" s="63" t="str">
        <f t="shared" si="2"/>
        <v/>
      </c>
      <c r="AG655" s="82"/>
      <c r="AH655" s="82"/>
      <c r="AI655" s="82"/>
      <c r="AJ655" s="82"/>
      <c r="AK655" s="82"/>
      <c r="AL655" s="82"/>
      <c r="AM655" s="82"/>
      <c r="AN655" s="82"/>
      <c r="AO655" s="82"/>
      <c r="AP655" s="82"/>
      <c r="AQ655" s="82"/>
      <c r="AR655" s="82"/>
      <c r="AS655" s="82"/>
      <c r="AT655" s="82"/>
      <c r="AU655" s="82"/>
      <c r="AV655" s="82"/>
      <c r="AW655" s="82"/>
      <c r="AX655" s="82"/>
      <c r="AY655" s="82"/>
      <c r="AZ655" s="82"/>
      <c r="BA655" s="82"/>
      <c r="BB655" s="82"/>
      <c r="BC655" s="82"/>
      <c r="BD655" s="82"/>
      <c r="BE655" s="82"/>
      <c r="BF655" s="82"/>
      <c r="BG655" s="82"/>
      <c r="BH655" s="82"/>
      <c r="BI655" s="82"/>
      <c r="BJ655" s="82"/>
      <c r="BK655" s="82"/>
      <c r="BL655" s="82"/>
      <c r="BM655" s="82"/>
      <c r="BN655" s="82"/>
      <c r="BO655" s="82"/>
      <c r="BP655" s="82"/>
      <c r="BQ655" s="63"/>
      <c r="BR655" s="82"/>
      <c r="BS655" s="82"/>
      <c r="BT655" s="82"/>
      <c r="BU655" s="4"/>
    </row>
    <row r="656" spans="1:73" ht="12.75" x14ac:dyDescent="0.2">
      <c r="A656" s="1"/>
      <c r="B656" s="85"/>
      <c r="C656" s="85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4"/>
      <c r="O656" s="82"/>
      <c r="P656" s="82"/>
      <c r="Q656" s="82"/>
      <c r="R656" s="63"/>
      <c r="S656" s="63"/>
      <c r="T656" s="63"/>
      <c r="U656" s="63"/>
      <c r="V656" s="63"/>
      <c r="W656" s="63"/>
      <c r="X656" s="63"/>
      <c r="Y656" s="82"/>
      <c r="Z656" s="82"/>
      <c r="AA656" s="82"/>
      <c r="AB656" s="82"/>
      <c r="AC656" s="82"/>
      <c r="AD656" s="82"/>
      <c r="AE656" s="82"/>
      <c r="AF656" s="63" t="str">
        <f t="shared" si="2"/>
        <v/>
      </c>
      <c r="AG656" s="82"/>
      <c r="AH656" s="82"/>
      <c r="AI656" s="82"/>
      <c r="AJ656" s="82"/>
      <c r="AK656" s="82"/>
      <c r="AL656" s="82"/>
      <c r="AM656" s="82"/>
      <c r="AN656" s="82"/>
      <c r="AO656" s="82"/>
      <c r="AP656" s="82"/>
      <c r="AQ656" s="82"/>
      <c r="AR656" s="82"/>
      <c r="AS656" s="82"/>
      <c r="AT656" s="82"/>
      <c r="AU656" s="82"/>
      <c r="AV656" s="82"/>
      <c r="AW656" s="82"/>
      <c r="AX656" s="82"/>
      <c r="AY656" s="82"/>
      <c r="AZ656" s="82"/>
      <c r="BA656" s="82"/>
      <c r="BB656" s="82"/>
      <c r="BC656" s="82"/>
      <c r="BD656" s="82"/>
      <c r="BE656" s="82"/>
      <c r="BF656" s="82"/>
      <c r="BG656" s="82"/>
      <c r="BH656" s="82"/>
      <c r="BI656" s="82"/>
      <c r="BJ656" s="82"/>
      <c r="BK656" s="82"/>
      <c r="BL656" s="82"/>
      <c r="BM656" s="82"/>
      <c r="BN656" s="82"/>
      <c r="BO656" s="82"/>
      <c r="BP656" s="82"/>
      <c r="BQ656" s="63"/>
      <c r="BR656" s="82"/>
      <c r="BS656" s="82"/>
      <c r="BT656" s="82"/>
      <c r="BU656" s="4"/>
    </row>
    <row r="657" spans="1:73" ht="12.75" x14ac:dyDescent="0.2">
      <c r="A657" s="1"/>
      <c r="B657" s="85"/>
      <c r="C657" s="85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4"/>
      <c r="O657" s="82"/>
      <c r="P657" s="82"/>
      <c r="Q657" s="82"/>
      <c r="R657" s="63"/>
      <c r="S657" s="63"/>
      <c r="T657" s="63"/>
      <c r="U657" s="63"/>
      <c r="V657" s="63"/>
      <c r="W657" s="63"/>
      <c r="X657" s="63"/>
      <c r="Y657" s="82"/>
      <c r="Z657" s="82"/>
      <c r="AA657" s="82"/>
      <c r="AB657" s="82"/>
      <c r="AC657" s="82"/>
      <c r="AD657" s="82"/>
      <c r="AE657" s="82"/>
      <c r="AF657" s="63" t="str">
        <f t="shared" si="2"/>
        <v/>
      </c>
      <c r="AG657" s="82"/>
      <c r="AH657" s="82"/>
      <c r="AI657" s="82"/>
      <c r="AJ657" s="82"/>
      <c r="AK657" s="82"/>
      <c r="AL657" s="82"/>
      <c r="AM657" s="82"/>
      <c r="AN657" s="82"/>
      <c r="AO657" s="82"/>
      <c r="AP657" s="82"/>
      <c r="AQ657" s="82"/>
      <c r="AR657" s="82"/>
      <c r="AS657" s="82"/>
      <c r="AT657" s="82"/>
      <c r="AU657" s="82"/>
      <c r="AV657" s="82"/>
      <c r="AW657" s="82"/>
      <c r="AX657" s="82"/>
      <c r="AY657" s="82"/>
      <c r="AZ657" s="82"/>
      <c r="BA657" s="82"/>
      <c r="BB657" s="82"/>
      <c r="BC657" s="82"/>
      <c r="BD657" s="82"/>
      <c r="BE657" s="82"/>
      <c r="BF657" s="82"/>
      <c r="BG657" s="82"/>
      <c r="BH657" s="82"/>
      <c r="BI657" s="82"/>
      <c r="BJ657" s="82"/>
      <c r="BK657" s="82"/>
      <c r="BL657" s="82"/>
      <c r="BM657" s="82"/>
      <c r="BN657" s="82"/>
      <c r="BO657" s="82"/>
      <c r="BP657" s="82"/>
      <c r="BQ657" s="63"/>
      <c r="BR657" s="82"/>
      <c r="BS657" s="82"/>
      <c r="BT657" s="82"/>
      <c r="BU657" s="4"/>
    </row>
    <row r="658" spans="1:73" ht="12.75" x14ac:dyDescent="0.2">
      <c r="A658" s="1"/>
      <c r="B658" s="85"/>
      <c r="C658" s="85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4"/>
      <c r="O658" s="82"/>
      <c r="P658" s="82"/>
      <c r="Q658" s="82"/>
      <c r="R658" s="63"/>
      <c r="S658" s="63"/>
      <c r="T658" s="63"/>
      <c r="U658" s="63"/>
      <c r="V658" s="63"/>
      <c r="W658" s="63"/>
      <c r="X658" s="63"/>
      <c r="Y658" s="82"/>
      <c r="Z658" s="82"/>
      <c r="AA658" s="82"/>
      <c r="AB658" s="82"/>
      <c r="AC658" s="82"/>
      <c r="AD658" s="82"/>
      <c r="AE658" s="82"/>
      <c r="AF658" s="63" t="str">
        <f t="shared" si="2"/>
        <v/>
      </c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  <c r="AR658" s="82"/>
      <c r="AS658" s="82"/>
      <c r="AT658" s="82"/>
      <c r="AU658" s="82"/>
      <c r="AV658" s="82"/>
      <c r="AW658" s="82"/>
      <c r="AX658" s="82"/>
      <c r="AY658" s="82"/>
      <c r="AZ658" s="82"/>
      <c r="BA658" s="82"/>
      <c r="BB658" s="82"/>
      <c r="BC658" s="82"/>
      <c r="BD658" s="82"/>
      <c r="BE658" s="82"/>
      <c r="BF658" s="82"/>
      <c r="BG658" s="82"/>
      <c r="BH658" s="82"/>
      <c r="BI658" s="82"/>
      <c r="BJ658" s="82"/>
      <c r="BK658" s="82"/>
      <c r="BL658" s="82"/>
      <c r="BM658" s="82"/>
      <c r="BN658" s="82"/>
      <c r="BO658" s="82"/>
      <c r="BP658" s="82"/>
      <c r="BQ658" s="63"/>
      <c r="BR658" s="82"/>
      <c r="BS658" s="82"/>
      <c r="BT658" s="82"/>
      <c r="BU658" s="4"/>
    </row>
    <row r="659" spans="1:73" ht="12.75" x14ac:dyDescent="0.2">
      <c r="A659" s="1"/>
      <c r="B659" s="85"/>
      <c r="C659" s="85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4"/>
      <c r="O659" s="82"/>
      <c r="P659" s="82"/>
      <c r="Q659" s="82"/>
      <c r="R659" s="63"/>
      <c r="S659" s="63"/>
      <c r="T659" s="63"/>
      <c r="U659" s="63"/>
      <c r="V659" s="63"/>
      <c r="W659" s="63"/>
      <c r="X659" s="63"/>
      <c r="Y659" s="82"/>
      <c r="Z659" s="82"/>
      <c r="AA659" s="82"/>
      <c r="AB659" s="82"/>
      <c r="AC659" s="82"/>
      <c r="AD659" s="82"/>
      <c r="AE659" s="82"/>
      <c r="AF659" s="63" t="str">
        <f t="shared" si="2"/>
        <v/>
      </c>
      <c r="AG659" s="82"/>
      <c r="AH659" s="82"/>
      <c r="AI659" s="82"/>
      <c r="AJ659" s="82"/>
      <c r="AK659" s="82"/>
      <c r="AL659" s="82"/>
      <c r="AM659" s="82"/>
      <c r="AN659" s="82"/>
      <c r="AO659" s="82"/>
      <c r="AP659" s="82"/>
      <c r="AQ659" s="82"/>
      <c r="AR659" s="82"/>
      <c r="AS659" s="82"/>
      <c r="AT659" s="82"/>
      <c r="AU659" s="82"/>
      <c r="AV659" s="82"/>
      <c r="AW659" s="82"/>
      <c r="AX659" s="82"/>
      <c r="AY659" s="82"/>
      <c r="AZ659" s="82"/>
      <c r="BA659" s="82"/>
      <c r="BB659" s="82"/>
      <c r="BC659" s="82"/>
      <c r="BD659" s="82"/>
      <c r="BE659" s="82"/>
      <c r="BF659" s="82"/>
      <c r="BG659" s="82"/>
      <c r="BH659" s="82"/>
      <c r="BI659" s="82"/>
      <c r="BJ659" s="82"/>
      <c r="BK659" s="82"/>
      <c r="BL659" s="82"/>
      <c r="BM659" s="82"/>
      <c r="BN659" s="82"/>
      <c r="BO659" s="82"/>
      <c r="BP659" s="82"/>
      <c r="BQ659" s="63"/>
      <c r="BR659" s="82"/>
      <c r="BS659" s="82"/>
      <c r="BT659" s="82"/>
      <c r="BU659" s="4"/>
    </row>
    <row r="660" spans="1:73" ht="12.75" x14ac:dyDescent="0.2">
      <c r="A660" s="1"/>
      <c r="B660" s="85"/>
      <c r="C660" s="85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4"/>
      <c r="O660" s="82"/>
      <c r="P660" s="82"/>
      <c r="Q660" s="82"/>
      <c r="R660" s="63"/>
      <c r="S660" s="63"/>
      <c r="T660" s="63"/>
      <c r="U660" s="63"/>
      <c r="V660" s="63"/>
      <c r="W660" s="63"/>
      <c r="X660" s="63"/>
      <c r="Y660" s="82"/>
      <c r="Z660" s="82"/>
      <c r="AA660" s="82"/>
      <c r="AB660" s="82"/>
      <c r="AC660" s="82"/>
      <c r="AD660" s="82"/>
      <c r="AE660" s="82"/>
      <c r="AF660" s="63" t="str">
        <f t="shared" si="2"/>
        <v/>
      </c>
      <c r="AG660" s="82"/>
      <c r="AH660" s="82"/>
      <c r="AI660" s="82"/>
      <c r="AJ660" s="82"/>
      <c r="AK660" s="82"/>
      <c r="AL660" s="82"/>
      <c r="AM660" s="82"/>
      <c r="AN660" s="82"/>
      <c r="AO660" s="82"/>
      <c r="AP660" s="82"/>
      <c r="AQ660" s="82"/>
      <c r="AR660" s="82"/>
      <c r="AS660" s="82"/>
      <c r="AT660" s="82"/>
      <c r="AU660" s="82"/>
      <c r="AV660" s="82"/>
      <c r="AW660" s="82"/>
      <c r="AX660" s="82"/>
      <c r="AY660" s="82"/>
      <c r="AZ660" s="82"/>
      <c r="BA660" s="82"/>
      <c r="BB660" s="82"/>
      <c r="BC660" s="82"/>
      <c r="BD660" s="82"/>
      <c r="BE660" s="82"/>
      <c r="BF660" s="82"/>
      <c r="BG660" s="82"/>
      <c r="BH660" s="82"/>
      <c r="BI660" s="82"/>
      <c r="BJ660" s="82"/>
      <c r="BK660" s="82"/>
      <c r="BL660" s="82"/>
      <c r="BM660" s="82"/>
      <c r="BN660" s="82"/>
      <c r="BO660" s="82"/>
      <c r="BP660" s="82"/>
      <c r="BQ660" s="63"/>
      <c r="BR660" s="82"/>
      <c r="BS660" s="82"/>
      <c r="BT660" s="82"/>
      <c r="BU660" s="4"/>
    </row>
    <row r="661" spans="1:73" ht="12.75" x14ac:dyDescent="0.2">
      <c r="A661" s="1"/>
      <c r="B661" s="85"/>
      <c r="C661" s="85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4"/>
      <c r="O661" s="82"/>
      <c r="P661" s="82"/>
      <c r="Q661" s="82"/>
      <c r="R661" s="63"/>
      <c r="S661" s="63"/>
      <c r="T661" s="63"/>
      <c r="U661" s="63"/>
      <c r="V661" s="63"/>
      <c r="W661" s="63"/>
      <c r="X661" s="63"/>
      <c r="Y661" s="82"/>
      <c r="Z661" s="82"/>
      <c r="AA661" s="82"/>
      <c r="AB661" s="82"/>
      <c r="AC661" s="82"/>
      <c r="AD661" s="82"/>
      <c r="AE661" s="82"/>
      <c r="AF661" s="63" t="str">
        <f t="shared" si="2"/>
        <v/>
      </c>
      <c r="AG661" s="82"/>
      <c r="AH661" s="82"/>
      <c r="AI661" s="82"/>
      <c r="AJ661" s="82"/>
      <c r="AK661" s="82"/>
      <c r="AL661" s="82"/>
      <c r="AM661" s="82"/>
      <c r="AN661" s="82"/>
      <c r="AO661" s="82"/>
      <c r="AP661" s="82"/>
      <c r="AQ661" s="82"/>
      <c r="AR661" s="82"/>
      <c r="AS661" s="82"/>
      <c r="AT661" s="82"/>
      <c r="AU661" s="82"/>
      <c r="AV661" s="82"/>
      <c r="AW661" s="82"/>
      <c r="AX661" s="82"/>
      <c r="AY661" s="82"/>
      <c r="AZ661" s="82"/>
      <c r="BA661" s="82"/>
      <c r="BB661" s="82"/>
      <c r="BC661" s="82"/>
      <c r="BD661" s="82"/>
      <c r="BE661" s="82"/>
      <c r="BF661" s="82"/>
      <c r="BG661" s="82"/>
      <c r="BH661" s="82"/>
      <c r="BI661" s="82"/>
      <c r="BJ661" s="82"/>
      <c r="BK661" s="82"/>
      <c r="BL661" s="82"/>
      <c r="BM661" s="82"/>
      <c r="BN661" s="82"/>
      <c r="BO661" s="82"/>
      <c r="BP661" s="82"/>
      <c r="BQ661" s="63"/>
      <c r="BR661" s="82"/>
      <c r="BS661" s="82"/>
      <c r="BT661" s="82"/>
      <c r="BU661" s="4"/>
    </row>
    <row r="662" spans="1:73" ht="12.75" x14ac:dyDescent="0.2">
      <c r="A662" s="1"/>
      <c r="B662" s="85"/>
      <c r="C662" s="85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4"/>
      <c r="O662" s="82"/>
      <c r="P662" s="82"/>
      <c r="Q662" s="82"/>
      <c r="R662" s="63"/>
      <c r="S662" s="63"/>
      <c r="T662" s="63"/>
      <c r="U662" s="63"/>
      <c r="V662" s="63"/>
      <c r="W662" s="63"/>
      <c r="X662" s="63"/>
      <c r="Y662" s="82"/>
      <c r="Z662" s="82"/>
      <c r="AA662" s="82"/>
      <c r="AB662" s="82"/>
      <c r="AC662" s="82"/>
      <c r="AD662" s="82"/>
      <c r="AE662" s="82"/>
      <c r="AF662" s="63" t="str">
        <f t="shared" si="2"/>
        <v/>
      </c>
      <c r="AG662" s="82"/>
      <c r="AH662" s="82"/>
      <c r="AI662" s="82"/>
      <c r="AJ662" s="82"/>
      <c r="AK662" s="82"/>
      <c r="AL662" s="82"/>
      <c r="AM662" s="82"/>
      <c r="AN662" s="82"/>
      <c r="AO662" s="82"/>
      <c r="AP662" s="82"/>
      <c r="AQ662" s="82"/>
      <c r="AR662" s="82"/>
      <c r="AS662" s="82"/>
      <c r="AT662" s="82"/>
      <c r="AU662" s="82"/>
      <c r="AV662" s="82"/>
      <c r="AW662" s="82"/>
      <c r="AX662" s="82"/>
      <c r="AY662" s="82"/>
      <c r="AZ662" s="82"/>
      <c r="BA662" s="82"/>
      <c r="BB662" s="82"/>
      <c r="BC662" s="82"/>
      <c r="BD662" s="82"/>
      <c r="BE662" s="82"/>
      <c r="BF662" s="82"/>
      <c r="BG662" s="82"/>
      <c r="BH662" s="82"/>
      <c r="BI662" s="82"/>
      <c r="BJ662" s="82"/>
      <c r="BK662" s="82"/>
      <c r="BL662" s="82"/>
      <c r="BM662" s="82"/>
      <c r="BN662" s="82"/>
      <c r="BO662" s="82"/>
      <c r="BP662" s="82"/>
      <c r="BQ662" s="63"/>
      <c r="BR662" s="82"/>
      <c r="BS662" s="82"/>
      <c r="BT662" s="82"/>
      <c r="BU662" s="4"/>
    </row>
    <row r="663" spans="1:73" ht="12.75" x14ac:dyDescent="0.2">
      <c r="A663" s="1"/>
      <c r="B663" s="85"/>
      <c r="C663" s="85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4"/>
      <c r="O663" s="82"/>
      <c r="P663" s="82"/>
      <c r="Q663" s="82"/>
      <c r="R663" s="63"/>
      <c r="S663" s="63"/>
      <c r="T663" s="63"/>
      <c r="U663" s="63"/>
      <c r="V663" s="63"/>
      <c r="W663" s="63"/>
      <c r="X663" s="63"/>
      <c r="Y663" s="82"/>
      <c r="Z663" s="82"/>
      <c r="AA663" s="82"/>
      <c r="AB663" s="82"/>
      <c r="AC663" s="82"/>
      <c r="AD663" s="82"/>
      <c r="AE663" s="82"/>
      <c r="AF663" s="63" t="str">
        <f t="shared" si="2"/>
        <v/>
      </c>
      <c r="AG663" s="82"/>
      <c r="AH663" s="82"/>
      <c r="AI663" s="82"/>
      <c r="AJ663" s="82"/>
      <c r="AK663" s="82"/>
      <c r="AL663" s="82"/>
      <c r="AM663" s="82"/>
      <c r="AN663" s="82"/>
      <c r="AO663" s="82"/>
      <c r="AP663" s="82"/>
      <c r="AQ663" s="82"/>
      <c r="AR663" s="82"/>
      <c r="AS663" s="82"/>
      <c r="AT663" s="82"/>
      <c r="AU663" s="82"/>
      <c r="AV663" s="82"/>
      <c r="AW663" s="82"/>
      <c r="AX663" s="82"/>
      <c r="AY663" s="82"/>
      <c r="AZ663" s="82"/>
      <c r="BA663" s="82"/>
      <c r="BB663" s="82"/>
      <c r="BC663" s="82"/>
      <c r="BD663" s="82"/>
      <c r="BE663" s="82"/>
      <c r="BF663" s="82"/>
      <c r="BG663" s="82"/>
      <c r="BH663" s="82"/>
      <c r="BI663" s="82"/>
      <c r="BJ663" s="82"/>
      <c r="BK663" s="82"/>
      <c r="BL663" s="82"/>
      <c r="BM663" s="82"/>
      <c r="BN663" s="82"/>
      <c r="BO663" s="82"/>
      <c r="BP663" s="82"/>
      <c r="BQ663" s="63"/>
      <c r="BR663" s="82"/>
      <c r="BS663" s="82"/>
      <c r="BT663" s="82"/>
      <c r="BU663" s="4"/>
    </row>
    <row r="664" spans="1:73" ht="12.75" x14ac:dyDescent="0.2">
      <c r="A664" s="1"/>
      <c r="B664" s="85"/>
      <c r="C664" s="85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4"/>
      <c r="O664" s="82"/>
      <c r="P664" s="82"/>
      <c r="Q664" s="82"/>
      <c r="R664" s="63"/>
      <c r="S664" s="63"/>
      <c r="T664" s="63"/>
      <c r="U664" s="63"/>
      <c r="V664" s="63"/>
      <c r="W664" s="63"/>
      <c r="X664" s="63"/>
      <c r="Y664" s="82"/>
      <c r="Z664" s="82"/>
      <c r="AA664" s="82"/>
      <c r="AB664" s="82"/>
      <c r="AC664" s="82"/>
      <c r="AD664" s="82"/>
      <c r="AE664" s="82"/>
      <c r="AF664" s="63" t="str">
        <f t="shared" si="2"/>
        <v/>
      </c>
      <c r="AG664" s="82"/>
      <c r="AH664" s="82"/>
      <c r="AI664" s="82"/>
      <c r="AJ664" s="82"/>
      <c r="AK664" s="82"/>
      <c r="AL664" s="82"/>
      <c r="AM664" s="82"/>
      <c r="AN664" s="82"/>
      <c r="AO664" s="82"/>
      <c r="AP664" s="82"/>
      <c r="AQ664" s="82"/>
      <c r="AR664" s="82"/>
      <c r="AS664" s="82"/>
      <c r="AT664" s="82"/>
      <c r="AU664" s="82"/>
      <c r="AV664" s="82"/>
      <c r="AW664" s="82"/>
      <c r="AX664" s="82"/>
      <c r="AY664" s="82"/>
      <c r="AZ664" s="82"/>
      <c r="BA664" s="82"/>
      <c r="BB664" s="82"/>
      <c r="BC664" s="82"/>
      <c r="BD664" s="82"/>
      <c r="BE664" s="82"/>
      <c r="BF664" s="82"/>
      <c r="BG664" s="82"/>
      <c r="BH664" s="82"/>
      <c r="BI664" s="82"/>
      <c r="BJ664" s="82"/>
      <c r="BK664" s="82"/>
      <c r="BL664" s="82"/>
      <c r="BM664" s="82"/>
      <c r="BN664" s="82"/>
      <c r="BO664" s="82"/>
      <c r="BP664" s="82"/>
      <c r="BQ664" s="63"/>
      <c r="BR664" s="82"/>
      <c r="BS664" s="82"/>
      <c r="BT664" s="82"/>
      <c r="BU664" s="4"/>
    </row>
    <row r="665" spans="1:73" ht="12.75" x14ac:dyDescent="0.2">
      <c r="A665" s="1"/>
      <c r="B665" s="85"/>
      <c r="C665" s="85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4"/>
      <c r="O665" s="82"/>
      <c r="P665" s="82"/>
      <c r="Q665" s="82"/>
      <c r="R665" s="63"/>
      <c r="S665" s="63"/>
      <c r="T665" s="63"/>
      <c r="U665" s="63"/>
      <c r="V665" s="63"/>
      <c r="W665" s="63"/>
      <c r="X665" s="63"/>
      <c r="Y665" s="82"/>
      <c r="Z665" s="82"/>
      <c r="AA665" s="82"/>
      <c r="AB665" s="82"/>
      <c r="AC665" s="82"/>
      <c r="AD665" s="82"/>
      <c r="AE665" s="82"/>
      <c r="AF665" s="63" t="str">
        <f t="shared" si="2"/>
        <v/>
      </c>
      <c r="AG665" s="82"/>
      <c r="AH665" s="82"/>
      <c r="AI665" s="82"/>
      <c r="AJ665" s="82"/>
      <c r="AK665" s="82"/>
      <c r="AL665" s="82"/>
      <c r="AM665" s="82"/>
      <c r="AN665" s="82"/>
      <c r="AO665" s="82"/>
      <c r="AP665" s="82"/>
      <c r="AQ665" s="82"/>
      <c r="AR665" s="82"/>
      <c r="AS665" s="82"/>
      <c r="AT665" s="82"/>
      <c r="AU665" s="82"/>
      <c r="AV665" s="82"/>
      <c r="AW665" s="82"/>
      <c r="AX665" s="82"/>
      <c r="AY665" s="82"/>
      <c r="AZ665" s="82"/>
      <c r="BA665" s="82"/>
      <c r="BB665" s="82"/>
      <c r="BC665" s="82"/>
      <c r="BD665" s="82"/>
      <c r="BE665" s="82"/>
      <c r="BF665" s="82"/>
      <c r="BG665" s="82"/>
      <c r="BH665" s="82"/>
      <c r="BI665" s="82"/>
      <c r="BJ665" s="82"/>
      <c r="BK665" s="82"/>
      <c r="BL665" s="82"/>
      <c r="BM665" s="82"/>
      <c r="BN665" s="82"/>
      <c r="BO665" s="82"/>
      <c r="BP665" s="82"/>
      <c r="BQ665" s="63"/>
      <c r="BR665" s="82"/>
      <c r="BS665" s="82"/>
      <c r="BT665" s="82"/>
      <c r="BU665" s="4"/>
    </row>
    <row r="666" spans="1:73" ht="12.75" x14ac:dyDescent="0.2">
      <c r="A666" s="1"/>
      <c r="B666" s="85"/>
      <c r="C666" s="85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4"/>
      <c r="O666" s="82"/>
      <c r="P666" s="82"/>
      <c r="Q666" s="82"/>
      <c r="R666" s="63"/>
      <c r="S666" s="63"/>
      <c r="T666" s="63"/>
      <c r="U666" s="63"/>
      <c r="V666" s="63"/>
      <c r="W666" s="63"/>
      <c r="X666" s="63"/>
      <c r="Y666" s="82"/>
      <c r="Z666" s="82"/>
      <c r="AA666" s="82"/>
      <c r="AB666" s="82"/>
      <c r="AC666" s="82"/>
      <c r="AD666" s="82"/>
      <c r="AE666" s="82"/>
      <c r="AF666" s="63" t="str">
        <f t="shared" si="2"/>
        <v/>
      </c>
      <c r="AG666" s="82"/>
      <c r="AH666" s="82"/>
      <c r="AI666" s="82"/>
      <c r="AJ666" s="82"/>
      <c r="AK666" s="82"/>
      <c r="AL666" s="82"/>
      <c r="AM666" s="82"/>
      <c r="AN666" s="82"/>
      <c r="AO666" s="82"/>
      <c r="AP666" s="82"/>
      <c r="AQ666" s="82"/>
      <c r="AR666" s="82"/>
      <c r="AS666" s="82"/>
      <c r="AT666" s="82"/>
      <c r="AU666" s="82"/>
      <c r="AV666" s="82"/>
      <c r="AW666" s="82"/>
      <c r="AX666" s="82"/>
      <c r="AY666" s="82"/>
      <c r="AZ666" s="82"/>
      <c r="BA666" s="82"/>
      <c r="BB666" s="82"/>
      <c r="BC666" s="82"/>
      <c r="BD666" s="82"/>
      <c r="BE666" s="82"/>
      <c r="BF666" s="82"/>
      <c r="BG666" s="82"/>
      <c r="BH666" s="82"/>
      <c r="BI666" s="82"/>
      <c r="BJ666" s="82"/>
      <c r="BK666" s="82"/>
      <c r="BL666" s="82"/>
      <c r="BM666" s="82"/>
      <c r="BN666" s="82"/>
      <c r="BO666" s="82"/>
      <c r="BP666" s="82"/>
      <c r="BQ666" s="63"/>
      <c r="BR666" s="82"/>
      <c r="BS666" s="82"/>
      <c r="BT666" s="82"/>
      <c r="BU666" s="4"/>
    </row>
    <row r="667" spans="1:73" ht="12.75" x14ac:dyDescent="0.2">
      <c r="A667" s="1"/>
      <c r="B667" s="85"/>
      <c r="C667" s="85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4"/>
      <c r="O667" s="82"/>
      <c r="P667" s="82"/>
      <c r="Q667" s="82"/>
      <c r="R667" s="63"/>
      <c r="S667" s="63"/>
      <c r="T667" s="63"/>
      <c r="U667" s="63"/>
      <c r="V667" s="63"/>
      <c r="W667" s="63"/>
      <c r="X667" s="63"/>
      <c r="Y667" s="82"/>
      <c r="Z667" s="82"/>
      <c r="AA667" s="82"/>
      <c r="AB667" s="82"/>
      <c r="AC667" s="82"/>
      <c r="AD667" s="82"/>
      <c r="AE667" s="82"/>
      <c r="AF667" s="63" t="str">
        <f t="shared" si="2"/>
        <v/>
      </c>
      <c r="AG667" s="82"/>
      <c r="AH667" s="82"/>
      <c r="AI667" s="82"/>
      <c r="AJ667" s="82"/>
      <c r="AK667" s="82"/>
      <c r="AL667" s="82"/>
      <c r="AM667" s="82"/>
      <c r="AN667" s="82"/>
      <c r="AO667" s="82"/>
      <c r="AP667" s="82"/>
      <c r="AQ667" s="82"/>
      <c r="AR667" s="82"/>
      <c r="AS667" s="82"/>
      <c r="AT667" s="82"/>
      <c r="AU667" s="82"/>
      <c r="AV667" s="82"/>
      <c r="AW667" s="82"/>
      <c r="AX667" s="82"/>
      <c r="AY667" s="82"/>
      <c r="AZ667" s="82"/>
      <c r="BA667" s="82"/>
      <c r="BB667" s="82"/>
      <c r="BC667" s="82"/>
      <c r="BD667" s="82"/>
      <c r="BE667" s="82"/>
      <c r="BF667" s="82"/>
      <c r="BG667" s="82"/>
      <c r="BH667" s="82"/>
      <c r="BI667" s="82"/>
      <c r="BJ667" s="82"/>
      <c r="BK667" s="82"/>
      <c r="BL667" s="82"/>
      <c r="BM667" s="82"/>
      <c r="BN667" s="82"/>
      <c r="BO667" s="82"/>
      <c r="BP667" s="82"/>
      <c r="BQ667" s="63"/>
      <c r="BR667" s="82"/>
      <c r="BS667" s="82"/>
      <c r="BT667" s="82"/>
      <c r="BU667" s="4"/>
    </row>
    <row r="668" spans="1:73" ht="12.75" x14ac:dyDescent="0.2">
      <c r="A668" s="1"/>
      <c r="B668" s="85"/>
      <c r="C668" s="85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4"/>
      <c r="O668" s="82"/>
      <c r="P668" s="82"/>
      <c r="Q668" s="82"/>
      <c r="R668" s="63"/>
      <c r="S668" s="63"/>
      <c r="T668" s="63"/>
      <c r="U668" s="63"/>
      <c r="V668" s="63"/>
      <c r="W668" s="63"/>
      <c r="X668" s="63"/>
      <c r="Y668" s="82"/>
      <c r="Z668" s="82"/>
      <c r="AA668" s="82"/>
      <c r="AB668" s="82"/>
      <c r="AC668" s="82"/>
      <c r="AD668" s="82"/>
      <c r="AE668" s="82"/>
      <c r="AF668" s="63" t="str">
        <f t="shared" si="2"/>
        <v/>
      </c>
      <c r="AG668" s="82"/>
      <c r="AH668" s="82"/>
      <c r="AI668" s="82"/>
      <c r="AJ668" s="82"/>
      <c r="AK668" s="82"/>
      <c r="AL668" s="82"/>
      <c r="AM668" s="82"/>
      <c r="AN668" s="82"/>
      <c r="AO668" s="82"/>
      <c r="AP668" s="82"/>
      <c r="AQ668" s="82"/>
      <c r="AR668" s="82"/>
      <c r="AS668" s="82"/>
      <c r="AT668" s="82"/>
      <c r="AU668" s="82"/>
      <c r="AV668" s="82"/>
      <c r="AW668" s="82"/>
      <c r="AX668" s="82"/>
      <c r="AY668" s="82"/>
      <c r="AZ668" s="82"/>
      <c r="BA668" s="82"/>
      <c r="BB668" s="82"/>
      <c r="BC668" s="82"/>
      <c r="BD668" s="82"/>
      <c r="BE668" s="82"/>
      <c r="BF668" s="82"/>
      <c r="BG668" s="82"/>
      <c r="BH668" s="82"/>
      <c r="BI668" s="82"/>
      <c r="BJ668" s="82"/>
      <c r="BK668" s="82"/>
      <c r="BL668" s="82"/>
      <c r="BM668" s="82"/>
      <c r="BN668" s="82"/>
      <c r="BO668" s="82"/>
      <c r="BP668" s="82"/>
      <c r="BQ668" s="63"/>
      <c r="BR668" s="82"/>
      <c r="BS668" s="82"/>
      <c r="BT668" s="82"/>
      <c r="BU668" s="4"/>
    </row>
    <row r="669" spans="1:73" ht="12.75" x14ac:dyDescent="0.2">
      <c r="A669" s="1"/>
      <c r="B669" s="85"/>
      <c r="C669" s="85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4"/>
      <c r="O669" s="82"/>
      <c r="P669" s="82"/>
      <c r="Q669" s="82"/>
      <c r="R669" s="63"/>
      <c r="S669" s="63"/>
      <c r="T669" s="63"/>
      <c r="U669" s="63"/>
      <c r="V669" s="63"/>
      <c r="W669" s="63"/>
      <c r="X669" s="63"/>
      <c r="Y669" s="82"/>
      <c r="Z669" s="82"/>
      <c r="AA669" s="82"/>
      <c r="AB669" s="82"/>
      <c r="AC669" s="82"/>
      <c r="AD669" s="82"/>
      <c r="AE669" s="82"/>
      <c r="AF669" s="63" t="str">
        <f t="shared" si="2"/>
        <v/>
      </c>
      <c r="AG669" s="82"/>
      <c r="AH669" s="82"/>
      <c r="AI669" s="82"/>
      <c r="AJ669" s="82"/>
      <c r="AK669" s="82"/>
      <c r="AL669" s="82"/>
      <c r="AM669" s="82"/>
      <c r="AN669" s="82"/>
      <c r="AO669" s="82"/>
      <c r="AP669" s="82"/>
      <c r="AQ669" s="82"/>
      <c r="AR669" s="82"/>
      <c r="AS669" s="82"/>
      <c r="AT669" s="82"/>
      <c r="AU669" s="82"/>
      <c r="AV669" s="82"/>
      <c r="AW669" s="82"/>
      <c r="AX669" s="82"/>
      <c r="AY669" s="82"/>
      <c r="AZ669" s="82"/>
      <c r="BA669" s="82"/>
      <c r="BB669" s="82"/>
      <c r="BC669" s="82"/>
      <c r="BD669" s="82"/>
      <c r="BE669" s="82"/>
      <c r="BF669" s="82"/>
      <c r="BG669" s="82"/>
      <c r="BH669" s="82"/>
      <c r="BI669" s="82"/>
      <c r="BJ669" s="82"/>
      <c r="BK669" s="82"/>
      <c r="BL669" s="82"/>
      <c r="BM669" s="82"/>
      <c r="BN669" s="82"/>
      <c r="BO669" s="82"/>
      <c r="BP669" s="82"/>
      <c r="BQ669" s="63"/>
      <c r="BR669" s="82"/>
      <c r="BS669" s="82"/>
      <c r="BT669" s="82"/>
      <c r="BU669" s="4"/>
    </row>
    <row r="670" spans="1:73" ht="12.75" x14ac:dyDescent="0.2">
      <c r="A670" s="1"/>
      <c r="B670" s="85"/>
      <c r="C670" s="85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4"/>
      <c r="O670" s="82"/>
      <c r="P670" s="82"/>
      <c r="Q670" s="82"/>
      <c r="R670" s="63"/>
      <c r="S670" s="63"/>
      <c r="T670" s="63"/>
      <c r="U670" s="63"/>
      <c r="V670" s="63"/>
      <c r="W670" s="63"/>
      <c r="X670" s="63"/>
      <c r="Y670" s="82"/>
      <c r="Z670" s="82"/>
      <c r="AA670" s="82"/>
      <c r="AB670" s="82"/>
      <c r="AC670" s="82"/>
      <c r="AD670" s="82"/>
      <c r="AE670" s="82"/>
      <c r="AF670" s="63" t="str">
        <f t="shared" si="2"/>
        <v/>
      </c>
      <c r="AG670" s="82"/>
      <c r="AH670" s="82"/>
      <c r="AI670" s="82"/>
      <c r="AJ670" s="82"/>
      <c r="AK670" s="82"/>
      <c r="AL670" s="82"/>
      <c r="AM670" s="82"/>
      <c r="AN670" s="82"/>
      <c r="AO670" s="82"/>
      <c r="AP670" s="82"/>
      <c r="AQ670" s="82"/>
      <c r="AR670" s="82"/>
      <c r="AS670" s="82"/>
      <c r="AT670" s="82"/>
      <c r="AU670" s="82"/>
      <c r="AV670" s="82"/>
      <c r="AW670" s="82"/>
      <c r="AX670" s="82"/>
      <c r="AY670" s="82"/>
      <c r="AZ670" s="82"/>
      <c r="BA670" s="82"/>
      <c r="BB670" s="82"/>
      <c r="BC670" s="82"/>
      <c r="BD670" s="82"/>
      <c r="BE670" s="82"/>
      <c r="BF670" s="82"/>
      <c r="BG670" s="82"/>
      <c r="BH670" s="82"/>
      <c r="BI670" s="82"/>
      <c r="BJ670" s="82"/>
      <c r="BK670" s="82"/>
      <c r="BL670" s="82"/>
      <c r="BM670" s="82"/>
      <c r="BN670" s="82"/>
      <c r="BO670" s="82"/>
      <c r="BP670" s="82"/>
      <c r="BQ670" s="63"/>
      <c r="BR670" s="82"/>
      <c r="BS670" s="82"/>
      <c r="BT670" s="82"/>
      <c r="BU670" s="4"/>
    </row>
    <row r="671" spans="1:73" ht="12.75" x14ac:dyDescent="0.2">
      <c r="A671" s="1"/>
      <c r="B671" s="85"/>
      <c r="C671" s="85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4"/>
      <c r="O671" s="82"/>
      <c r="P671" s="82"/>
      <c r="Q671" s="82"/>
      <c r="R671" s="63"/>
      <c r="S671" s="63"/>
      <c r="T671" s="63"/>
      <c r="U671" s="63"/>
      <c r="V671" s="63"/>
      <c r="W671" s="63"/>
      <c r="X671" s="63"/>
      <c r="Y671" s="82"/>
      <c r="Z671" s="82"/>
      <c r="AA671" s="82"/>
      <c r="AB671" s="82"/>
      <c r="AC671" s="82"/>
      <c r="AD671" s="82"/>
      <c r="AE671" s="82"/>
      <c r="AF671" s="63" t="str">
        <f t="shared" si="2"/>
        <v/>
      </c>
      <c r="AG671" s="82"/>
      <c r="AH671" s="82"/>
      <c r="AI671" s="82"/>
      <c r="AJ671" s="82"/>
      <c r="AK671" s="82"/>
      <c r="AL671" s="82"/>
      <c r="AM671" s="82"/>
      <c r="AN671" s="82"/>
      <c r="AO671" s="82"/>
      <c r="AP671" s="82"/>
      <c r="AQ671" s="82"/>
      <c r="AR671" s="82"/>
      <c r="AS671" s="82"/>
      <c r="AT671" s="82"/>
      <c r="AU671" s="82"/>
      <c r="AV671" s="82"/>
      <c r="AW671" s="82"/>
      <c r="AX671" s="82"/>
      <c r="AY671" s="82"/>
      <c r="AZ671" s="82"/>
      <c r="BA671" s="82"/>
      <c r="BB671" s="82"/>
      <c r="BC671" s="82"/>
      <c r="BD671" s="82"/>
      <c r="BE671" s="82"/>
      <c r="BF671" s="82"/>
      <c r="BG671" s="82"/>
      <c r="BH671" s="82"/>
      <c r="BI671" s="82"/>
      <c r="BJ671" s="82"/>
      <c r="BK671" s="82"/>
      <c r="BL671" s="82"/>
      <c r="BM671" s="82"/>
      <c r="BN671" s="82"/>
      <c r="BO671" s="82"/>
      <c r="BP671" s="82"/>
      <c r="BQ671" s="63"/>
      <c r="BR671" s="82"/>
      <c r="BS671" s="82"/>
      <c r="BT671" s="82"/>
      <c r="BU671" s="4"/>
    </row>
    <row r="672" spans="1:73" ht="12.75" x14ac:dyDescent="0.2">
      <c r="A672" s="1"/>
      <c r="B672" s="85"/>
      <c r="C672" s="85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4"/>
      <c r="O672" s="82"/>
      <c r="P672" s="82"/>
      <c r="Q672" s="82"/>
      <c r="R672" s="63"/>
      <c r="S672" s="63"/>
      <c r="T672" s="63"/>
      <c r="U672" s="63"/>
      <c r="V672" s="63"/>
      <c r="W672" s="63"/>
      <c r="X672" s="63"/>
      <c r="Y672" s="82"/>
      <c r="Z672" s="82"/>
      <c r="AA672" s="82"/>
      <c r="AB672" s="82"/>
      <c r="AC672" s="82"/>
      <c r="AD672" s="82"/>
      <c r="AE672" s="82"/>
      <c r="AF672" s="63" t="str">
        <f t="shared" si="2"/>
        <v/>
      </c>
      <c r="AG672" s="82"/>
      <c r="AH672" s="82"/>
      <c r="AI672" s="82"/>
      <c r="AJ672" s="82"/>
      <c r="AK672" s="82"/>
      <c r="AL672" s="82"/>
      <c r="AM672" s="82"/>
      <c r="AN672" s="82"/>
      <c r="AO672" s="82"/>
      <c r="AP672" s="82"/>
      <c r="AQ672" s="82"/>
      <c r="AR672" s="82"/>
      <c r="AS672" s="82"/>
      <c r="AT672" s="82"/>
      <c r="AU672" s="82"/>
      <c r="AV672" s="82"/>
      <c r="AW672" s="82"/>
      <c r="AX672" s="82"/>
      <c r="AY672" s="82"/>
      <c r="AZ672" s="82"/>
      <c r="BA672" s="82"/>
      <c r="BB672" s="82"/>
      <c r="BC672" s="82"/>
      <c r="BD672" s="82"/>
      <c r="BE672" s="82"/>
      <c r="BF672" s="82"/>
      <c r="BG672" s="82"/>
      <c r="BH672" s="82"/>
      <c r="BI672" s="82"/>
      <c r="BJ672" s="82"/>
      <c r="BK672" s="82"/>
      <c r="BL672" s="82"/>
      <c r="BM672" s="82"/>
      <c r="BN672" s="82"/>
      <c r="BO672" s="82"/>
      <c r="BP672" s="82"/>
      <c r="BQ672" s="63"/>
      <c r="BR672" s="82"/>
      <c r="BS672" s="82"/>
      <c r="BT672" s="82"/>
      <c r="BU672" s="4"/>
    </row>
    <row r="673" spans="1:73" ht="12.75" x14ac:dyDescent="0.2">
      <c r="A673" s="1"/>
      <c r="B673" s="85"/>
      <c r="C673" s="85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4"/>
      <c r="O673" s="82"/>
      <c r="P673" s="82"/>
      <c r="Q673" s="82"/>
      <c r="R673" s="63"/>
      <c r="S673" s="63"/>
      <c r="T673" s="63"/>
      <c r="U673" s="63"/>
      <c r="V673" s="63"/>
      <c r="W673" s="63"/>
      <c r="X673" s="63"/>
      <c r="Y673" s="82"/>
      <c r="Z673" s="82"/>
      <c r="AA673" s="82"/>
      <c r="AB673" s="82"/>
      <c r="AC673" s="82"/>
      <c r="AD673" s="82"/>
      <c r="AE673" s="82"/>
      <c r="AF673" s="63" t="str">
        <f t="shared" si="2"/>
        <v/>
      </c>
      <c r="AG673" s="82"/>
      <c r="AH673" s="82"/>
      <c r="AI673" s="82"/>
      <c r="AJ673" s="82"/>
      <c r="AK673" s="82"/>
      <c r="AL673" s="82"/>
      <c r="AM673" s="82"/>
      <c r="AN673" s="82"/>
      <c r="AO673" s="82"/>
      <c r="AP673" s="82"/>
      <c r="AQ673" s="82"/>
      <c r="AR673" s="82"/>
      <c r="AS673" s="82"/>
      <c r="AT673" s="82"/>
      <c r="AU673" s="82"/>
      <c r="AV673" s="82"/>
      <c r="AW673" s="82"/>
      <c r="AX673" s="82"/>
      <c r="AY673" s="82"/>
      <c r="AZ673" s="82"/>
      <c r="BA673" s="82"/>
      <c r="BB673" s="82"/>
      <c r="BC673" s="82"/>
      <c r="BD673" s="82"/>
      <c r="BE673" s="82"/>
      <c r="BF673" s="82"/>
      <c r="BG673" s="82"/>
      <c r="BH673" s="82"/>
      <c r="BI673" s="82"/>
      <c r="BJ673" s="82"/>
      <c r="BK673" s="82"/>
      <c r="BL673" s="82"/>
      <c r="BM673" s="82"/>
      <c r="BN673" s="82"/>
      <c r="BO673" s="82"/>
      <c r="BP673" s="82"/>
      <c r="BQ673" s="63"/>
      <c r="BR673" s="82"/>
      <c r="BS673" s="82"/>
      <c r="BT673" s="82"/>
      <c r="BU673" s="4"/>
    </row>
    <row r="674" spans="1:73" ht="12.75" x14ac:dyDescent="0.2">
      <c r="A674" s="1"/>
      <c r="B674" s="85"/>
      <c r="C674" s="85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4"/>
      <c r="O674" s="82"/>
      <c r="P674" s="82"/>
      <c r="Q674" s="82"/>
      <c r="R674" s="63"/>
      <c r="S674" s="63"/>
      <c r="T674" s="63"/>
      <c r="U674" s="63"/>
      <c r="V674" s="63"/>
      <c r="W674" s="63"/>
      <c r="X674" s="63"/>
      <c r="Y674" s="82"/>
      <c r="Z674" s="82"/>
      <c r="AA674" s="82"/>
      <c r="AB674" s="82"/>
      <c r="AC674" s="82"/>
      <c r="AD674" s="82"/>
      <c r="AE674" s="82"/>
      <c r="AF674" s="63" t="str">
        <f t="shared" si="2"/>
        <v/>
      </c>
      <c r="AG674" s="82"/>
      <c r="AH674" s="82"/>
      <c r="AI674" s="82"/>
      <c r="AJ674" s="82"/>
      <c r="AK674" s="82"/>
      <c r="AL674" s="82"/>
      <c r="AM674" s="82"/>
      <c r="AN674" s="82"/>
      <c r="AO674" s="82"/>
      <c r="AP674" s="82"/>
      <c r="AQ674" s="82"/>
      <c r="AR674" s="82"/>
      <c r="AS674" s="82"/>
      <c r="AT674" s="82"/>
      <c r="AU674" s="82"/>
      <c r="AV674" s="82"/>
      <c r="AW674" s="82"/>
      <c r="AX674" s="82"/>
      <c r="AY674" s="82"/>
      <c r="AZ674" s="82"/>
      <c r="BA674" s="82"/>
      <c r="BB674" s="82"/>
      <c r="BC674" s="82"/>
      <c r="BD674" s="82"/>
      <c r="BE674" s="82"/>
      <c r="BF674" s="82"/>
      <c r="BG674" s="82"/>
      <c r="BH674" s="82"/>
      <c r="BI674" s="82"/>
      <c r="BJ674" s="82"/>
      <c r="BK674" s="82"/>
      <c r="BL674" s="82"/>
      <c r="BM674" s="82"/>
      <c r="BN674" s="82"/>
      <c r="BO674" s="82"/>
      <c r="BP674" s="82"/>
      <c r="BQ674" s="63"/>
      <c r="BR674" s="82"/>
      <c r="BS674" s="82"/>
      <c r="BT674" s="82"/>
      <c r="BU674" s="4"/>
    </row>
    <row r="675" spans="1:73" ht="12.75" x14ac:dyDescent="0.2">
      <c r="A675" s="1"/>
      <c r="B675" s="85"/>
      <c r="C675" s="85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4"/>
      <c r="O675" s="82"/>
      <c r="P675" s="82"/>
      <c r="Q675" s="82"/>
      <c r="R675" s="63"/>
      <c r="S675" s="63"/>
      <c r="T675" s="63"/>
      <c r="U675" s="63"/>
      <c r="V675" s="63"/>
      <c r="W675" s="63"/>
      <c r="X675" s="63"/>
      <c r="Y675" s="82"/>
      <c r="Z675" s="82"/>
      <c r="AA675" s="82"/>
      <c r="AB675" s="82"/>
      <c r="AC675" s="82"/>
      <c r="AD675" s="82"/>
      <c r="AE675" s="82"/>
      <c r="AF675" s="63" t="str">
        <f t="shared" si="2"/>
        <v/>
      </c>
      <c r="AG675" s="82"/>
      <c r="AH675" s="82"/>
      <c r="AI675" s="82"/>
      <c r="AJ675" s="82"/>
      <c r="AK675" s="82"/>
      <c r="AL675" s="82"/>
      <c r="AM675" s="82"/>
      <c r="AN675" s="82"/>
      <c r="AO675" s="82"/>
      <c r="AP675" s="82"/>
      <c r="AQ675" s="82"/>
      <c r="AR675" s="82"/>
      <c r="AS675" s="82"/>
      <c r="AT675" s="82"/>
      <c r="AU675" s="82"/>
      <c r="AV675" s="82"/>
      <c r="AW675" s="82"/>
      <c r="AX675" s="82"/>
      <c r="AY675" s="82"/>
      <c r="AZ675" s="82"/>
      <c r="BA675" s="82"/>
      <c r="BB675" s="82"/>
      <c r="BC675" s="82"/>
      <c r="BD675" s="82"/>
      <c r="BE675" s="82"/>
      <c r="BF675" s="82"/>
      <c r="BG675" s="82"/>
      <c r="BH675" s="82"/>
      <c r="BI675" s="82"/>
      <c r="BJ675" s="82"/>
      <c r="BK675" s="82"/>
      <c r="BL675" s="82"/>
      <c r="BM675" s="82"/>
      <c r="BN675" s="82"/>
      <c r="BO675" s="82"/>
      <c r="BP675" s="82"/>
      <c r="BQ675" s="63"/>
      <c r="BR675" s="82"/>
      <c r="BS675" s="82"/>
      <c r="BT675" s="82"/>
      <c r="BU675" s="4"/>
    </row>
    <row r="676" spans="1:73" ht="12.75" x14ac:dyDescent="0.2">
      <c r="A676" s="1"/>
      <c r="B676" s="85"/>
      <c r="C676" s="85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4"/>
      <c r="O676" s="82"/>
      <c r="P676" s="82"/>
      <c r="Q676" s="82"/>
      <c r="R676" s="63"/>
      <c r="S676" s="63"/>
      <c r="T676" s="63"/>
      <c r="U676" s="63"/>
      <c r="V676" s="63"/>
      <c r="W676" s="63"/>
      <c r="X676" s="63"/>
      <c r="Y676" s="82"/>
      <c r="Z676" s="82"/>
      <c r="AA676" s="82"/>
      <c r="AB676" s="82"/>
      <c r="AC676" s="82"/>
      <c r="AD676" s="82"/>
      <c r="AE676" s="82"/>
      <c r="AF676" s="63" t="str">
        <f t="shared" si="2"/>
        <v/>
      </c>
      <c r="AG676" s="82"/>
      <c r="AH676" s="82"/>
      <c r="AI676" s="82"/>
      <c r="AJ676" s="82"/>
      <c r="AK676" s="82"/>
      <c r="AL676" s="82"/>
      <c r="AM676" s="82"/>
      <c r="AN676" s="82"/>
      <c r="AO676" s="82"/>
      <c r="AP676" s="82"/>
      <c r="AQ676" s="82"/>
      <c r="AR676" s="82"/>
      <c r="AS676" s="82"/>
      <c r="AT676" s="82"/>
      <c r="AU676" s="82"/>
      <c r="AV676" s="82"/>
      <c r="AW676" s="82"/>
      <c r="AX676" s="82"/>
      <c r="AY676" s="82"/>
      <c r="AZ676" s="82"/>
      <c r="BA676" s="82"/>
      <c r="BB676" s="82"/>
      <c r="BC676" s="82"/>
      <c r="BD676" s="82"/>
      <c r="BE676" s="82"/>
      <c r="BF676" s="82"/>
      <c r="BG676" s="82"/>
      <c r="BH676" s="82"/>
      <c r="BI676" s="82"/>
      <c r="BJ676" s="82"/>
      <c r="BK676" s="82"/>
      <c r="BL676" s="82"/>
      <c r="BM676" s="82"/>
      <c r="BN676" s="82"/>
      <c r="BO676" s="82"/>
      <c r="BP676" s="82"/>
      <c r="BQ676" s="63"/>
      <c r="BR676" s="82"/>
      <c r="BS676" s="82"/>
      <c r="BT676" s="82"/>
      <c r="BU676" s="4"/>
    </row>
    <row r="677" spans="1:73" ht="12.75" x14ac:dyDescent="0.2">
      <c r="A677" s="1"/>
      <c r="B677" s="85"/>
      <c r="C677" s="85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4"/>
      <c r="O677" s="82"/>
      <c r="P677" s="82"/>
      <c r="Q677" s="82"/>
      <c r="R677" s="63"/>
      <c r="S677" s="63"/>
      <c r="T677" s="63"/>
      <c r="U677" s="63"/>
      <c r="V677" s="63"/>
      <c r="W677" s="63"/>
      <c r="X677" s="63"/>
      <c r="Y677" s="82"/>
      <c r="Z677" s="82"/>
      <c r="AA677" s="82"/>
      <c r="AB677" s="82"/>
      <c r="AC677" s="82"/>
      <c r="AD677" s="82"/>
      <c r="AE677" s="82"/>
      <c r="AF677" s="63" t="str">
        <f t="shared" si="2"/>
        <v/>
      </c>
      <c r="AG677" s="82"/>
      <c r="AH677" s="82"/>
      <c r="AI677" s="82"/>
      <c r="AJ677" s="82"/>
      <c r="AK677" s="82"/>
      <c r="AL677" s="82"/>
      <c r="AM677" s="82"/>
      <c r="AN677" s="82"/>
      <c r="AO677" s="82"/>
      <c r="AP677" s="82"/>
      <c r="AQ677" s="82"/>
      <c r="AR677" s="82"/>
      <c r="AS677" s="82"/>
      <c r="AT677" s="82"/>
      <c r="AU677" s="82"/>
      <c r="AV677" s="82"/>
      <c r="AW677" s="82"/>
      <c r="AX677" s="82"/>
      <c r="AY677" s="82"/>
      <c r="AZ677" s="82"/>
      <c r="BA677" s="82"/>
      <c r="BB677" s="82"/>
      <c r="BC677" s="82"/>
      <c r="BD677" s="82"/>
      <c r="BE677" s="82"/>
      <c r="BF677" s="82"/>
      <c r="BG677" s="82"/>
      <c r="BH677" s="82"/>
      <c r="BI677" s="82"/>
      <c r="BJ677" s="82"/>
      <c r="BK677" s="82"/>
      <c r="BL677" s="82"/>
      <c r="BM677" s="82"/>
      <c r="BN677" s="82"/>
      <c r="BO677" s="82"/>
      <c r="BP677" s="82"/>
      <c r="BQ677" s="63"/>
      <c r="BR677" s="82"/>
      <c r="BS677" s="82"/>
      <c r="BT677" s="82"/>
      <c r="BU677" s="4"/>
    </row>
    <row r="678" spans="1:73" ht="12.75" x14ac:dyDescent="0.2">
      <c r="A678" s="1"/>
      <c r="B678" s="85"/>
      <c r="C678" s="85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4"/>
      <c r="O678" s="82"/>
      <c r="P678" s="82"/>
      <c r="Q678" s="82"/>
      <c r="R678" s="63"/>
      <c r="S678" s="63"/>
      <c r="T678" s="63"/>
      <c r="U678" s="63"/>
      <c r="V678" s="63"/>
      <c r="W678" s="63"/>
      <c r="X678" s="63"/>
      <c r="Y678" s="82"/>
      <c r="Z678" s="82"/>
      <c r="AA678" s="82"/>
      <c r="AB678" s="82"/>
      <c r="AC678" s="82"/>
      <c r="AD678" s="82"/>
      <c r="AE678" s="82"/>
      <c r="AF678" s="63" t="str">
        <f t="shared" si="2"/>
        <v/>
      </c>
      <c r="AG678" s="82"/>
      <c r="AH678" s="82"/>
      <c r="AI678" s="82"/>
      <c r="AJ678" s="82"/>
      <c r="AK678" s="82"/>
      <c r="AL678" s="82"/>
      <c r="AM678" s="82"/>
      <c r="AN678" s="82"/>
      <c r="AO678" s="82"/>
      <c r="AP678" s="82"/>
      <c r="AQ678" s="82"/>
      <c r="AR678" s="82"/>
      <c r="AS678" s="82"/>
      <c r="AT678" s="82"/>
      <c r="AU678" s="82"/>
      <c r="AV678" s="82"/>
      <c r="AW678" s="82"/>
      <c r="AX678" s="82"/>
      <c r="AY678" s="82"/>
      <c r="AZ678" s="82"/>
      <c r="BA678" s="82"/>
      <c r="BB678" s="82"/>
      <c r="BC678" s="82"/>
      <c r="BD678" s="82"/>
      <c r="BE678" s="82"/>
      <c r="BF678" s="82"/>
      <c r="BG678" s="82"/>
      <c r="BH678" s="82"/>
      <c r="BI678" s="82"/>
      <c r="BJ678" s="82"/>
      <c r="BK678" s="82"/>
      <c r="BL678" s="82"/>
      <c r="BM678" s="82"/>
      <c r="BN678" s="82"/>
      <c r="BO678" s="82"/>
      <c r="BP678" s="82"/>
      <c r="BQ678" s="63"/>
      <c r="BR678" s="82"/>
      <c r="BS678" s="82"/>
      <c r="BT678" s="82"/>
      <c r="BU678" s="4"/>
    </row>
    <row r="679" spans="1:73" ht="12.75" x14ac:dyDescent="0.2">
      <c r="A679" s="1"/>
      <c r="B679" s="85"/>
      <c r="C679" s="85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4"/>
      <c r="O679" s="82"/>
      <c r="P679" s="82"/>
      <c r="Q679" s="82"/>
      <c r="R679" s="63"/>
      <c r="S679" s="63"/>
      <c r="T679" s="63"/>
      <c r="U679" s="63"/>
      <c r="V679" s="63"/>
      <c r="W679" s="63"/>
      <c r="X679" s="63"/>
      <c r="Y679" s="82"/>
      <c r="Z679" s="82"/>
      <c r="AA679" s="82"/>
      <c r="AB679" s="82"/>
      <c r="AC679" s="82"/>
      <c r="AD679" s="82"/>
      <c r="AE679" s="82"/>
      <c r="AF679" s="63" t="str">
        <f t="shared" si="2"/>
        <v/>
      </c>
      <c r="AG679" s="82"/>
      <c r="AH679" s="82"/>
      <c r="AI679" s="82"/>
      <c r="AJ679" s="82"/>
      <c r="AK679" s="82"/>
      <c r="AL679" s="82"/>
      <c r="AM679" s="82"/>
      <c r="AN679" s="82"/>
      <c r="AO679" s="82"/>
      <c r="AP679" s="82"/>
      <c r="AQ679" s="82"/>
      <c r="AR679" s="82"/>
      <c r="AS679" s="82"/>
      <c r="AT679" s="82"/>
      <c r="AU679" s="82"/>
      <c r="AV679" s="82"/>
      <c r="AW679" s="82"/>
      <c r="AX679" s="82"/>
      <c r="AY679" s="82"/>
      <c r="AZ679" s="82"/>
      <c r="BA679" s="82"/>
      <c r="BB679" s="82"/>
      <c r="BC679" s="82"/>
      <c r="BD679" s="82"/>
      <c r="BE679" s="82"/>
      <c r="BF679" s="82"/>
      <c r="BG679" s="82"/>
      <c r="BH679" s="82"/>
      <c r="BI679" s="82"/>
      <c r="BJ679" s="82"/>
      <c r="BK679" s="82"/>
      <c r="BL679" s="82"/>
      <c r="BM679" s="82"/>
      <c r="BN679" s="82"/>
      <c r="BO679" s="82"/>
      <c r="BP679" s="82"/>
      <c r="BQ679" s="63"/>
      <c r="BR679" s="82"/>
      <c r="BS679" s="82"/>
      <c r="BT679" s="82"/>
      <c r="BU679" s="4"/>
    </row>
    <row r="680" spans="1:73" ht="12.75" x14ac:dyDescent="0.2">
      <c r="A680" s="1"/>
      <c r="B680" s="85"/>
      <c r="C680" s="85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4"/>
      <c r="O680" s="82"/>
      <c r="P680" s="82"/>
      <c r="Q680" s="82"/>
      <c r="R680" s="63"/>
      <c r="S680" s="63"/>
      <c r="T680" s="63"/>
      <c r="U680" s="63"/>
      <c r="V680" s="63"/>
      <c r="W680" s="63"/>
      <c r="X680" s="63"/>
      <c r="Y680" s="82"/>
      <c r="Z680" s="82"/>
      <c r="AA680" s="82"/>
      <c r="AB680" s="82"/>
      <c r="AC680" s="82"/>
      <c r="AD680" s="82"/>
      <c r="AE680" s="82"/>
      <c r="AF680" s="63" t="str">
        <f t="shared" si="2"/>
        <v/>
      </c>
      <c r="AG680" s="82"/>
      <c r="AH680" s="82"/>
      <c r="AI680" s="82"/>
      <c r="AJ680" s="82"/>
      <c r="AK680" s="82"/>
      <c r="AL680" s="82"/>
      <c r="AM680" s="82"/>
      <c r="AN680" s="82"/>
      <c r="AO680" s="82"/>
      <c r="AP680" s="82"/>
      <c r="AQ680" s="82"/>
      <c r="AR680" s="82"/>
      <c r="AS680" s="82"/>
      <c r="AT680" s="82"/>
      <c r="AU680" s="82"/>
      <c r="AV680" s="82"/>
      <c r="AW680" s="82"/>
      <c r="AX680" s="82"/>
      <c r="AY680" s="82"/>
      <c r="AZ680" s="82"/>
      <c r="BA680" s="82"/>
      <c r="BB680" s="82"/>
      <c r="BC680" s="82"/>
      <c r="BD680" s="82"/>
      <c r="BE680" s="82"/>
      <c r="BF680" s="82"/>
      <c r="BG680" s="82"/>
      <c r="BH680" s="82"/>
      <c r="BI680" s="82"/>
      <c r="BJ680" s="82"/>
      <c r="BK680" s="82"/>
      <c r="BL680" s="82"/>
      <c r="BM680" s="82"/>
      <c r="BN680" s="82"/>
      <c r="BO680" s="82"/>
      <c r="BP680" s="82"/>
      <c r="BQ680" s="63"/>
      <c r="BR680" s="82"/>
      <c r="BS680" s="82"/>
      <c r="BT680" s="82"/>
      <c r="BU680" s="4"/>
    </row>
    <row r="681" spans="1:73" ht="12.75" x14ac:dyDescent="0.2">
      <c r="A681" s="1"/>
      <c r="B681" s="85"/>
      <c r="C681" s="85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4"/>
      <c r="O681" s="82"/>
      <c r="P681" s="82"/>
      <c r="Q681" s="82"/>
      <c r="R681" s="63"/>
      <c r="S681" s="63"/>
      <c r="T681" s="63"/>
      <c r="U681" s="63"/>
      <c r="V681" s="63"/>
      <c r="W681" s="63"/>
      <c r="X681" s="63"/>
      <c r="Y681" s="82"/>
      <c r="Z681" s="82"/>
      <c r="AA681" s="82"/>
      <c r="AB681" s="82"/>
      <c r="AC681" s="82"/>
      <c r="AD681" s="82"/>
      <c r="AE681" s="82"/>
      <c r="AF681" s="63" t="str">
        <f t="shared" si="2"/>
        <v/>
      </c>
      <c r="AG681" s="82"/>
      <c r="AH681" s="82"/>
      <c r="AI681" s="82"/>
      <c r="AJ681" s="82"/>
      <c r="AK681" s="82"/>
      <c r="AL681" s="82"/>
      <c r="AM681" s="82"/>
      <c r="AN681" s="82"/>
      <c r="AO681" s="82"/>
      <c r="AP681" s="82"/>
      <c r="AQ681" s="82"/>
      <c r="AR681" s="82"/>
      <c r="AS681" s="82"/>
      <c r="AT681" s="82"/>
      <c r="AU681" s="82"/>
      <c r="AV681" s="82"/>
      <c r="AW681" s="82"/>
      <c r="AX681" s="82"/>
      <c r="AY681" s="82"/>
      <c r="AZ681" s="82"/>
      <c r="BA681" s="82"/>
      <c r="BB681" s="82"/>
      <c r="BC681" s="82"/>
      <c r="BD681" s="82"/>
      <c r="BE681" s="82"/>
      <c r="BF681" s="82"/>
      <c r="BG681" s="82"/>
      <c r="BH681" s="82"/>
      <c r="BI681" s="82"/>
      <c r="BJ681" s="82"/>
      <c r="BK681" s="82"/>
      <c r="BL681" s="82"/>
      <c r="BM681" s="82"/>
      <c r="BN681" s="82"/>
      <c r="BO681" s="82"/>
      <c r="BP681" s="82"/>
      <c r="BQ681" s="63"/>
      <c r="BR681" s="82"/>
      <c r="BS681" s="82"/>
      <c r="BT681" s="82"/>
      <c r="BU681" s="4"/>
    </row>
    <row r="682" spans="1:73" ht="12.75" x14ac:dyDescent="0.2">
      <c r="A682" s="1"/>
      <c r="B682" s="85"/>
      <c r="C682" s="85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4"/>
      <c r="O682" s="82"/>
      <c r="P682" s="82"/>
      <c r="Q682" s="82"/>
      <c r="R682" s="63"/>
      <c r="S682" s="63"/>
      <c r="T682" s="63"/>
      <c r="U682" s="63"/>
      <c r="V682" s="63"/>
      <c r="W682" s="63"/>
      <c r="X682" s="63"/>
      <c r="Y682" s="82"/>
      <c r="Z682" s="82"/>
      <c r="AA682" s="82"/>
      <c r="AB682" s="82"/>
      <c r="AC682" s="82"/>
      <c r="AD682" s="82"/>
      <c r="AE682" s="82"/>
      <c r="AF682" s="63" t="str">
        <f t="shared" si="2"/>
        <v/>
      </c>
      <c r="AG682" s="82"/>
      <c r="AH682" s="82"/>
      <c r="AI682" s="82"/>
      <c r="AJ682" s="82"/>
      <c r="AK682" s="82"/>
      <c r="AL682" s="82"/>
      <c r="AM682" s="82"/>
      <c r="AN682" s="82"/>
      <c r="AO682" s="82"/>
      <c r="AP682" s="82"/>
      <c r="AQ682" s="82"/>
      <c r="AR682" s="82"/>
      <c r="AS682" s="82"/>
      <c r="AT682" s="82"/>
      <c r="AU682" s="82"/>
      <c r="AV682" s="82"/>
      <c r="AW682" s="82"/>
      <c r="AX682" s="82"/>
      <c r="AY682" s="82"/>
      <c r="AZ682" s="82"/>
      <c r="BA682" s="82"/>
      <c r="BB682" s="82"/>
      <c r="BC682" s="82"/>
      <c r="BD682" s="82"/>
      <c r="BE682" s="82"/>
      <c r="BF682" s="82"/>
      <c r="BG682" s="82"/>
      <c r="BH682" s="82"/>
      <c r="BI682" s="82"/>
      <c r="BJ682" s="82"/>
      <c r="BK682" s="82"/>
      <c r="BL682" s="82"/>
      <c r="BM682" s="82"/>
      <c r="BN682" s="82"/>
      <c r="BO682" s="82"/>
      <c r="BP682" s="82"/>
      <c r="BQ682" s="63"/>
      <c r="BR682" s="82"/>
      <c r="BS682" s="82"/>
      <c r="BT682" s="82"/>
      <c r="BU682" s="4"/>
    </row>
    <row r="683" spans="1:73" ht="12.75" x14ac:dyDescent="0.2">
      <c r="A683" s="1"/>
      <c r="B683" s="85"/>
      <c r="C683" s="85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4"/>
      <c r="O683" s="82"/>
      <c r="P683" s="82"/>
      <c r="Q683" s="82"/>
      <c r="R683" s="63"/>
      <c r="S683" s="63"/>
      <c r="T683" s="63"/>
      <c r="U683" s="63"/>
      <c r="V683" s="63"/>
      <c r="W683" s="63"/>
      <c r="X683" s="63"/>
      <c r="Y683" s="82"/>
      <c r="Z683" s="82"/>
      <c r="AA683" s="82"/>
      <c r="AB683" s="82"/>
      <c r="AC683" s="82"/>
      <c r="AD683" s="82"/>
      <c r="AE683" s="82"/>
      <c r="AF683" s="63" t="str">
        <f t="shared" si="2"/>
        <v/>
      </c>
      <c r="AG683" s="82"/>
      <c r="AH683" s="82"/>
      <c r="AI683" s="82"/>
      <c r="AJ683" s="82"/>
      <c r="AK683" s="82"/>
      <c r="AL683" s="82"/>
      <c r="AM683" s="82"/>
      <c r="AN683" s="82"/>
      <c r="AO683" s="82"/>
      <c r="AP683" s="82"/>
      <c r="AQ683" s="82"/>
      <c r="AR683" s="82"/>
      <c r="AS683" s="82"/>
      <c r="AT683" s="82"/>
      <c r="AU683" s="82"/>
      <c r="AV683" s="82"/>
      <c r="AW683" s="82"/>
      <c r="AX683" s="82"/>
      <c r="AY683" s="82"/>
      <c r="AZ683" s="82"/>
      <c r="BA683" s="82"/>
      <c r="BB683" s="82"/>
      <c r="BC683" s="82"/>
      <c r="BD683" s="82"/>
      <c r="BE683" s="82"/>
      <c r="BF683" s="82"/>
      <c r="BG683" s="82"/>
      <c r="BH683" s="82"/>
      <c r="BI683" s="82"/>
      <c r="BJ683" s="82"/>
      <c r="BK683" s="82"/>
      <c r="BL683" s="82"/>
      <c r="BM683" s="82"/>
      <c r="BN683" s="82"/>
      <c r="BO683" s="82"/>
      <c r="BP683" s="82"/>
      <c r="BQ683" s="63"/>
      <c r="BR683" s="82"/>
      <c r="BS683" s="82"/>
      <c r="BT683" s="82"/>
      <c r="BU683" s="4"/>
    </row>
    <row r="684" spans="1:73" ht="12.75" x14ac:dyDescent="0.2">
      <c r="A684" s="1"/>
      <c r="B684" s="85"/>
      <c r="C684" s="85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4"/>
      <c r="O684" s="82"/>
      <c r="P684" s="82"/>
      <c r="Q684" s="82"/>
      <c r="R684" s="63"/>
      <c r="S684" s="63"/>
      <c r="T684" s="63"/>
      <c r="U684" s="63"/>
      <c r="V684" s="63"/>
      <c r="W684" s="63"/>
      <c r="X684" s="63"/>
      <c r="Y684" s="82"/>
      <c r="Z684" s="82"/>
      <c r="AA684" s="82"/>
      <c r="AB684" s="82"/>
      <c r="AC684" s="82"/>
      <c r="AD684" s="82"/>
      <c r="AE684" s="82"/>
      <c r="AF684" s="63" t="str">
        <f t="shared" si="2"/>
        <v/>
      </c>
      <c r="AG684" s="82"/>
      <c r="AH684" s="82"/>
      <c r="AI684" s="82"/>
      <c r="AJ684" s="82"/>
      <c r="AK684" s="82"/>
      <c r="AL684" s="82"/>
      <c r="AM684" s="82"/>
      <c r="AN684" s="82"/>
      <c r="AO684" s="82"/>
      <c r="AP684" s="82"/>
      <c r="AQ684" s="82"/>
      <c r="AR684" s="82"/>
      <c r="AS684" s="82"/>
      <c r="AT684" s="82"/>
      <c r="AU684" s="82"/>
      <c r="AV684" s="82"/>
      <c r="AW684" s="82"/>
      <c r="AX684" s="82"/>
      <c r="AY684" s="82"/>
      <c r="AZ684" s="82"/>
      <c r="BA684" s="82"/>
      <c r="BB684" s="82"/>
      <c r="BC684" s="82"/>
      <c r="BD684" s="82"/>
      <c r="BE684" s="82"/>
      <c r="BF684" s="82"/>
      <c r="BG684" s="82"/>
      <c r="BH684" s="82"/>
      <c r="BI684" s="82"/>
      <c r="BJ684" s="82"/>
      <c r="BK684" s="82"/>
      <c r="BL684" s="82"/>
      <c r="BM684" s="82"/>
      <c r="BN684" s="82"/>
      <c r="BO684" s="82"/>
      <c r="BP684" s="82"/>
      <c r="BQ684" s="63"/>
      <c r="BR684" s="82"/>
      <c r="BS684" s="82"/>
      <c r="BT684" s="82"/>
      <c r="BU684" s="4"/>
    </row>
    <row r="685" spans="1:73" ht="12.75" x14ac:dyDescent="0.2">
      <c r="A685" s="1"/>
      <c r="B685" s="85"/>
      <c r="C685" s="85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4"/>
      <c r="O685" s="82"/>
      <c r="P685" s="82"/>
      <c r="Q685" s="82"/>
      <c r="R685" s="63"/>
      <c r="S685" s="63"/>
      <c r="T685" s="63"/>
      <c r="U685" s="63"/>
      <c r="V685" s="63"/>
      <c r="W685" s="63"/>
      <c r="X685" s="63"/>
      <c r="Y685" s="82"/>
      <c r="Z685" s="82"/>
      <c r="AA685" s="82"/>
      <c r="AB685" s="82"/>
      <c r="AC685" s="82"/>
      <c r="AD685" s="82"/>
      <c r="AE685" s="82"/>
      <c r="AF685" s="63" t="str">
        <f t="shared" si="2"/>
        <v/>
      </c>
      <c r="AG685" s="82"/>
      <c r="AH685" s="82"/>
      <c r="AI685" s="82"/>
      <c r="AJ685" s="82"/>
      <c r="AK685" s="82"/>
      <c r="AL685" s="82"/>
      <c r="AM685" s="82"/>
      <c r="AN685" s="82"/>
      <c r="AO685" s="82"/>
      <c r="AP685" s="82"/>
      <c r="AQ685" s="82"/>
      <c r="AR685" s="82"/>
      <c r="AS685" s="82"/>
      <c r="AT685" s="82"/>
      <c r="AU685" s="82"/>
      <c r="AV685" s="82"/>
      <c r="AW685" s="82"/>
      <c r="AX685" s="82"/>
      <c r="AY685" s="82"/>
      <c r="AZ685" s="82"/>
      <c r="BA685" s="82"/>
      <c r="BB685" s="82"/>
      <c r="BC685" s="82"/>
      <c r="BD685" s="82"/>
      <c r="BE685" s="82"/>
      <c r="BF685" s="82"/>
      <c r="BG685" s="82"/>
      <c r="BH685" s="82"/>
      <c r="BI685" s="82"/>
      <c r="BJ685" s="82"/>
      <c r="BK685" s="82"/>
      <c r="BL685" s="82"/>
      <c r="BM685" s="82"/>
      <c r="BN685" s="82"/>
      <c r="BO685" s="82"/>
      <c r="BP685" s="82"/>
      <c r="BQ685" s="63"/>
      <c r="BR685" s="82"/>
      <c r="BS685" s="82"/>
      <c r="BT685" s="82"/>
      <c r="BU685" s="4"/>
    </row>
    <row r="686" spans="1:73" ht="12.75" x14ac:dyDescent="0.2">
      <c r="A686" s="1"/>
      <c r="B686" s="85"/>
      <c r="C686" s="85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4"/>
      <c r="O686" s="82"/>
      <c r="P686" s="82"/>
      <c r="Q686" s="82"/>
      <c r="R686" s="63"/>
      <c r="S686" s="63"/>
      <c r="T686" s="63"/>
      <c r="U686" s="63"/>
      <c r="V686" s="63"/>
      <c r="W686" s="63"/>
      <c r="X686" s="63"/>
      <c r="Y686" s="82"/>
      <c r="Z686" s="82"/>
      <c r="AA686" s="82"/>
      <c r="AB686" s="82"/>
      <c r="AC686" s="82"/>
      <c r="AD686" s="82"/>
      <c r="AE686" s="82"/>
      <c r="AF686" s="63" t="str">
        <f t="shared" si="2"/>
        <v/>
      </c>
      <c r="AG686" s="82"/>
      <c r="AH686" s="82"/>
      <c r="AI686" s="82"/>
      <c r="AJ686" s="82"/>
      <c r="AK686" s="82"/>
      <c r="AL686" s="82"/>
      <c r="AM686" s="82"/>
      <c r="AN686" s="82"/>
      <c r="AO686" s="82"/>
      <c r="AP686" s="82"/>
      <c r="AQ686" s="82"/>
      <c r="AR686" s="82"/>
      <c r="AS686" s="82"/>
      <c r="AT686" s="82"/>
      <c r="AU686" s="82"/>
      <c r="AV686" s="82"/>
      <c r="AW686" s="82"/>
      <c r="AX686" s="82"/>
      <c r="AY686" s="82"/>
      <c r="AZ686" s="82"/>
      <c r="BA686" s="82"/>
      <c r="BB686" s="82"/>
      <c r="BC686" s="82"/>
      <c r="BD686" s="82"/>
      <c r="BE686" s="82"/>
      <c r="BF686" s="82"/>
      <c r="BG686" s="82"/>
      <c r="BH686" s="82"/>
      <c r="BI686" s="82"/>
      <c r="BJ686" s="82"/>
      <c r="BK686" s="82"/>
      <c r="BL686" s="82"/>
      <c r="BM686" s="82"/>
      <c r="BN686" s="82"/>
      <c r="BO686" s="82"/>
      <c r="BP686" s="82"/>
      <c r="BQ686" s="63"/>
      <c r="BR686" s="82"/>
      <c r="BS686" s="82"/>
      <c r="BT686" s="82"/>
      <c r="BU686" s="4"/>
    </row>
    <row r="687" spans="1:73" ht="12.75" x14ac:dyDescent="0.2">
      <c r="A687" s="1"/>
      <c r="B687" s="85"/>
      <c r="C687" s="85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4"/>
      <c r="O687" s="82"/>
      <c r="P687" s="82"/>
      <c r="Q687" s="82"/>
      <c r="R687" s="63"/>
      <c r="S687" s="63"/>
      <c r="T687" s="63"/>
      <c r="U687" s="63"/>
      <c r="V687" s="63"/>
      <c r="W687" s="63"/>
      <c r="X687" s="63"/>
      <c r="Y687" s="82"/>
      <c r="Z687" s="82"/>
      <c r="AA687" s="82"/>
      <c r="AB687" s="82"/>
      <c r="AC687" s="82"/>
      <c r="AD687" s="82"/>
      <c r="AE687" s="82"/>
      <c r="AF687" s="63" t="str">
        <f t="shared" si="2"/>
        <v/>
      </c>
      <c r="AG687" s="82"/>
      <c r="AH687" s="82"/>
      <c r="AI687" s="82"/>
      <c r="AJ687" s="82"/>
      <c r="AK687" s="82"/>
      <c r="AL687" s="82"/>
      <c r="AM687" s="82"/>
      <c r="AN687" s="82"/>
      <c r="AO687" s="82"/>
      <c r="AP687" s="82"/>
      <c r="AQ687" s="82"/>
      <c r="AR687" s="82"/>
      <c r="AS687" s="82"/>
      <c r="AT687" s="82"/>
      <c r="AU687" s="82"/>
      <c r="AV687" s="82"/>
      <c r="AW687" s="82"/>
      <c r="AX687" s="82"/>
      <c r="AY687" s="82"/>
      <c r="AZ687" s="82"/>
      <c r="BA687" s="82"/>
      <c r="BB687" s="82"/>
      <c r="BC687" s="82"/>
      <c r="BD687" s="82"/>
      <c r="BE687" s="82"/>
      <c r="BF687" s="82"/>
      <c r="BG687" s="82"/>
      <c r="BH687" s="82"/>
      <c r="BI687" s="82"/>
      <c r="BJ687" s="82"/>
      <c r="BK687" s="82"/>
      <c r="BL687" s="82"/>
      <c r="BM687" s="82"/>
      <c r="BN687" s="82"/>
      <c r="BO687" s="82"/>
      <c r="BP687" s="82"/>
      <c r="BQ687" s="63"/>
      <c r="BR687" s="82"/>
      <c r="BS687" s="82"/>
      <c r="BT687" s="82"/>
      <c r="BU687" s="4"/>
    </row>
    <row r="688" spans="1:73" ht="12.75" x14ac:dyDescent="0.2">
      <c r="A688" s="1"/>
      <c r="B688" s="85"/>
      <c r="C688" s="85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4"/>
      <c r="O688" s="82"/>
      <c r="P688" s="82"/>
      <c r="Q688" s="82"/>
      <c r="R688" s="63"/>
      <c r="S688" s="63"/>
      <c r="T688" s="63"/>
      <c r="U688" s="63"/>
      <c r="V688" s="63"/>
      <c r="W688" s="63"/>
      <c r="X688" s="63"/>
      <c r="Y688" s="82"/>
      <c r="Z688" s="82"/>
      <c r="AA688" s="82"/>
      <c r="AB688" s="82"/>
      <c r="AC688" s="82"/>
      <c r="AD688" s="82"/>
      <c r="AE688" s="82"/>
      <c r="AF688" s="63" t="str">
        <f t="shared" si="2"/>
        <v/>
      </c>
      <c r="AG688" s="82"/>
      <c r="AH688" s="82"/>
      <c r="AI688" s="82"/>
      <c r="AJ688" s="82"/>
      <c r="AK688" s="82"/>
      <c r="AL688" s="82"/>
      <c r="AM688" s="82"/>
      <c r="AN688" s="82"/>
      <c r="AO688" s="82"/>
      <c r="AP688" s="82"/>
      <c r="AQ688" s="82"/>
      <c r="AR688" s="82"/>
      <c r="AS688" s="82"/>
      <c r="AT688" s="82"/>
      <c r="AU688" s="82"/>
      <c r="AV688" s="82"/>
      <c r="AW688" s="82"/>
      <c r="AX688" s="82"/>
      <c r="AY688" s="82"/>
      <c r="AZ688" s="82"/>
      <c r="BA688" s="82"/>
      <c r="BB688" s="82"/>
      <c r="BC688" s="82"/>
      <c r="BD688" s="82"/>
      <c r="BE688" s="82"/>
      <c r="BF688" s="82"/>
      <c r="BG688" s="82"/>
      <c r="BH688" s="82"/>
      <c r="BI688" s="82"/>
      <c r="BJ688" s="82"/>
      <c r="BK688" s="82"/>
      <c r="BL688" s="82"/>
      <c r="BM688" s="82"/>
      <c r="BN688" s="82"/>
      <c r="BO688" s="82"/>
      <c r="BP688" s="82"/>
      <c r="BQ688" s="63"/>
      <c r="BR688" s="82"/>
      <c r="BS688" s="82"/>
      <c r="BT688" s="82"/>
      <c r="BU688" s="4"/>
    </row>
    <row r="689" spans="1:73" ht="12.75" x14ac:dyDescent="0.2">
      <c r="A689" s="1"/>
      <c r="B689" s="85"/>
      <c r="C689" s="85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4"/>
      <c r="O689" s="82"/>
      <c r="P689" s="82"/>
      <c r="Q689" s="82"/>
      <c r="R689" s="63"/>
      <c r="S689" s="63"/>
      <c r="T689" s="63"/>
      <c r="U689" s="63"/>
      <c r="V689" s="63"/>
      <c r="W689" s="63"/>
      <c r="X689" s="63"/>
      <c r="Y689" s="82"/>
      <c r="Z689" s="82"/>
      <c r="AA689" s="82"/>
      <c r="AB689" s="82"/>
      <c r="AC689" s="82"/>
      <c r="AD689" s="82"/>
      <c r="AE689" s="82"/>
      <c r="AF689" s="63" t="str">
        <f t="shared" si="2"/>
        <v/>
      </c>
      <c r="AG689" s="82"/>
      <c r="AH689" s="82"/>
      <c r="AI689" s="82"/>
      <c r="AJ689" s="82"/>
      <c r="AK689" s="82"/>
      <c r="AL689" s="82"/>
      <c r="AM689" s="82"/>
      <c r="AN689" s="82"/>
      <c r="AO689" s="82"/>
      <c r="AP689" s="82"/>
      <c r="AQ689" s="82"/>
      <c r="AR689" s="82"/>
      <c r="AS689" s="82"/>
      <c r="AT689" s="82"/>
      <c r="AU689" s="82"/>
      <c r="AV689" s="82"/>
      <c r="AW689" s="82"/>
      <c r="AX689" s="82"/>
      <c r="AY689" s="82"/>
      <c r="AZ689" s="82"/>
      <c r="BA689" s="82"/>
      <c r="BB689" s="82"/>
      <c r="BC689" s="82"/>
      <c r="BD689" s="82"/>
      <c r="BE689" s="82"/>
      <c r="BF689" s="82"/>
      <c r="BG689" s="82"/>
      <c r="BH689" s="82"/>
      <c r="BI689" s="82"/>
      <c r="BJ689" s="82"/>
      <c r="BK689" s="82"/>
      <c r="BL689" s="82"/>
      <c r="BM689" s="82"/>
      <c r="BN689" s="82"/>
      <c r="BO689" s="82"/>
      <c r="BP689" s="82"/>
      <c r="BQ689" s="63"/>
      <c r="BR689" s="82"/>
      <c r="BS689" s="82"/>
      <c r="BT689" s="82"/>
      <c r="BU689" s="4"/>
    </row>
    <row r="690" spans="1:73" ht="12.75" x14ac:dyDescent="0.2">
      <c r="A690" s="1"/>
      <c r="B690" s="85"/>
      <c r="C690" s="85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4"/>
      <c r="O690" s="82"/>
      <c r="P690" s="82"/>
      <c r="Q690" s="82"/>
      <c r="R690" s="63"/>
      <c r="S690" s="63"/>
      <c r="T690" s="63"/>
      <c r="U690" s="63"/>
      <c r="V690" s="63"/>
      <c r="W690" s="63"/>
      <c r="X690" s="63"/>
      <c r="Y690" s="82"/>
      <c r="Z690" s="82"/>
      <c r="AA690" s="82"/>
      <c r="AB690" s="82"/>
      <c r="AC690" s="82"/>
      <c r="AD690" s="82"/>
      <c r="AE690" s="82"/>
      <c r="AF690" s="63" t="str">
        <f t="shared" si="2"/>
        <v/>
      </c>
      <c r="AG690" s="82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  <c r="AR690" s="82"/>
      <c r="AS690" s="82"/>
      <c r="AT690" s="82"/>
      <c r="AU690" s="82"/>
      <c r="AV690" s="82"/>
      <c r="AW690" s="82"/>
      <c r="AX690" s="82"/>
      <c r="AY690" s="82"/>
      <c r="AZ690" s="82"/>
      <c r="BA690" s="82"/>
      <c r="BB690" s="82"/>
      <c r="BC690" s="82"/>
      <c r="BD690" s="82"/>
      <c r="BE690" s="82"/>
      <c r="BF690" s="82"/>
      <c r="BG690" s="82"/>
      <c r="BH690" s="82"/>
      <c r="BI690" s="82"/>
      <c r="BJ690" s="82"/>
      <c r="BK690" s="82"/>
      <c r="BL690" s="82"/>
      <c r="BM690" s="82"/>
      <c r="BN690" s="82"/>
      <c r="BO690" s="82"/>
      <c r="BP690" s="82"/>
      <c r="BQ690" s="63"/>
      <c r="BR690" s="82"/>
      <c r="BS690" s="82"/>
      <c r="BT690" s="82"/>
      <c r="BU690" s="4"/>
    </row>
    <row r="691" spans="1:73" ht="12.75" x14ac:dyDescent="0.2">
      <c r="A691" s="1"/>
      <c r="B691" s="85"/>
      <c r="C691" s="85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4"/>
      <c r="O691" s="82"/>
      <c r="P691" s="82"/>
      <c r="Q691" s="82"/>
      <c r="R691" s="63"/>
      <c r="S691" s="63"/>
      <c r="T691" s="63"/>
      <c r="U691" s="63"/>
      <c r="V691" s="63"/>
      <c r="W691" s="63"/>
      <c r="X691" s="63"/>
      <c r="Y691" s="82"/>
      <c r="Z691" s="82"/>
      <c r="AA691" s="82"/>
      <c r="AB691" s="82"/>
      <c r="AC691" s="82"/>
      <c r="AD691" s="82"/>
      <c r="AE691" s="82"/>
      <c r="AF691" s="63" t="str">
        <f t="shared" si="2"/>
        <v/>
      </c>
      <c r="AG691" s="82"/>
      <c r="AH691" s="82"/>
      <c r="AI691" s="82"/>
      <c r="AJ691" s="82"/>
      <c r="AK691" s="82"/>
      <c r="AL691" s="82"/>
      <c r="AM691" s="82"/>
      <c r="AN691" s="82"/>
      <c r="AO691" s="82"/>
      <c r="AP691" s="82"/>
      <c r="AQ691" s="82"/>
      <c r="AR691" s="82"/>
      <c r="AS691" s="82"/>
      <c r="AT691" s="82"/>
      <c r="AU691" s="82"/>
      <c r="AV691" s="82"/>
      <c r="AW691" s="82"/>
      <c r="AX691" s="82"/>
      <c r="AY691" s="82"/>
      <c r="AZ691" s="82"/>
      <c r="BA691" s="82"/>
      <c r="BB691" s="82"/>
      <c r="BC691" s="82"/>
      <c r="BD691" s="82"/>
      <c r="BE691" s="82"/>
      <c r="BF691" s="82"/>
      <c r="BG691" s="82"/>
      <c r="BH691" s="82"/>
      <c r="BI691" s="82"/>
      <c r="BJ691" s="82"/>
      <c r="BK691" s="82"/>
      <c r="BL691" s="82"/>
      <c r="BM691" s="82"/>
      <c r="BN691" s="82"/>
      <c r="BO691" s="82"/>
      <c r="BP691" s="82"/>
      <c r="BQ691" s="63"/>
      <c r="BR691" s="82"/>
      <c r="BS691" s="82"/>
      <c r="BT691" s="82"/>
      <c r="BU691" s="4"/>
    </row>
    <row r="692" spans="1:73" ht="12.75" x14ac:dyDescent="0.2">
      <c r="A692" s="1"/>
      <c r="B692" s="85"/>
      <c r="C692" s="85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4"/>
      <c r="O692" s="82"/>
      <c r="P692" s="82"/>
      <c r="Q692" s="82"/>
      <c r="R692" s="63"/>
      <c r="S692" s="63"/>
      <c r="T692" s="63"/>
      <c r="U692" s="63"/>
      <c r="V692" s="63"/>
      <c r="W692" s="63"/>
      <c r="X692" s="63"/>
      <c r="Y692" s="82"/>
      <c r="Z692" s="82"/>
      <c r="AA692" s="82"/>
      <c r="AB692" s="82"/>
      <c r="AC692" s="82"/>
      <c r="AD692" s="82"/>
      <c r="AE692" s="82"/>
      <c r="AF692" s="63" t="str">
        <f t="shared" si="2"/>
        <v/>
      </c>
      <c r="AG692" s="82"/>
      <c r="AH692" s="82"/>
      <c r="AI692" s="82"/>
      <c r="AJ692" s="82"/>
      <c r="AK692" s="82"/>
      <c r="AL692" s="82"/>
      <c r="AM692" s="82"/>
      <c r="AN692" s="82"/>
      <c r="AO692" s="82"/>
      <c r="AP692" s="82"/>
      <c r="AQ692" s="82"/>
      <c r="AR692" s="82"/>
      <c r="AS692" s="82"/>
      <c r="AT692" s="82"/>
      <c r="AU692" s="82"/>
      <c r="AV692" s="82"/>
      <c r="AW692" s="82"/>
      <c r="AX692" s="82"/>
      <c r="AY692" s="82"/>
      <c r="AZ692" s="82"/>
      <c r="BA692" s="82"/>
      <c r="BB692" s="82"/>
      <c r="BC692" s="82"/>
      <c r="BD692" s="82"/>
      <c r="BE692" s="82"/>
      <c r="BF692" s="82"/>
      <c r="BG692" s="82"/>
      <c r="BH692" s="82"/>
      <c r="BI692" s="82"/>
      <c r="BJ692" s="82"/>
      <c r="BK692" s="82"/>
      <c r="BL692" s="82"/>
      <c r="BM692" s="82"/>
      <c r="BN692" s="82"/>
      <c r="BO692" s="82"/>
      <c r="BP692" s="82"/>
      <c r="BQ692" s="63"/>
      <c r="BR692" s="82"/>
      <c r="BS692" s="82"/>
      <c r="BT692" s="82"/>
      <c r="BU692" s="4"/>
    </row>
    <row r="693" spans="1:73" ht="12.75" x14ac:dyDescent="0.2">
      <c r="A693" s="1"/>
      <c r="B693" s="85"/>
      <c r="C693" s="85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4"/>
      <c r="O693" s="82"/>
      <c r="P693" s="82"/>
      <c r="Q693" s="82"/>
      <c r="R693" s="63"/>
      <c r="S693" s="63"/>
      <c r="T693" s="63"/>
      <c r="U693" s="63"/>
      <c r="V693" s="63"/>
      <c r="W693" s="63"/>
      <c r="X693" s="63"/>
      <c r="Y693" s="82"/>
      <c r="Z693" s="82"/>
      <c r="AA693" s="82"/>
      <c r="AB693" s="82"/>
      <c r="AC693" s="82"/>
      <c r="AD693" s="82"/>
      <c r="AE693" s="82"/>
      <c r="AF693" s="63" t="str">
        <f t="shared" si="2"/>
        <v/>
      </c>
      <c r="AG693" s="82"/>
      <c r="AH693" s="82"/>
      <c r="AI693" s="82"/>
      <c r="AJ693" s="82"/>
      <c r="AK693" s="82"/>
      <c r="AL693" s="82"/>
      <c r="AM693" s="82"/>
      <c r="AN693" s="82"/>
      <c r="AO693" s="82"/>
      <c r="AP693" s="82"/>
      <c r="AQ693" s="82"/>
      <c r="AR693" s="82"/>
      <c r="AS693" s="82"/>
      <c r="AT693" s="82"/>
      <c r="AU693" s="82"/>
      <c r="AV693" s="82"/>
      <c r="AW693" s="82"/>
      <c r="AX693" s="82"/>
      <c r="AY693" s="82"/>
      <c r="AZ693" s="82"/>
      <c r="BA693" s="82"/>
      <c r="BB693" s="82"/>
      <c r="BC693" s="82"/>
      <c r="BD693" s="82"/>
      <c r="BE693" s="82"/>
      <c r="BF693" s="82"/>
      <c r="BG693" s="82"/>
      <c r="BH693" s="82"/>
      <c r="BI693" s="82"/>
      <c r="BJ693" s="82"/>
      <c r="BK693" s="82"/>
      <c r="BL693" s="82"/>
      <c r="BM693" s="82"/>
      <c r="BN693" s="82"/>
      <c r="BO693" s="82"/>
      <c r="BP693" s="82"/>
      <c r="BQ693" s="63"/>
      <c r="BR693" s="82"/>
      <c r="BS693" s="82"/>
      <c r="BT693" s="82"/>
      <c r="BU693" s="4"/>
    </row>
    <row r="694" spans="1:73" ht="12.75" x14ac:dyDescent="0.2">
      <c r="A694" s="1"/>
      <c r="B694" s="85"/>
      <c r="C694" s="85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4"/>
      <c r="O694" s="82"/>
      <c r="P694" s="82"/>
      <c r="Q694" s="82"/>
      <c r="R694" s="63"/>
      <c r="S694" s="63"/>
      <c r="T694" s="63"/>
      <c r="U694" s="63"/>
      <c r="V694" s="63"/>
      <c r="W694" s="63"/>
      <c r="X694" s="63"/>
      <c r="Y694" s="82"/>
      <c r="Z694" s="82"/>
      <c r="AA694" s="82"/>
      <c r="AB694" s="82"/>
      <c r="AC694" s="82"/>
      <c r="AD694" s="82"/>
      <c r="AE694" s="82"/>
      <c r="AF694" s="63" t="str">
        <f t="shared" si="2"/>
        <v/>
      </c>
      <c r="AG694" s="82"/>
      <c r="AH694" s="82"/>
      <c r="AI694" s="82"/>
      <c r="AJ694" s="82"/>
      <c r="AK694" s="82"/>
      <c r="AL694" s="82"/>
      <c r="AM694" s="82"/>
      <c r="AN694" s="82"/>
      <c r="AO694" s="82"/>
      <c r="AP694" s="82"/>
      <c r="AQ694" s="82"/>
      <c r="AR694" s="82"/>
      <c r="AS694" s="82"/>
      <c r="AT694" s="82"/>
      <c r="AU694" s="82"/>
      <c r="AV694" s="82"/>
      <c r="AW694" s="82"/>
      <c r="AX694" s="82"/>
      <c r="AY694" s="82"/>
      <c r="AZ694" s="82"/>
      <c r="BA694" s="82"/>
      <c r="BB694" s="82"/>
      <c r="BC694" s="82"/>
      <c r="BD694" s="82"/>
      <c r="BE694" s="82"/>
      <c r="BF694" s="82"/>
      <c r="BG694" s="82"/>
      <c r="BH694" s="82"/>
      <c r="BI694" s="82"/>
      <c r="BJ694" s="82"/>
      <c r="BK694" s="82"/>
      <c r="BL694" s="82"/>
      <c r="BM694" s="82"/>
      <c r="BN694" s="82"/>
      <c r="BO694" s="82"/>
      <c r="BP694" s="82"/>
      <c r="BQ694" s="63"/>
      <c r="BR694" s="82"/>
      <c r="BS694" s="82"/>
      <c r="BT694" s="82"/>
      <c r="BU694" s="4"/>
    </row>
    <row r="695" spans="1:73" ht="12.75" x14ac:dyDescent="0.2">
      <c r="A695" s="1"/>
      <c r="B695" s="85"/>
      <c r="C695" s="85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4"/>
      <c r="O695" s="82"/>
      <c r="P695" s="82"/>
      <c r="Q695" s="82"/>
      <c r="R695" s="63"/>
      <c r="S695" s="63"/>
      <c r="T695" s="63"/>
      <c r="U695" s="63"/>
      <c r="V695" s="63"/>
      <c r="W695" s="63"/>
      <c r="X695" s="63"/>
      <c r="Y695" s="82"/>
      <c r="Z695" s="82"/>
      <c r="AA695" s="82"/>
      <c r="AB695" s="82"/>
      <c r="AC695" s="82"/>
      <c r="AD695" s="82"/>
      <c r="AE695" s="82"/>
      <c r="AF695" s="63" t="str">
        <f t="shared" si="2"/>
        <v/>
      </c>
      <c r="AG695" s="82"/>
      <c r="AH695" s="82"/>
      <c r="AI695" s="82"/>
      <c r="AJ695" s="82"/>
      <c r="AK695" s="82"/>
      <c r="AL695" s="82"/>
      <c r="AM695" s="82"/>
      <c r="AN695" s="82"/>
      <c r="AO695" s="82"/>
      <c r="AP695" s="82"/>
      <c r="AQ695" s="82"/>
      <c r="AR695" s="82"/>
      <c r="AS695" s="82"/>
      <c r="AT695" s="82"/>
      <c r="AU695" s="82"/>
      <c r="AV695" s="82"/>
      <c r="AW695" s="82"/>
      <c r="AX695" s="82"/>
      <c r="AY695" s="82"/>
      <c r="AZ695" s="82"/>
      <c r="BA695" s="82"/>
      <c r="BB695" s="82"/>
      <c r="BC695" s="82"/>
      <c r="BD695" s="82"/>
      <c r="BE695" s="82"/>
      <c r="BF695" s="82"/>
      <c r="BG695" s="82"/>
      <c r="BH695" s="82"/>
      <c r="BI695" s="82"/>
      <c r="BJ695" s="82"/>
      <c r="BK695" s="82"/>
      <c r="BL695" s="82"/>
      <c r="BM695" s="82"/>
      <c r="BN695" s="82"/>
      <c r="BO695" s="82"/>
      <c r="BP695" s="82"/>
      <c r="BQ695" s="63"/>
      <c r="BR695" s="82"/>
      <c r="BS695" s="82"/>
      <c r="BT695" s="82"/>
      <c r="BU695" s="4"/>
    </row>
    <row r="696" spans="1:73" ht="12.75" x14ac:dyDescent="0.2">
      <c r="A696" s="1"/>
      <c r="B696" s="2"/>
      <c r="C696" s="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84"/>
      <c r="O696" s="4"/>
      <c r="P696" s="4"/>
      <c r="Q696" s="4"/>
      <c r="R696" s="3"/>
      <c r="S696" s="3"/>
      <c r="T696" s="3"/>
      <c r="U696" s="3"/>
      <c r="V696" s="3"/>
      <c r="W696" s="3"/>
      <c r="X696" s="3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3"/>
      <c r="BR696" s="4"/>
      <c r="BS696" s="4"/>
      <c r="BT696" s="4"/>
      <c r="BU696" s="4"/>
    </row>
    <row r="697" spans="1:73" ht="12.75" x14ac:dyDescent="0.2">
      <c r="A697" s="1"/>
      <c r="B697" s="2"/>
      <c r="C697" s="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84"/>
      <c r="O697" s="4"/>
      <c r="P697" s="4"/>
      <c r="Q697" s="4"/>
      <c r="R697" s="3"/>
      <c r="S697" s="3"/>
      <c r="T697" s="3"/>
      <c r="U697" s="3"/>
      <c r="V697" s="3"/>
      <c r="W697" s="3"/>
      <c r="X697" s="3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3"/>
      <c r="BR697" s="4"/>
      <c r="BS697" s="4"/>
      <c r="BT697" s="4"/>
      <c r="BU697" s="4"/>
    </row>
    <row r="698" spans="1:73" ht="12.75" x14ac:dyDescent="0.2">
      <c r="A698" s="1"/>
      <c r="B698" s="2"/>
      <c r="C698" s="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84"/>
      <c r="O698" s="4"/>
      <c r="P698" s="4"/>
      <c r="Q698" s="4"/>
      <c r="R698" s="3"/>
      <c r="S698" s="3"/>
      <c r="T698" s="3"/>
      <c r="U698" s="3"/>
      <c r="V698" s="3"/>
      <c r="W698" s="3"/>
      <c r="X698" s="3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3"/>
      <c r="BR698" s="4"/>
      <c r="BS698" s="4"/>
      <c r="BT698" s="4"/>
      <c r="BU698" s="4"/>
    </row>
    <row r="699" spans="1:73" ht="12.75" x14ac:dyDescent="0.2">
      <c r="A699" s="1"/>
      <c r="B699" s="2"/>
      <c r="C699" s="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84"/>
      <c r="O699" s="4"/>
      <c r="P699" s="4"/>
      <c r="Q699" s="4"/>
      <c r="R699" s="3"/>
      <c r="S699" s="3"/>
      <c r="T699" s="3"/>
      <c r="U699" s="3"/>
      <c r="V699" s="3"/>
      <c r="W699" s="3"/>
      <c r="X699" s="3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3"/>
      <c r="BR699" s="4"/>
      <c r="BS699" s="4"/>
      <c r="BT699" s="4"/>
      <c r="BU699" s="4"/>
    </row>
    <row r="700" spans="1:73" ht="12.75" x14ac:dyDescent="0.2">
      <c r="A700" s="1"/>
      <c r="B700" s="2"/>
      <c r="C700" s="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84"/>
      <c r="O700" s="4"/>
      <c r="P700" s="4"/>
      <c r="Q700" s="4"/>
      <c r="R700" s="3"/>
      <c r="S700" s="3"/>
      <c r="T700" s="3"/>
      <c r="U700" s="3"/>
      <c r="V700" s="3"/>
      <c r="W700" s="3"/>
      <c r="X700" s="3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3"/>
      <c r="BR700" s="4"/>
      <c r="BS700" s="4"/>
      <c r="BT700" s="4"/>
      <c r="BU700" s="4"/>
    </row>
    <row r="701" spans="1:73" ht="12.75" x14ac:dyDescent="0.2">
      <c r="A701" s="1"/>
      <c r="B701" s="2"/>
      <c r="C701" s="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84"/>
      <c r="O701" s="4"/>
      <c r="P701" s="4"/>
      <c r="Q701" s="4"/>
      <c r="R701" s="3"/>
      <c r="S701" s="3"/>
      <c r="T701" s="3"/>
      <c r="U701" s="3"/>
      <c r="V701" s="3"/>
      <c r="W701" s="3"/>
      <c r="X701" s="3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3"/>
      <c r="BR701" s="4"/>
      <c r="BS701" s="4"/>
      <c r="BT701" s="4"/>
      <c r="BU701" s="4"/>
    </row>
    <row r="702" spans="1:73" ht="12.75" x14ac:dyDescent="0.2">
      <c r="A702" s="1"/>
      <c r="B702" s="2"/>
      <c r="C702" s="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84"/>
      <c r="O702" s="4"/>
      <c r="P702" s="4"/>
      <c r="Q702" s="4"/>
      <c r="R702" s="3"/>
      <c r="S702" s="3"/>
      <c r="T702" s="3"/>
      <c r="U702" s="3"/>
      <c r="V702" s="3"/>
      <c r="W702" s="3"/>
      <c r="X702" s="3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3"/>
      <c r="BR702" s="4"/>
      <c r="BS702" s="4"/>
      <c r="BT702" s="4"/>
      <c r="BU702" s="4"/>
    </row>
    <row r="703" spans="1:73" ht="12.75" x14ac:dyDescent="0.2">
      <c r="A703" s="1"/>
      <c r="B703" s="2"/>
      <c r="C703" s="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84"/>
      <c r="O703" s="4"/>
      <c r="P703" s="4"/>
      <c r="Q703" s="4"/>
      <c r="R703" s="3"/>
      <c r="S703" s="3"/>
      <c r="T703" s="3"/>
      <c r="U703" s="3"/>
      <c r="V703" s="3"/>
      <c r="W703" s="3"/>
      <c r="X703" s="3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3"/>
      <c r="BR703" s="4"/>
      <c r="BS703" s="4"/>
      <c r="BT703" s="4"/>
      <c r="BU703" s="4"/>
    </row>
    <row r="704" spans="1:73" ht="12.75" x14ac:dyDescent="0.2">
      <c r="A704" s="1"/>
      <c r="B704" s="2"/>
      <c r="C704" s="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84"/>
      <c r="O704" s="4"/>
      <c r="P704" s="4"/>
      <c r="Q704" s="4"/>
      <c r="R704" s="3"/>
      <c r="S704" s="3"/>
      <c r="T704" s="3"/>
      <c r="U704" s="3"/>
      <c r="V704" s="3"/>
      <c r="W704" s="3"/>
      <c r="X704" s="3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3"/>
      <c r="BR704" s="4"/>
      <c r="BS704" s="4"/>
      <c r="BT704" s="4"/>
      <c r="BU704" s="4"/>
    </row>
    <row r="705" spans="1:73" ht="12.75" x14ac:dyDescent="0.2">
      <c r="A705" s="1"/>
      <c r="B705" s="2"/>
      <c r="C705" s="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84"/>
      <c r="O705" s="4"/>
      <c r="P705" s="4"/>
      <c r="Q705" s="4"/>
      <c r="R705" s="3"/>
      <c r="S705" s="3"/>
      <c r="T705" s="3"/>
      <c r="U705" s="3"/>
      <c r="V705" s="3"/>
      <c r="W705" s="3"/>
      <c r="X705" s="3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3"/>
      <c r="BR705" s="4"/>
      <c r="BS705" s="4"/>
      <c r="BT705" s="4"/>
      <c r="BU705" s="4"/>
    </row>
    <row r="706" spans="1:73" ht="12.75" x14ac:dyDescent="0.2">
      <c r="A706" s="1"/>
      <c r="B706" s="2"/>
      <c r="C706" s="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84"/>
      <c r="O706" s="4"/>
      <c r="P706" s="4"/>
      <c r="Q706" s="4"/>
      <c r="R706" s="3"/>
      <c r="S706" s="3"/>
      <c r="T706" s="3"/>
      <c r="U706" s="3"/>
      <c r="V706" s="3"/>
      <c r="W706" s="3"/>
      <c r="X706" s="3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3"/>
      <c r="BR706" s="4"/>
      <c r="BS706" s="4"/>
      <c r="BT706" s="4"/>
      <c r="BU706" s="4"/>
    </row>
    <row r="707" spans="1:73" ht="12.75" x14ac:dyDescent="0.2">
      <c r="A707" s="1"/>
      <c r="B707" s="2"/>
      <c r="C707" s="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84"/>
      <c r="O707" s="4"/>
      <c r="P707" s="4"/>
      <c r="Q707" s="4"/>
      <c r="R707" s="3"/>
      <c r="S707" s="3"/>
      <c r="T707" s="3"/>
      <c r="U707" s="3"/>
      <c r="V707" s="3"/>
      <c r="W707" s="3"/>
      <c r="X707" s="3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3"/>
      <c r="BR707" s="4"/>
      <c r="BS707" s="4"/>
      <c r="BT707" s="4"/>
      <c r="BU707" s="4"/>
    </row>
    <row r="708" spans="1:73" ht="12.75" x14ac:dyDescent="0.2">
      <c r="A708" s="1"/>
      <c r="B708" s="2"/>
      <c r="C708" s="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84"/>
      <c r="O708" s="4"/>
      <c r="P708" s="4"/>
      <c r="Q708" s="4"/>
      <c r="R708" s="3"/>
      <c r="S708" s="3"/>
      <c r="T708" s="3"/>
      <c r="U708" s="3"/>
      <c r="V708" s="3"/>
      <c r="W708" s="3"/>
      <c r="X708" s="3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3"/>
      <c r="BR708" s="4"/>
      <c r="BS708" s="4"/>
      <c r="BT708" s="4"/>
      <c r="BU708" s="4"/>
    </row>
    <row r="709" spans="1:73" ht="12.75" x14ac:dyDescent="0.2">
      <c r="A709" s="1"/>
      <c r="B709" s="2"/>
      <c r="C709" s="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84"/>
      <c r="O709" s="4"/>
      <c r="P709" s="4"/>
      <c r="Q709" s="4"/>
      <c r="R709" s="3"/>
      <c r="S709" s="3"/>
      <c r="T709" s="3"/>
      <c r="U709" s="3"/>
      <c r="V709" s="3"/>
      <c r="W709" s="3"/>
      <c r="X709" s="3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3"/>
      <c r="BR709" s="4"/>
      <c r="BS709" s="4"/>
      <c r="BT709" s="4"/>
      <c r="BU709" s="4"/>
    </row>
    <row r="710" spans="1:73" ht="12.75" x14ac:dyDescent="0.2">
      <c r="A710" s="1"/>
      <c r="B710" s="2"/>
      <c r="C710" s="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84"/>
      <c r="O710" s="4"/>
      <c r="P710" s="4"/>
      <c r="Q710" s="4"/>
      <c r="R710" s="3"/>
      <c r="S710" s="3"/>
      <c r="T710" s="3"/>
      <c r="U710" s="3"/>
      <c r="V710" s="3"/>
      <c r="W710" s="3"/>
      <c r="X710" s="3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3"/>
      <c r="BR710" s="4"/>
      <c r="BS710" s="4"/>
      <c r="BT710" s="4"/>
      <c r="BU710" s="4"/>
    </row>
    <row r="711" spans="1:73" ht="12.75" x14ac:dyDescent="0.2">
      <c r="A711" s="1"/>
      <c r="B711" s="2"/>
      <c r="C711" s="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84"/>
      <c r="O711" s="4"/>
      <c r="P711" s="4"/>
      <c r="Q711" s="4"/>
      <c r="R711" s="3"/>
      <c r="S711" s="3"/>
      <c r="T711" s="3"/>
      <c r="U711" s="3"/>
      <c r="V711" s="3"/>
      <c r="W711" s="3"/>
      <c r="X711" s="3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3"/>
      <c r="BR711" s="4"/>
      <c r="BS711" s="4"/>
      <c r="BT711" s="4"/>
      <c r="BU711" s="4"/>
    </row>
    <row r="712" spans="1:73" ht="12.75" x14ac:dyDescent="0.2">
      <c r="A712" s="1"/>
      <c r="B712" s="2"/>
      <c r="C712" s="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84"/>
      <c r="O712" s="4"/>
      <c r="P712" s="4"/>
      <c r="Q712" s="4"/>
      <c r="R712" s="3"/>
      <c r="S712" s="3"/>
      <c r="T712" s="3"/>
      <c r="U712" s="3"/>
      <c r="V712" s="3"/>
      <c r="W712" s="3"/>
      <c r="X712" s="3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3"/>
      <c r="BR712" s="4"/>
      <c r="BS712" s="4"/>
      <c r="BT712" s="4"/>
      <c r="BU712" s="4"/>
    </row>
    <row r="713" spans="1:73" ht="12.75" x14ac:dyDescent="0.2">
      <c r="A713" s="1"/>
      <c r="B713" s="2"/>
      <c r="C713" s="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84"/>
      <c r="O713" s="4"/>
      <c r="P713" s="4"/>
      <c r="Q713" s="4"/>
      <c r="R713" s="3"/>
      <c r="S713" s="3"/>
      <c r="T713" s="3"/>
      <c r="U713" s="3"/>
      <c r="V713" s="3"/>
      <c r="W713" s="3"/>
      <c r="X713" s="3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3"/>
      <c r="BR713" s="4"/>
      <c r="BS713" s="4"/>
      <c r="BT713" s="4"/>
      <c r="BU713" s="4"/>
    </row>
    <row r="714" spans="1:73" ht="12.75" x14ac:dyDescent="0.2">
      <c r="A714" s="1"/>
      <c r="B714" s="2"/>
      <c r="C714" s="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84"/>
      <c r="O714" s="4"/>
      <c r="P714" s="4"/>
      <c r="Q714" s="4"/>
      <c r="R714" s="3"/>
      <c r="S714" s="3"/>
      <c r="T714" s="3"/>
      <c r="U714" s="3"/>
      <c r="V714" s="3"/>
      <c r="W714" s="3"/>
      <c r="X714" s="3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3"/>
      <c r="BR714" s="4"/>
      <c r="BS714" s="4"/>
      <c r="BT714" s="4"/>
      <c r="BU714" s="4"/>
    </row>
    <row r="715" spans="1:73" ht="12.75" x14ac:dyDescent="0.2">
      <c r="A715" s="1"/>
      <c r="B715" s="2"/>
      <c r="C715" s="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84"/>
      <c r="O715" s="4"/>
      <c r="P715" s="4"/>
      <c r="Q715" s="4"/>
      <c r="R715" s="3"/>
      <c r="S715" s="3"/>
      <c r="T715" s="3"/>
      <c r="U715" s="3"/>
      <c r="V715" s="3"/>
      <c r="W715" s="3"/>
      <c r="X715" s="3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3"/>
      <c r="BR715" s="4"/>
      <c r="BS715" s="4"/>
      <c r="BT715" s="4"/>
      <c r="BU715" s="4"/>
    </row>
    <row r="716" spans="1:73" ht="12.75" x14ac:dyDescent="0.2">
      <c r="A716" s="1"/>
      <c r="B716" s="2"/>
      <c r="C716" s="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84"/>
      <c r="O716" s="4"/>
      <c r="P716" s="4"/>
      <c r="Q716" s="4"/>
      <c r="R716" s="3"/>
      <c r="S716" s="3"/>
      <c r="T716" s="3"/>
      <c r="U716" s="3"/>
      <c r="V716" s="3"/>
      <c r="W716" s="3"/>
      <c r="X716" s="3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3"/>
      <c r="BR716" s="4"/>
      <c r="BS716" s="4"/>
      <c r="BT716" s="4"/>
      <c r="BU716" s="4"/>
    </row>
    <row r="717" spans="1:73" ht="12.75" x14ac:dyDescent="0.2">
      <c r="A717" s="1"/>
      <c r="B717" s="2"/>
      <c r="C717" s="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84"/>
      <c r="O717" s="4"/>
      <c r="P717" s="4"/>
      <c r="Q717" s="4"/>
      <c r="R717" s="3"/>
      <c r="S717" s="3"/>
      <c r="T717" s="3"/>
      <c r="U717" s="3"/>
      <c r="V717" s="3"/>
      <c r="W717" s="3"/>
      <c r="X717" s="3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3"/>
      <c r="BR717" s="4"/>
      <c r="BS717" s="4"/>
      <c r="BT717" s="4"/>
      <c r="BU717" s="4"/>
    </row>
    <row r="718" spans="1:73" ht="12.75" x14ac:dyDescent="0.2">
      <c r="A718" s="1"/>
      <c r="B718" s="2"/>
      <c r="C718" s="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84"/>
      <c r="O718" s="4"/>
      <c r="P718" s="4"/>
      <c r="Q718" s="4"/>
      <c r="R718" s="3"/>
      <c r="S718" s="3"/>
      <c r="T718" s="3"/>
      <c r="U718" s="3"/>
      <c r="V718" s="3"/>
      <c r="W718" s="3"/>
      <c r="X718" s="3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3"/>
      <c r="BR718" s="4"/>
      <c r="BS718" s="4"/>
      <c r="BT718" s="4"/>
      <c r="BU718" s="4"/>
    </row>
    <row r="719" spans="1:73" ht="12.75" x14ac:dyDescent="0.2">
      <c r="A719" s="1"/>
      <c r="B719" s="2"/>
      <c r="C719" s="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84"/>
      <c r="O719" s="4"/>
      <c r="P719" s="4"/>
      <c r="Q719" s="4"/>
      <c r="R719" s="3"/>
      <c r="S719" s="3"/>
      <c r="T719" s="3"/>
      <c r="U719" s="3"/>
      <c r="V719" s="3"/>
      <c r="W719" s="3"/>
      <c r="X719" s="3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3"/>
      <c r="BR719" s="4"/>
      <c r="BS719" s="4"/>
      <c r="BT719" s="4"/>
      <c r="BU719" s="4"/>
    </row>
    <row r="720" spans="1:73" ht="12.75" x14ac:dyDescent="0.2">
      <c r="A720" s="1"/>
      <c r="B720" s="2"/>
      <c r="C720" s="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84"/>
      <c r="O720" s="4"/>
      <c r="P720" s="4"/>
      <c r="Q720" s="4"/>
      <c r="R720" s="3"/>
      <c r="S720" s="3"/>
      <c r="T720" s="3"/>
      <c r="U720" s="3"/>
      <c r="V720" s="3"/>
      <c r="W720" s="3"/>
      <c r="X720" s="3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3"/>
      <c r="BR720" s="4"/>
      <c r="BS720" s="4"/>
      <c r="BT720" s="4"/>
      <c r="BU720" s="4"/>
    </row>
    <row r="721" spans="1:73" ht="12.75" x14ac:dyDescent="0.2">
      <c r="A721" s="1"/>
      <c r="B721" s="2"/>
      <c r="C721" s="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84"/>
      <c r="O721" s="4"/>
      <c r="P721" s="4"/>
      <c r="Q721" s="4"/>
      <c r="R721" s="3"/>
      <c r="S721" s="3"/>
      <c r="T721" s="3"/>
      <c r="U721" s="3"/>
      <c r="V721" s="3"/>
      <c r="W721" s="3"/>
      <c r="X721" s="3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3"/>
      <c r="BR721" s="4"/>
      <c r="BS721" s="4"/>
      <c r="BT721" s="4"/>
      <c r="BU721" s="4"/>
    </row>
    <row r="722" spans="1:73" ht="12.75" x14ac:dyDescent="0.2">
      <c r="A722" s="1"/>
      <c r="B722" s="2"/>
      <c r="C722" s="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84"/>
      <c r="O722" s="4"/>
      <c r="P722" s="4"/>
      <c r="Q722" s="4"/>
      <c r="R722" s="3"/>
      <c r="S722" s="3"/>
      <c r="T722" s="3"/>
      <c r="U722" s="3"/>
      <c r="V722" s="3"/>
      <c r="W722" s="3"/>
      <c r="X722" s="3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3"/>
      <c r="BR722" s="4"/>
      <c r="BS722" s="4"/>
      <c r="BT722" s="4"/>
      <c r="BU722" s="4"/>
    </row>
    <row r="723" spans="1:73" ht="12.75" x14ac:dyDescent="0.2">
      <c r="A723" s="1"/>
      <c r="B723" s="2"/>
      <c r="C723" s="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84"/>
      <c r="O723" s="4"/>
      <c r="P723" s="4"/>
      <c r="Q723" s="4"/>
      <c r="R723" s="3"/>
      <c r="S723" s="3"/>
      <c r="T723" s="3"/>
      <c r="U723" s="3"/>
      <c r="V723" s="3"/>
      <c r="W723" s="3"/>
      <c r="X723" s="3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3"/>
      <c r="BR723" s="4"/>
      <c r="BS723" s="4"/>
      <c r="BT723" s="4"/>
      <c r="BU723" s="4"/>
    </row>
    <row r="724" spans="1:73" ht="12.75" x14ac:dyDescent="0.2">
      <c r="A724" s="1"/>
      <c r="B724" s="2"/>
      <c r="C724" s="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84"/>
      <c r="O724" s="4"/>
      <c r="P724" s="4"/>
      <c r="Q724" s="4"/>
      <c r="R724" s="3"/>
      <c r="S724" s="3"/>
      <c r="T724" s="3"/>
      <c r="U724" s="3"/>
      <c r="V724" s="3"/>
      <c r="W724" s="3"/>
      <c r="X724" s="3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3"/>
      <c r="BR724" s="4"/>
      <c r="BS724" s="4"/>
      <c r="BT724" s="4"/>
      <c r="BU724" s="4"/>
    </row>
    <row r="725" spans="1:73" ht="12.75" x14ac:dyDescent="0.2">
      <c r="A725" s="1"/>
      <c r="B725" s="2"/>
      <c r="C725" s="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84"/>
      <c r="O725" s="4"/>
      <c r="P725" s="4"/>
      <c r="Q725" s="4"/>
      <c r="R725" s="3"/>
      <c r="S725" s="3"/>
      <c r="T725" s="3"/>
      <c r="U725" s="3"/>
      <c r="V725" s="3"/>
      <c r="W725" s="3"/>
      <c r="X725" s="3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3"/>
      <c r="BR725" s="4"/>
      <c r="BS725" s="4"/>
      <c r="BT725" s="4"/>
      <c r="BU725" s="4"/>
    </row>
    <row r="726" spans="1:73" ht="12.75" x14ac:dyDescent="0.2">
      <c r="A726" s="1"/>
      <c r="B726" s="2"/>
      <c r="C726" s="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84"/>
      <c r="O726" s="4"/>
      <c r="P726" s="4"/>
      <c r="Q726" s="4"/>
      <c r="R726" s="3"/>
      <c r="S726" s="3"/>
      <c r="T726" s="3"/>
      <c r="U726" s="3"/>
      <c r="V726" s="3"/>
      <c r="W726" s="3"/>
      <c r="X726" s="3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3"/>
      <c r="BR726" s="4"/>
      <c r="BS726" s="4"/>
      <c r="BT726" s="4"/>
      <c r="BU726" s="4"/>
    </row>
    <row r="727" spans="1:73" ht="12.75" x14ac:dyDescent="0.2">
      <c r="A727" s="1"/>
      <c r="B727" s="2"/>
      <c r="C727" s="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84"/>
      <c r="O727" s="4"/>
      <c r="P727" s="4"/>
      <c r="Q727" s="4"/>
      <c r="R727" s="3"/>
      <c r="S727" s="3"/>
      <c r="T727" s="3"/>
      <c r="U727" s="3"/>
      <c r="V727" s="3"/>
      <c r="W727" s="3"/>
      <c r="X727" s="3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3"/>
      <c r="BR727" s="4"/>
      <c r="BS727" s="4"/>
      <c r="BT727" s="4"/>
      <c r="BU727" s="4"/>
    </row>
    <row r="728" spans="1:73" ht="12.75" x14ac:dyDescent="0.2">
      <c r="A728" s="1"/>
      <c r="B728" s="2"/>
      <c r="C728" s="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84"/>
      <c r="O728" s="4"/>
      <c r="P728" s="4"/>
      <c r="Q728" s="4"/>
      <c r="R728" s="3"/>
      <c r="S728" s="3"/>
      <c r="T728" s="3"/>
      <c r="U728" s="3"/>
      <c r="V728" s="3"/>
      <c r="W728" s="3"/>
      <c r="X728" s="3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3"/>
      <c r="BR728" s="4"/>
      <c r="BS728" s="4"/>
      <c r="BT728" s="4"/>
      <c r="BU728" s="4"/>
    </row>
    <row r="729" spans="1:73" ht="12.75" x14ac:dyDescent="0.2">
      <c r="A729" s="1"/>
      <c r="B729" s="2"/>
      <c r="C729" s="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84"/>
      <c r="O729" s="4"/>
      <c r="P729" s="4"/>
      <c r="Q729" s="4"/>
      <c r="R729" s="3"/>
      <c r="S729" s="3"/>
      <c r="T729" s="3"/>
      <c r="U729" s="3"/>
      <c r="V729" s="3"/>
      <c r="W729" s="3"/>
      <c r="X729" s="3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3"/>
      <c r="BR729" s="4"/>
      <c r="BS729" s="4"/>
      <c r="BT729" s="4"/>
      <c r="BU729" s="4"/>
    </row>
    <row r="730" spans="1:73" ht="12.75" x14ac:dyDescent="0.2">
      <c r="A730" s="1"/>
      <c r="B730" s="2"/>
      <c r="C730" s="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84"/>
      <c r="O730" s="4"/>
      <c r="P730" s="4"/>
      <c r="Q730" s="4"/>
      <c r="R730" s="3"/>
      <c r="S730" s="3"/>
      <c r="T730" s="3"/>
      <c r="U730" s="3"/>
      <c r="V730" s="3"/>
      <c r="W730" s="3"/>
      <c r="X730" s="3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3"/>
      <c r="BR730" s="4"/>
      <c r="BS730" s="4"/>
      <c r="BT730" s="4"/>
      <c r="BU730" s="4"/>
    </row>
    <row r="731" spans="1:73" ht="12.75" x14ac:dyDescent="0.2">
      <c r="A731" s="1"/>
      <c r="B731" s="2"/>
      <c r="C731" s="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84"/>
      <c r="O731" s="4"/>
      <c r="P731" s="4"/>
      <c r="Q731" s="4"/>
      <c r="R731" s="3"/>
      <c r="S731" s="3"/>
      <c r="T731" s="3"/>
      <c r="U731" s="3"/>
      <c r="V731" s="3"/>
      <c r="W731" s="3"/>
      <c r="X731" s="3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3"/>
      <c r="BR731" s="4"/>
      <c r="BS731" s="4"/>
      <c r="BT731" s="4"/>
      <c r="BU731" s="4"/>
    </row>
    <row r="732" spans="1:73" ht="12.75" x14ac:dyDescent="0.2">
      <c r="A732" s="1"/>
      <c r="B732" s="2"/>
      <c r="C732" s="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84"/>
      <c r="O732" s="4"/>
      <c r="P732" s="4"/>
      <c r="Q732" s="4"/>
      <c r="R732" s="3"/>
      <c r="S732" s="3"/>
      <c r="T732" s="3"/>
      <c r="U732" s="3"/>
      <c r="V732" s="3"/>
      <c r="W732" s="3"/>
      <c r="X732" s="3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3"/>
      <c r="BR732" s="4"/>
      <c r="BS732" s="4"/>
      <c r="BT732" s="4"/>
      <c r="BU732" s="4"/>
    </row>
    <row r="733" spans="1:73" ht="12.75" x14ac:dyDescent="0.2">
      <c r="A733" s="1"/>
      <c r="B733" s="2"/>
      <c r="C733" s="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84"/>
      <c r="O733" s="4"/>
      <c r="P733" s="4"/>
      <c r="Q733" s="4"/>
      <c r="R733" s="3"/>
      <c r="S733" s="3"/>
      <c r="T733" s="3"/>
      <c r="U733" s="3"/>
      <c r="V733" s="3"/>
      <c r="W733" s="3"/>
      <c r="X733" s="3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3"/>
      <c r="BR733" s="4"/>
      <c r="BS733" s="4"/>
      <c r="BT733" s="4"/>
      <c r="BU733" s="4"/>
    </row>
    <row r="734" spans="1:73" ht="12.75" x14ac:dyDescent="0.2">
      <c r="A734" s="1"/>
      <c r="B734" s="2"/>
      <c r="C734" s="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84"/>
      <c r="O734" s="4"/>
      <c r="P734" s="4"/>
      <c r="Q734" s="4"/>
      <c r="R734" s="3"/>
      <c r="S734" s="3"/>
      <c r="T734" s="3"/>
      <c r="U734" s="3"/>
      <c r="V734" s="3"/>
      <c r="W734" s="3"/>
      <c r="X734" s="3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3"/>
      <c r="BR734" s="4"/>
      <c r="BS734" s="4"/>
      <c r="BT734" s="4"/>
      <c r="BU734" s="4"/>
    </row>
    <row r="735" spans="1:73" ht="12.75" x14ac:dyDescent="0.2">
      <c r="A735" s="1"/>
      <c r="B735" s="2"/>
      <c r="C735" s="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84"/>
      <c r="O735" s="4"/>
      <c r="P735" s="4"/>
      <c r="Q735" s="4"/>
      <c r="R735" s="3"/>
      <c r="S735" s="3"/>
      <c r="T735" s="3"/>
      <c r="U735" s="3"/>
      <c r="V735" s="3"/>
      <c r="W735" s="3"/>
      <c r="X735" s="3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3"/>
      <c r="BR735" s="4"/>
      <c r="BS735" s="4"/>
      <c r="BT735" s="4"/>
      <c r="BU735" s="4"/>
    </row>
    <row r="736" spans="1:73" ht="12.75" x14ac:dyDescent="0.2">
      <c r="A736" s="1"/>
      <c r="B736" s="2"/>
      <c r="C736" s="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84"/>
      <c r="O736" s="4"/>
      <c r="P736" s="4"/>
      <c r="Q736" s="4"/>
      <c r="R736" s="3"/>
      <c r="S736" s="3"/>
      <c r="T736" s="3"/>
      <c r="U736" s="3"/>
      <c r="V736" s="3"/>
      <c r="W736" s="3"/>
      <c r="X736" s="3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3"/>
      <c r="BR736" s="4"/>
      <c r="BS736" s="4"/>
      <c r="BT736" s="4"/>
      <c r="BU736" s="4"/>
    </row>
    <row r="737" spans="1:73" ht="12.75" x14ac:dyDescent="0.2">
      <c r="A737" s="1"/>
      <c r="B737" s="2"/>
      <c r="C737" s="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84"/>
      <c r="O737" s="4"/>
      <c r="P737" s="4"/>
      <c r="Q737" s="4"/>
      <c r="R737" s="3"/>
      <c r="S737" s="3"/>
      <c r="T737" s="3"/>
      <c r="U737" s="3"/>
      <c r="V737" s="3"/>
      <c r="W737" s="3"/>
      <c r="X737" s="3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3"/>
      <c r="BR737" s="4"/>
      <c r="BS737" s="4"/>
      <c r="BT737" s="4"/>
      <c r="BU737" s="4"/>
    </row>
    <row r="738" spans="1:73" ht="12.75" x14ac:dyDescent="0.2">
      <c r="A738" s="1"/>
      <c r="B738" s="2"/>
      <c r="C738" s="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84"/>
      <c r="O738" s="4"/>
      <c r="P738" s="4"/>
      <c r="Q738" s="4"/>
      <c r="R738" s="3"/>
      <c r="S738" s="3"/>
      <c r="T738" s="3"/>
      <c r="U738" s="3"/>
      <c r="V738" s="3"/>
      <c r="W738" s="3"/>
      <c r="X738" s="3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3"/>
      <c r="BR738" s="4"/>
      <c r="BS738" s="4"/>
      <c r="BT738" s="4"/>
      <c r="BU738" s="4"/>
    </row>
    <row r="739" spans="1:73" ht="12.75" x14ac:dyDescent="0.2">
      <c r="A739" s="1"/>
      <c r="B739" s="2"/>
      <c r="C739" s="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84"/>
      <c r="O739" s="4"/>
      <c r="P739" s="4"/>
      <c r="Q739" s="4"/>
      <c r="R739" s="3"/>
      <c r="S739" s="3"/>
      <c r="T739" s="3"/>
      <c r="U739" s="3"/>
      <c r="V739" s="3"/>
      <c r="W739" s="3"/>
      <c r="X739" s="3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3"/>
      <c r="BR739" s="4"/>
      <c r="BS739" s="4"/>
      <c r="BT739" s="4"/>
      <c r="BU739" s="4"/>
    </row>
    <row r="740" spans="1:73" ht="12.75" x14ac:dyDescent="0.2">
      <c r="A740" s="1"/>
      <c r="B740" s="2"/>
      <c r="C740" s="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84"/>
      <c r="O740" s="4"/>
      <c r="P740" s="4"/>
      <c r="Q740" s="4"/>
      <c r="R740" s="3"/>
      <c r="S740" s="3"/>
      <c r="T740" s="3"/>
      <c r="U740" s="3"/>
      <c r="V740" s="3"/>
      <c r="W740" s="3"/>
      <c r="X740" s="3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3"/>
      <c r="BR740" s="4"/>
      <c r="BS740" s="4"/>
      <c r="BT740" s="4"/>
      <c r="BU740" s="4"/>
    </row>
    <row r="741" spans="1:73" ht="12.75" x14ac:dyDescent="0.2">
      <c r="A741" s="1"/>
      <c r="B741" s="2"/>
      <c r="C741" s="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84"/>
      <c r="O741" s="4"/>
      <c r="P741" s="4"/>
      <c r="Q741" s="4"/>
      <c r="R741" s="3"/>
      <c r="S741" s="3"/>
      <c r="T741" s="3"/>
      <c r="U741" s="3"/>
      <c r="V741" s="3"/>
      <c r="W741" s="3"/>
      <c r="X741" s="3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3"/>
      <c r="BR741" s="4"/>
      <c r="BS741" s="4"/>
      <c r="BT741" s="4"/>
      <c r="BU741" s="4"/>
    </row>
    <row r="742" spans="1:73" ht="12.75" x14ac:dyDescent="0.2">
      <c r="A742" s="1"/>
      <c r="B742" s="2"/>
      <c r="C742" s="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84"/>
      <c r="O742" s="4"/>
      <c r="P742" s="4"/>
      <c r="Q742" s="4"/>
      <c r="R742" s="3"/>
      <c r="S742" s="3"/>
      <c r="T742" s="3"/>
      <c r="U742" s="3"/>
      <c r="V742" s="3"/>
      <c r="W742" s="3"/>
      <c r="X742" s="3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3"/>
      <c r="BR742" s="4"/>
      <c r="BS742" s="4"/>
      <c r="BT742" s="4"/>
      <c r="BU742" s="4"/>
    </row>
    <row r="743" spans="1:73" ht="12.75" x14ac:dyDescent="0.2">
      <c r="A743" s="1"/>
      <c r="B743" s="2"/>
      <c r="C743" s="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84"/>
      <c r="O743" s="4"/>
      <c r="P743" s="4"/>
      <c r="Q743" s="4"/>
      <c r="R743" s="3"/>
      <c r="S743" s="3"/>
      <c r="T743" s="3"/>
      <c r="U743" s="3"/>
      <c r="V743" s="3"/>
      <c r="W743" s="3"/>
      <c r="X743" s="3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3"/>
      <c r="BR743" s="4"/>
      <c r="BS743" s="4"/>
      <c r="BT743" s="4"/>
      <c r="BU743" s="4"/>
    </row>
    <row r="744" spans="1:73" ht="12.75" x14ac:dyDescent="0.2">
      <c r="A744" s="1"/>
      <c r="B744" s="2"/>
      <c r="C744" s="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84"/>
      <c r="O744" s="4"/>
      <c r="P744" s="4"/>
      <c r="Q744" s="4"/>
      <c r="R744" s="3"/>
      <c r="S744" s="3"/>
      <c r="T744" s="3"/>
      <c r="U744" s="3"/>
      <c r="V744" s="3"/>
      <c r="W744" s="3"/>
      <c r="X744" s="3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3"/>
      <c r="BR744" s="4"/>
      <c r="BS744" s="4"/>
      <c r="BT744" s="4"/>
      <c r="BU744" s="4"/>
    </row>
    <row r="745" spans="1:73" ht="12.75" x14ac:dyDescent="0.2">
      <c r="A745" s="1"/>
      <c r="B745" s="2"/>
      <c r="C745" s="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84"/>
      <c r="O745" s="4"/>
      <c r="P745" s="4"/>
      <c r="Q745" s="4"/>
      <c r="R745" s="3"/>
      <c r="S745" s="3"/>
      <c r="T745" s="3"/>
      <c r="U745" s="3"/>
      <c r="V745" s="3"/>
      <c r="W745" s="3"/>
      <c r="X745" s="3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3"/>
      <c r="BR745" s="4"/>
      <c r="BS745" s="4"/>
      <c r="BT745" s="4"/>
      <c r="BU745" s="4"/>
    </row>
    <row r="746" spans="1:73" ht="12.75" x14ac:dyDescent="0.2">
      <c r="A746" s="1"/>
      <c r="B746" s="2"/>
      <c r="C746" s="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84"/>
      <c r="O746" s="4"/>
      <c r="P746" s="4"/>
      <c r="Q746" s="4"/>
      <c r="R746" s="3"/>
      <c r="S746" s="3"/>
      <c r="T746" s="3"/>
      <c r="U746" s="3"/>
      <c r="V746" s="3"/>
      <c r="W746" s="3"/>
      <c r="X746" s="3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3"/>
      <c r="BR746" s="4"/>
      <c r="BS746" s="4"/>
      <c r="BT746" s="4"/>
      <c r="BU746" s="4"/>
    </row>
    <row r="747" spans="1:73" ht="12.75" x14ac:dyDescent="0.2">
      <c r="A747" s="1"/>
      <c r="B747" s="2"/>
      <c r="C747" s="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84"/>
      <c r="O747" s="4"/>
      <c r="P747" s="4"/>
      <c r="Q747" s="4"/>
      <c r="R747" s="3"/>
      <c r="S747" s="3"/>
      <c r="T747" s="3"/>
      <c r="U747" s="3"/>
      <c r="V747" s="3"/>
      <c r="W747" s="3"/>
      <c r="X747" s="3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3"/>
      <c r="BR747" s="4"/>
      <c r="BS747" s="4"/>
      <c r="BT747" s="4"/>
      <c r="BU747" s="4"/>
    </row>
    <row r="748" spans="1:73" ht="12.75" x14ac:dyDescent="0.2">
      <c r="A748" s="1"/>
      <c r="B748" s="2"/>
      <c r="C748" s="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84"/>
      <c r="O748" s="4"/>
      <c r="P748" s="4"/>
      <c r="Q748" s="4"/>
      <c r="R748" s="3"/>
      <c r="S748" s="3"/>
      <c r="T748" s="3"/>
      <c r="U748" s="3"/>
      <c r="V748" s="3"/>
      <c r="W748" s="3"/>
      <c r="X748" s="3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3"/>
      <c r="BR748" s="4"/>
      <c r="BS748" s="4"/>
      <c r="BT748" s="4"/>
      <c r="BU748" s="4"/>
    </row>
    <row r="749" spans="1:73" ht="12.75" x14ac:dyDescent="0.2">
      <c r="A749" s="1"/>
      <c r="B749" s="2"/>
      <c r="C749" s="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84"/>
      <c r="O749" s="4"/>
      <c r="P749" s="4"/>
      <c r="Q749" s="4"/>
      <c r="R749" s="3"/>
      <c r="S749" s="3"/>
      <c r="T749" s="3"/>
      <c r="U749" s="3"/>
      <c r="V749" s="3"/>
      <c r="W749" s="3"/>
      <c r="X749" s="3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3"/>
      <c r="BR749" s="4"/>
      <c r="BS749" s="4"/>
      <c r="BT749" s="4"/>
      <c r="BU749" s="4"/>
    </row>
    <row r="750" spans="1:73" ht="12.75" x14ac:dyDescent="0.2">
      <c r="A750" s="1"/>
      <c r="B750" s="2"/>
      <c r="C750" s="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84"/>
      <c r="O750" s="4"/>
      <c r="P750" s="4"/>
      <c r="Q750" s="4"/>
      <c r="R750" s="3"/>
      <c r="S750" s="3"/>
      <c r="T750" s="3"/>
      <c r="U750" s="3"/>
      <c r="V750" s="3"/>
      <c r="W750" s="3"/>
      <c r="X750" s="3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3"/>
      <c r="BR750" s="4"/>
      <c r="BS750" s="4"/>
      <c r="BT750" s="4"/>
      <c r="BU750" s="4"/>
    </row>
    <row r="751" spans="1:73" ht="12.75" x14ac:dyDescent="0.2">
      <c r="A751" s="1"/>
      <c r="B751" s="2"/>
      <c r="C751" s="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84"/>
      <c r="O751" s="4"/>
      <c r="P751" s="4"/>
      <c r="Q751" s="4"/>
      <c r="R751" s="3"/>
      <c r="S751" s="3"/>
      <c r="T751" s="3"/>
      <c r="U751" s="3"/>
      <c r="V751" s="3"/>
      <c r="W751" s="3"/>
      <c r="X751" s="3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3"/>
      <c r="BR751" s="4"/>
      <c r="BS751" s="4"/>
      <c r="BT751" s="4"/>
      <c r="BU751" s="4"/>
    </row>
    <row r="752" spans="1:73" ht="12.75" x14ac:dyDescent="0.2">
      <c r="A752" s="1"/>
      <c r="B752" s="2"/>
      <c r="C752" s="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84"/>
      <c r="O752" s="4"/>
      <c r="P752" s="4"/>
      <c r="Q752" s="4"/>
      <c r="R752" s="3"/>
      <c r="S752" s="3"/>
      <c r="T752" s="3"/>
      <c r="U752" s="3"/>
      <c r="V752" s="3"/>
      <c r="W752" s="3"/>
      <c r="X752" s="3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3"/>
      <c r="BR752" s="4"/>
      <c r="BS752" s="4"/>
      <c r="BT752" s="4"/>
      <c r="BU752" s="4"/>
    </row>
    <row r="753" spans="1:73" ht="12.75" x14ac:dyDescent="0.2">
      <c r="A753" s="1"/>
      <c r="B753" s="2"/>
      <c r="C753" s="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84"/>
      <c r="O753" s="4"/>
      <c r="P753" s="4"/>
      <c r="Q753" s="4"/>
      <c r="R753" s="3"/>
      <c r="S753" s="3"/>
      <c r="T753" s="3"/>
      <c r="U753" s="3"/>
      <c r="V753" s="3"/>
      <c r="W753" s="3"/>
      <c r="X753" s="3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3"/>
      <c r="BR753" s="4"/>
      <c r="BS753" s="4"/>
      <c r="BT753" s="4"/>
      <c r="BU753" s="4"/>
    </row>
    <row r="754" spans="1:73" ht="12.75" x14ac:dyDescent="0.2">
      <c r="A754" s="1"/>
      <c r="B754" s="2"/>
      <c r="C754" s="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84"/>
      <c r="O754" s="4"/>
      <c r="P754" s="4"/>
      <c r="Q754" s="4"/>
      <c r="R754" s="3"/>
      <c r="S754" s="3"/>
      <c r="T754" s="3"/>
      <c r="U754" s="3"/>
      <c r="V754" s="3"/>
      <c r="W754" s="3"/>
      <c r="X754" s="3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3"/>
      <c r="BR754" s="4"/>
      <c r="BS754" s="4"/>
      <c r="BT754" s="4"/>
      <c r="BU754" s="4"/>
    </row>
    <row r="755" spans="1:73" ht="12.75" x14ac:dyDescent="0.2">
      <c r="A755" s="1"/>
      <c r="B755" s="2"/>
      <c r="C755" s="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84"/>
      <c r="O755" s="4"/>
      <c r="P755" s="4"/>
      <c r="Q755" s="4"/>
      <c r="R755" s="3"/>
      <c r="S755" s="3"/>
      <c r="T755" s="3"/>
      <c r="U755" s="3"/>
      <c r="V755" s="3"/>
      <c r="W755" s="3"/>
      <c r="X755" s="3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3"/>
      <c r="BR755" s="4"/>
      <c r="BS755" s="4"/>
      <c r="BT755" s="4"/>
      <c r="BU755" s="4"/>
    </row>
    <row r="756" spans="1:73" ht="12.75" x14ac:dyDescent="0.2">
      <c r="A756" s="1"/>
      <c r="B756" s="2"/>
      <c r="C756" s="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84"/>
      <c r="O756" s="4"/>
      <c r="P756" s="4"/>
      <c r="Q756" s="4"/>
      <c r="R756" s="3"/>
      <c r="S756" s="3"/>
      <c r="T756" s="3"/>
      <c r="U756" s="3"/>
      <c r="V756" s="3"/>
      <c r="W756" s="3"/>
      <c r="X756" s="3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3"/>
      <c r="BR756" s="4"/>
      <c r="BS756" s="4"/>
      <c r="BT756" s="4"/>
      <c r="BU756" s="4"/>
    </row>
    <row r="757" spans="1:73" ht="12.75" x14ac:dyDescent="0.2">
      <c r="A757" s="1"/>
      <c r="B757" s="2"/>
      <c r="C757" s="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84"/>
      <c r="O757" s="4"/>
      <c r="P757" s="4"/>
      <c r="Q757" s="4"/>
      <c r="R757" s="3"/>
      <c r="S757" s="3"/>
      <c r="T757" s="3"/>
      <c r="U757" s="3"/>
      <c r="V757" s="3"/>
      <c r="W757" s="3"/>
      <c r="X757" s="3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3"/>
      <c r="BR757" s="4"/>
      <c r="BS757" s="4"/>
      <c r="BT757" s="4"/>
      <c r="BU757" s="4"/>
    </row>
    <row r="758" spans="1:73" ht="12.75" x14ac:dyDescent="0.2">
      <c r="A758" s="1"/>
      <c r="B758" s="2"/>
      <c r="C758" s="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84"/>
      <c r="O758" s="4"/>
      <c r="P758" s="4"/>
      <c r="Q758" s="4"/>
      <c r="R758" s="3"/>
      <c r="S758" s="3"/>
      <c r="T758" s="3"/>
      <c r="U758" s="3"/>
      <c r="V758" s="3"/>
      <c r="W758" s="3"/>
      <c r="X758" s="3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3"/>
      <c r="BR758" s="4"/>
      <c r="BS758" s="4"/>
      <c r="BT758" s="4"/>
      <c r="BU758" s="4"/>
    </row>
    <row r="759" spans="1:73" ht="12.75" x14ac:dyDescent="0.2">
      <c r="A759" s="1"/>
      <c r="B759" s="2"/>
      <c r="C759" s="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84"/>
      <c r="O759" s="4"/>
      <c r="P759" s="4"/>
      <c r="Q759" s="4"/>
      <c r="R759" s="3"/>
      <c r="S759" s="3"/>
      <c r="T759" s="3"/>
      <c r="U759" s="3"/>
      <c r="V759" s="3"/>
      <c r="W759" s="3"/>
      <c r="X759" s="3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3"/>
      <c r="BR759" s="4"/>
      <c r="BS759" s="4"/>
      <c r="BT759" s="4"/>
      <c r="BU759" s="4"/>
    </row>
    <row r="760" spans="1:73" ht="12.75" x14ac:dyDescent="0.2">
      <c r="A760" s="1"/>
      <c r="B760" s="2"/>
      <c r="C760" s="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84"/>
      <c r="O760" s="4"/>
      <c r="P760" s="4"/>
      <c r="Q760" s="4"/>
      <c r="R760" s="3"/>
      <c r="S760" s="3"/>
      <c r="T760" s="3"/>
      <c r="U760" s="3"/>
      <c r="V760" s="3"/>
      <c r="W760" s="3"/>
      <c r="X760" s="3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3"/>
      <c r="BR760" s="4"/>
      <c r="BS760" s="4"/>
      <c r="BT760" s="4"/>
      <c r="BU760" s="4"/>
    </row>
    <row r="761" spans="1:73" ht="12.75" x14ac:dyDescent="0.2">
      <c r="A761" s="1"/>
      <c r="B761" s="2"/>
      <c r="C761" s="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84"/>
      <c r="O761" s="4"/>
      <c r="P761" s="4"/>
      <c r="Q761" s="4"/>
      <c r="R761" s="3"/>
      <c r="S761" s="3"/>
      <c r="T761" s="3"/>
      <c r="U761" s="3"/>
      <c r="V761" s="3"/>
      <c r="W761" s="3"/>
      <c r="X761" s="3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3"/>
      <c r="BR761" s="4"/>
      <c r="BS761" s="4"/>
      <c r="BT761" s="4"/>
      <c r="BU761" s="4"/>
    </row>
    <row r="762" spans="1:73" ht="12.75" x14ac:dyDescent="0.2">
      <c r="A762" s="1"/>
      <c r="B762" s="2"/>
      <c r="C762" s="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84"/>
      <c r="O762" s="4"/>
      <c r="P762" s="4"/>
      <c r="Q762" s="4"/>
      <c r="R762" s="3"/>
      <c r="S762" s="3"/>
      <c r="T762" s="3"/>
      <c r="U762" s="3"/>
      <c r="V762" s="3"/>
      <c r="W762" s="3"/>
      <c r="X762" s="3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3"/>
      <c r="BR762" s="4"/>
      <c r="BS762" s="4"/>
      <c r="BT762" s="4"/>
      <c r="BU762" s="4"/>
    </row>
    <row r="763" spans="1:73" ht="12.75" x14ac:dyDescent="0.2">
      <c r="A763" s="1"/>
      <c r="B763" s="2"/>
      <c r="C763" s="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84"/>
      <c r="O763" s="4"/>
      <c r="P763" s="4"/>
      <c r="Q763" s="4"/>
      <c r="R763" s="3"/>
      <c r="S763" s="3"/>
      <c r="T763" s="3"/>
      <c r="U763" s="3"/>
      <c r="V763" s="3"/>
      <c r="W763" s="3"/>
      <c r="X763" s="3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3"/>
      <c r="BR763" s="4"/>
      <c r="BS763" s="4"/>
      <c r="BT763" s="4"/>
      <c r="BU763" s="4"/>
    </row>
    <row r="764" spans="1:73" ht="12.75" x14ac:dyDescent="0.2">
      <c r="A764" s="1"/>
      <c r="B764" s="2"/>
      <c r="C764" s="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84"/>
      <c r="O764" s="4"/>
      <c r="P764" s="4"/>
      <c r="Q764" s="4"/>
      <c r="R764" s="3"/>
      <c r="S764" s="3"/>
      <c r="T764" s="3"/>
      <c r="U764" s="3"/>
      <c r="V764" s="3"/>
      <c r="W764" s="3"/>
      <c r="X764" s="3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3"/>
      <c r="BR764" s="4"/>
      <c r="BS764" s="4"/>
      <c r="BT764" s="4"/>
      <c r="BU764" s="4"/>
    </row>
    <row r="765" spans="1:73" ht="12.75" x14ac:dyDescent="0.2">
      <c r="A765" s="1"/>
      <c r="B765" s="2"/>
      <c r="C765" s="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84"/>
      <c r="O765" s="4"/>
      <c r="P765" s="4"/>
      <c r="Q765" s="4"/>
      <c r="R765" s="3"/>
      <c r="S765" s="3"/>
      <c r="T765" s="3"/>
      <c r="U765" s="3"/>
      <c r="V765" s="3"/>
      <c r="W765" s="3"/>
      <c r="X765" s="3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3"/>
      <c r="BR765" s="4"/>
      <c r="BS765" s="4"/>
      <c r="BT765" s="4"/>
      <c r="BU765" s="4"/>
    </row>
    <row r="766" spans="1:73" ht="12.75" x14ac:dyDescent="0.2">
      <c r="A766" s="1"/>
      <c r="B766" s="2"/>
      <c r="C766" s="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84"/>
      <c r="O766" s="4"/>
      <c r="P766" s="4"/>
      <c r="Q766" s="4"/>
      <c r="R766" s="3"/>
      <c r="S766" s="3"/>
      <c r="T766" s="3"/>
      <c r="U766" s="3"/>
      <c r="V766" s="3"/>
      <c r="W766" s="3"/>
      <c r="X766" s="3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3"/>
      <c r="BR766" s="4"/>
      <c r="BS766" s="4"/>
      <c r="BT766" s="4"/>
      <c r="BU766" s="4"/>
    </row>
    <row r="767" spans="1:73" ht="12.75" x14ac:dyDescent="0.2">
      <c r="A767" s="1"/>
      <c r="B767" s="2"/>
      <c r="C767" s="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84"/>
      <c r="O767" s="4"/>
      <c r="P767" s="4"/>
      <c r="Q767" s="4"/>
      <c r="R767" s="3"/>
      <c r="S767" s="3"/>
      <c r="T767" s="3"/>
      <c r="U767" s="3"/>
      <c r="V767" s="3"/>
      <c r="W767" s="3"/>
      <c r="X767" s="3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3"/>
      <c r="BR767" s="4"/>
      <c r="BS767" s="4"/>
      <c r="BT767" s="4"/>
      <c r="BU767" s="4"/>
    </row>
    <row r="768" spans="1:73" ht="12.75" x14ac:dyDescent="0.2">
      <c r="A768" s="1"/>
      <c r="B768" s="2"/>
      <c r="C768" s="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84"/>
      <c r="O768" s="4"/>
      <c r="P768" s="4"/>
      <c r="Q768" s="4"/>
      <c r="R768" s="3"/>
      <c r="S768" s="3"/>
      <c r="T768" s="3"/>
      <c r="U768" s="3"/>
      <c r="V768" s="3"/>
      <c r="W768" s="3"/>
      <c r="X768" s="3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3"/>
      <c r="BR768" s="4"/>
      <c r="BS768" s="4"/>
      <c r="BT768" s="4"/>
      <c r="BU768" s="4"/>
    </row>
    <row r="769" spans="1:73" ht="12.75" x14ac:dyDescent="0.2">
      <c r="A769" s="1"/>
      <c r="B769" s="2"/>
      <c r="C769" s="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84"/>
      <c r="O769" s="4"/>
      <c r="P769" s="4"/>
      <c r="Q769" s="4"/>
      <c r="R769" s="3"/>
      <c r="S769" s="3"/>
      <c r="T769" s="3"/>
      <c r="U769" s="3"/>
      <c r="V769" s="3"/>
      <c r="W769" s="3"/>
      <c r="X769" s="3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3"/>
      <c r="BR769" s="4"/>
      <c r="BS769" s="4"/>
      <c r="BT769" s="4"/>
      <c r="BU769" s="4"/>
    </row>
    <row r="770" spans="1:73" ht="12.75" x14ac:dyDescent="0.2">
      <c r="A770" s="1"/>
      <c r="B770" s="2"/>
      <c r="C770" s="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84"/>
      <c r="O770" s="4"/>
      <c r="P770" s="4"/>
      <c r="Q770" s="4"/>
      <c r="R770" s="3"/>
      <c r="S770" s="3"/>
      <c r="T770" s="3"/>
      <c r="U770" s="3"/>
      <c r="V770" s="3"/>
      <c r="W770" s="3"/>
      <c r="X770" s="3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3"/>
      <c r="BR770" s="4"/>
      <c r="BS770" s="4"/>
      <c r="BT770" s="4"/>
      <c r="BU770" s="4"/>
    </row>
    <row r="771" spans="1:73" ht="12.75" x14ac:dyDescent="0.2">
      <c r="A771" s="1"/>
      <c r="B771" s="2"/>
      <c r="C771" s="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84"/>
      <c r="O771" s="4"/>
      <c r="P771" s="4"/>
      <c r="Q771" s="4"/>
      <c r="R771" s="3"/>
      <c r="S771" s="3"/>
      <c r="T771" s="3"/>
      <c r="U771" s="3"/>
      <c r="V771" s="3"/>
      <c r="W771" s="3"/>
      <c r="X771" s="3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3"/>
      <c r="BR771" s="4"/>
      <c r="BS771" s="4"/>
      <c r="BT771" s="4"/>
      <c r="BU771" s="4"/>
    </row>
    <row r="772" spans="1:73" ht="12.75" x14ac:dyDescent="0.2">
      <c r="A772" s="1"/>
      <c r="B772" s="2"/>
      <c r="C772" s="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84"/>
      <c r="O772" s="4"/>
      <c r="P772" s="4"/>
      <c r="Q772" s="4"/>
      <c r="R772" s="3"/>
      <c r="S772" s="3"/>
      <c r="T772" s="3"/>
      <c r="U772" s="3"/>
      <c r="V772" s="3"/>
      <c r="W772" s="3"/>
      <c r="X772" s="3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3"/>
      <c r="BR772" s="4"/>
      <c r="BS772" s="4"/>
      <c r="BT772" s="4"/>
      <c r="BU772" s="4"/>
    </row>
    <row r="773" spans="1:73" ht="12.75" x14ac:dyDescent="0.2">
      <c r="A773" s="1"/>
      <c r="B773" s="2"/>
      <c r="C773" s="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84"/>
      <c r="O773" s="4"/>
      <c r="P773" s="4"/>
      <c r="Q773" s="4"/>
      <c r="R773" s="3"/>
      <c r="S773" s="3"/>
      <c r="T773" s="3"/>
      <c r="U773" s="3"/>
      <c r="V773" s="3"/>
      <c r="W773" s="3"/>
      <c r="X773" s="3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3"/>
      <c r="BR773" s="4"/>
      <c r="BS773" s="4"/>
      <c r="BT773" s="4"/>
      <c r="BU773" s="4"/>
    </row>
    <row r="774" spans="1:73" ht="12.75" x14ac:dyDescent="0.2">
      <c r="A774" s="1"/>
      <c r="B774" s="2"/>
      <c r="C774" s="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84"/>
      <c r="O774" s="4"/>
      <c r="P774" s="4"/>
      <c r="Q774" s="4"/>
      <c r="R774" s="3"/>
      <c r="S774" s="3"/>
      <c r="T774" s="3"/>
      <c r="U774" s="3"/>
      <c r="V774" s="3"/>
      <c r="W774" s="3"/>
      <c r="X774" s="3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3"/>
      <c r="BR774" s="4"/>
      <c r="BS774" s="4"/>
      <c r="BT774" s="4"/>
      <c r="BU774" s="4"/>
    </row>
    <row r="775" spans="1:73" ht="12.75" x14ac:dyDescent="0.2">
      <c r="A775" s="1"/>
      <c r="B775" s="2"/>
      <c r="C775" s="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84"/>
      <c r="O775" s="4"/>
      <c r="P775" s="4"/>
      <c r="Q775" s="4"/>
      <c r="R775" s="3"/>
      <c r="S775" s="3"/>
      <c r="T775" s="3"/>
      <c r="U775" s="3"/>
      <c r="V775" s="3"/>
      <c r="W775" s="3"/>
      <c r="X775" s="3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3"/>
      <c r="BR775" s="4"/>
      <c r="BS775" s="4"/>
      <c r="BT775" s="4"/>
      <c r="BU775" s="4"/>
    </row>
    <row r="776" spans="1:73" ht="12.75" x14ac:dyDescent="0.2">
      <c r="A776" s="1"/>
      <c r="B776" s="2"/>
      <c r="C776" s="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84"/>
      <c r="O776" s="4"/>
      <c r="P776" s="4"/>
      <c r="Q776" s="4"/>
      <c r="R776" s="3"/>
      <c r="S776" s="3"/>
      <c r="T776" s="3"/>
      <c r="U776" s="3"/>
      <c r="V776" s="3"/>
      <c r="W776" s="3"/>
      <c r="X776" s="3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3"/>
      <c r="BR776" s="4"/>
      <c r="BS776" s="4"/>
      <c r="BT776" s="4"/>
      <c r="BU776" s="4"/>
    </row>
    <row r="777" spans="1:73" ht="12.75" x14ac:dyDescent="0.2">
      <c r="A777" s="1"/>
      <c r="B777" s="2"/>
      <c r="C777" s="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84"/>
      <c r="O777" s="4"/>
      <c r="P777" s="4"/>
      <c r="Q777" s="4"/>
      <c r="R777" s="3"/>
      <c r="S777" s="3"/>
      <c r="T777" s="3"/>
      <c r="U777" s="3"/>
      <c r="V777" s="3"/>
      <c r="W777" s="3"/>
      <c r="X777" s="3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3"/>
      <c r="BR777" s="4"/>
      <c r="BS777" s="4"/>
      <c r="BT777" s="4"/>
      <c r="BU777" s="4"/>
    </row>
    <row r="778" spans="1:73" ht="12.75" x14ac:dyDescent="0.2">
      <c r="A778" s="1"/>
      <c r="B778" s="2"/>
      <c r="C778" s="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84"/>
      <c r="O778" s="4"/>
      <c r="P778" s="4"/>
      <c r="Q778" s="4"/>
      <c r="R778" s="3"/>
      <c r="S778" s="3"/>
      <c r="T778" s="3"/>
      <c r="U778" s="3"/>
      <c r="V778" s="3"/>
      <c r="W778" s="3"/>
      <c r="X778" s="3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3"/>
      <c r="BR778" s="4"/>
      <c r="BS778" s="4"/>
      <c r="BT778" s="4"/>
      <c r="BU778" s="4"/>
    </row>
    <row r="779" spans="1:73" ht="12.75" x14ac:dyDescent="0.2">
      <c r="A779" s="1"/>
      <c r="B779" s="2"/>
      <c r="C779" s="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84"/>
      <c r="O779" s="4"/>
      <c r="P779" s="4"/>
      <c r="Q779" s="4"/>
      <c r="R779" s="3"/>
      <c r="S779" s="3"/>
      <c r="T779" s="3"/>
      <c r="U779" s="3"/>
      <c r="V779" s="3"/>
      <c r="W779" s="3"/>
      <c r="X779" s="3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3"/>
      <c r="BR779" s="4"/>
      <c r="BS779" s="4"/>
      <c r="BT779" s="4"/>
      <c r="BU779" s="4"/>
    </row>
    <row r="780" spans="1:73" ht="12.75" x14ac:dyDescent="0.2">
      <c r="A780" s="1"/>
      <c r="B780" s="2"/>
      <c r="C780" s="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84"/>
      <c r="O780" s="4"/>
      <c r="P780" s="4"/>
      <c r="Q780" s="4"/>
      <c r="R780" s="3"/>
      <c r="S780" s="3"/>
      <c r="T780" s="3"/>
      <c r="U780" s="3"/>
      <c r="V780" s="3"/>
      <c r="W780" s="3"/>
      <c r="X780" s="3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3"/>
      <c r="BR780" s="4"/>
      <c r="BS780" s="4"/>
      <c r="BT780" s="4"/>
      <c r="BU780" s="4"/>
    </row>
    <row r="781" spans="1:73" ht="12.75" x14ac:dyDescent="0.2">
      <c r="A781" s="1"/>
      <c r="B781" s="2"/>
      <c r="C781" s="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84"/>
      <c r="O781" s="4"/>
      <c r="P781" s="4"/>
      <c r="Q781" s="4"/>
      <c r="R781" s="3"/>
      <c r="S781" s="3"/>
      <c r="T781" s="3"/>
      <c r="U781" s="3"/>
      <c r="V781" s="3"/>
      <c r="W781" s="3"/>
      <c r="X781" s="3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3"/>
      <c r="BR781" s="4"/>
      <c r="BS781" s="4"/>
      <c r="BT781" s="4"/>
      <c r="BU781" s="4"/>
    </row>
    <row r="782" spans="1:73" ht="12.75" x14ac:dyDescent="0.2">
      <c r="A782" s="1"/>
      <c r="B782" s="2"/>
      <c r="C782" s="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84"/>
      <c r="O782" s="4"/>
      <c r="P782" s="4"/>
      <c r="Q782" s="4"/>
      <c r="R782" s="3"/>
      <c r="S782" s="3"/>
      <c r="T782" s="3"/>
      <c r="U782" s="3"/>
      <c r="V782" s="3"/>
      <c r="W782" s="3"/>
      <c r="X782" s="3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3"/>
      <c r="BR782" s="4"/>
      <c r="BS782" s="4"/>
      <c r="BT782" s="4"/>
      <c r="BU782" s="4"/>
    </row>
    <row r="783" spans="1:73" ht="12.75" x14ac:dyDescent="0.2">
      <c r="A783" s="1"/>
      <c r="B783" s="2"/>
      <c r="C783" s="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84"/>
      <c r="O783" s="4"/>
      <c r="P783" s="4"/>
      <c r="Q783" s="4"/>
      <c r="R783" s="3"/>
      <c r="S783" s="3"/>
      <c r="T783" s="3"/>
      <c r="U783" s="3"/>
      <c r="V783" s="3"/>
      <c r="W783" s="3"/>
      <c r="X783" s="3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3"/>
      <c r="BR783" s="4"/>
      <c r="BS783" s="4"/>
      <c r="BT783" s="4"/>
      <c r="BU783" s="4"/>
    </row>
    <row r="784" spans="1:73" ht="12.75" x14ac:dyDescent="0.2">
      <c r="A784" s="1"/>
      <c r="B784" s="2"/>
      <c r="C784" s="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84"/>
      <c r="O784" s="4"/>
      <c r="P784" s="4"/>
      <c r="Q784" s="4"/>
      <c r="R784" s="3"/>
      <c r="S784" s="3"/>
      <c r="T784" s="3"/>
      <c r="U784" s="3"/>
      <c r="V784" s="3"/>
      <c r="W784" s="3"/>
      <c r="X784" s="3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3"/>
      <c r="BR784" s="4"/>
      <c r="BS784" s="4"/>
      <c r="BT784" s="4"/>
      <c r="BU784" s="4"/>
    </row>
    <row r="785" spans="1:73" ht="12.75" x14ac:dyDescent="0.2">
      <c r="A785" s="1"/>
      <c r="B785" s="2"/>
      <c r="C785" s="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84"/>
      <c r="O785" s="4"/>
      <c r="P785" s="4"/>
      <c r="Q785" s="4"/>
      <c r="R785" s="3"/>
      <c r="S785" s="3"/>
      <c r="T785" s="3"/>
      <c r="U785" s="3"/>
      <c r="V785" s="3"/>
      <c r="W785" s="3"/>
      <c r="X785" s="3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3"/>
      <c r="BR785" s="4"/>
      <c r="BS785" s="4"/>
      <c r="BT785" s="4"/>
      <c r="BU785" s="4"/>
    </row>
    <row r="786" spans="1:73" ht="12.75" x14ac:dyDescent="0.2">
      <c r="A786" s="1"/>
      <c r="B786" s="2"/>
      <c r="C786" s="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84"/>
      <c r="O786" s="4"/>
      <c r="P786" s="4"/>
      <c r="Q786" s="4"/>
      <c r="R786" s="3"/>
      <c r="S786" s="3"/>
      <c r="T786" s="3"/>
      <c r="U786" s="3"/>
      <c r="V786" s="3"/>
      <c r="W786" s="3"/>
      <c r="X786" s="3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3"/>
      <c r="BR786" s="4"/>
      <c r="BS786" s="4"/>
      <c r="BT786" s="4"/>
      <c r="BU786" s="4"/>
    </row>
    <row r="787" spans="1:73" ht="12.75" x14ac:dyDescent="0.2">
      <c r="A787" s="1"/>
      <c r="B787" s="2"/>
      <c r="C787" s="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84"/>
      <c r="O787" s="4"/>
      <c r="P787" s="4"/>
      <c r="Q787" s="4"/>
      <c r="R787" s="3"/>
      <c r="S787" s="3"/>
      <c r="T787" s="3"/>
      <c r="U787" s="3"/>
      <c r="V787" s="3"/>
      <c r="W787" s="3"/>
      <c r="X787" s="3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3"/>
      <c r="BR787" s="4"/>
      <c r="BS787" s="4"/>
      <c r="BT787" s="4"/>
      <c r="BU787" s="4"/>
    </row>
    <row r="788" spans="1:73" ht="12.75" x14ac:dyDescent="0.2">
      <c r="A788" s="1"/>
      <c r="B788" s="2"/>
      <c r="C788" s="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84"/>
      <c r="O788" s="4"/>
      <c r="P788" s="4"/>
      <c r="Q788" s="4"/>
      <c r="R788" s="3"/>
      <c r="S788" s="3"/>
      <c r="T788" s="3"/>
      <c r="U788" s="3"/>
      <c r="V788" s="3"/>
      <c r="W788" s="3"/>
      <c r="X788" s="3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3"/>
      <c r="BR788" s="4"/>
      <c r="BS788" s="4"/>
      <c r="BT788" s="4"/>
      <c r="BU788" s="4"/>
    </row>
    <row r="789" spans="1:73" ht="12.75" x14ac:dyDescent="0.2">
      <c r="A789" s="1"/>
      <c r="B789" s="2"/>
      <c r="C789" s="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84"/>
      <c r="O789" s="4"/>
      <c r="P789" s="4"/>
      <c r="Q789" s="4"/>
      <c r="R789" s="3"/>
      <c r="S789" s="3"/>
      <c r="T789" s="3"/>
      <c r="U789" s="3"/>
      <c r="V789" s="3"/>
      <c r="W789" s="3"/>
      <c r="X789" s="3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3"/>
      <c r="BR789" s="4"/>
      <c r="BS789" s="4"/>
      <c r="BT789" s="4"/>
      <c r="BU789" s="4"/>
    </row>
    <row r="790" spans="1:73" ht="12.75" x14ac:dyDescent="0.2">
      <c r="A790" s="1"/>
      <c r="B790" s="2"/>
      <c r="C790" s="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84"/>
      <c r="O790" s="4"/>
      <c r="P790" s="4"/>
      <c r="Q790" s="4"/>
      <c r="R790" s="3"/>
      <c r="S790" s="3"/>
      <c r="T790" s="3"/>
      <c r="U790" s="3"/>
      <c r="V790" s="3"/>
      <c r="W790" s="3"/>
      <c r="X790" s="3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3"/>
      <c r="BR790" s="4"/>
      <c r="BS790" s="4"/>
      <c r="BT790" s="4"/>
      <c r="BU790" s="4"/>
    </row>
    <row r="791" spans="1:73" ht="12.75" x14ac:dyDescent="0.2">
      <c r="A791" s="1"/>
      <c r="B791" s="2"/>
      <c r="C791" s="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84"/>
      <c r="O791" s="4"/>
      <c r="P791" s="4"/>
      <c r="Q791" s="4"/>
      <c r="R791" s="3"/>
      <c r="S791" s="3"/>
      <c r="T791" s="3"/>
      <c r="U791" s="3"/>
      <c r="V791" s="3"/>
      <c r="W791" s="3"/>
      <c r="X791" s="3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3"/>
      <c r="BR791" s="4"/>
      <c r="BS791" s="4"/>
      <c r="BT791" s="4"/>
      <c r="BU791" s="4"/>
    </row>
    <row r="792" spans="1:73" ht="12.75" x14ac:dyDescent="0.2">
      <c r="A792" s="1"/>
      <c r="B792" s="2"/>
      <c r="C792" s="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84"/>
      <c r="O792" s="4"/>
      <c r="P792" s="4"/>
      <c r="Q792" s="4"/>
      <c r="R792" s="3"/>
      <c r="S792" s="3"/>
      <c r="T792" s="3"/>
      <c r="U792" s="3"/>
      <c r="V792" s="3"/>
      <c r="W792" s="3"/>
      <c r="X792" s="3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3"/>
      <c r="BR792" s="4"/>
      <c r="BS792" s="4"/>
      <c r="BT792" s="4"/>
      <c r="BU792" s="4"/>
    </row>
    <row r="793" spans="1:73" ht="12.75" x14ac:dyDescent="0.2">
      <c r="A793" s="1"/>
      <c r="B793" s="2"/>
      <c r="C793" s="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84"/>
      <c r="O793" s="4"/>
      <c r="P793" s="4"/>
      <c r="Q793" s="4"/>
      <c r="R793" s="3"/>
      <c r="S793" s="3"/>
      <c r="T793" s="3"/>
      <c r="U793" s="3"/>
      <c r="V793" s="3"/>
      <c r="W793" s="3"/>
      <c r="X793" s="3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3"/>
      <c r="BR793" s="4"/>
      <c r="BS793" s="4"/>
      <c r="BT793" s="4"/>
      <c r="BU793" s="4"/>
    </row>
    <row r="794" spans="1:73" ht="12.75" x14ac:dyDescent="0.2">
      <c r="A794" s="1"/>
      <c r="B794" s="2"/>
      <c r="C794" s="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84"/>
      <c r="O794" s="4"/>
      <c r="P794" s="4"/>
      <c r="Q794" s="4"/>
      <c r="R794" s="3"/>
      <c r="S794" s="3"/>
      <c r="T794" s="3"/>
      <c r="U794" s="3"/>
      <c r="V794" s="3"/>
      <c r="W794" s="3"/>
      <c r="X794" s="3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3"/>
      <c r="BR794" s="4"/>
      <c r="BS794" s="4"/>
      <c r="BT794" s="4"/>
      <c r="BU794" s="4"/>
    </row>
    <row r="795" spans="1:73" ht="12.75" x14ac:dyDescent="0.2">
      <c r="A795" s="1"/>
      <c r="B795" s="2"/>
      <c r="C795" s="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84"/>
      <c r="O795" s="4"/>
      <c r="P795" s="4"/>
      <c r="Q795" s="4"/>
      <c r="R795" s="3"/>
      <c r="S795" s="3"/>
      <c r="T795" s="3"/>
      <c r="U795" s="3"/>
      <c r="V795" s="3"/>
      <c r="W795" s="3"/>
      <c r="X795" s="3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3"/>
      <c r="BR795" s="4"/>
      <c r="BS795" s="4"/>
      <c r="BT795" s="4"/>
      <c r="BU795" s="4"/>
    </row>
    <row r="796" spans="1:73" ht="12.75" x14ac:dyDescent="0.2">
      <c r="A796" s="1"/>
      <c r="B796" s="2"/>
      <c r="C796" s="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84"/>
      <c r="O796" s="4"/>
      <c r="P796" s="4"/>
      <c r="Q796" s="4"/>
      <c r="R796" s="3"/>
      <c r="S796" s="3"/>
      <c r="T796" s="3"/>
      <c r="U796" s="3"/>
      <c r="V796" s="3"/>
      <c r="W796" s="3"/>
      <c r="X796" s="3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3"/>
      <c r="BR796" s="4"/>
      <c r="BS796" s="4"/>
      <c r="BT796" s="4"/>
      <c r="BU796" s="4"/>
    </row>
    <row r="797" spans="1:73" ht="12.75" x14ac:dyDescent="0.2">
      <c r="A797" s="1"/>
      <c r="B797" s="2"/>
      <c r="C797" s="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84"/>
      <c r="O797" s="4"/>
      <c r="P797" s="4"/>
      <c r="Q797" s="4"/>
      <c r="R797" s="3"/>
      <c r="S797" s="3"/>
      <c r="T797" s="3"/>
      <c r="U797" s="3"/>
      <c r="V797" s="3"/>
      <c r="W797" s="3"/>
      <c r="X797" s="3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3"/>
      <c r="BR797" s="4"/>
      <c r="BS797" s="4"/>
      <c r="BT797" s="4"/>
      <c r="BU797" s="4"/>
    </row>
    <row r="798" spans="1:73" ht="12.75" x14ac:dyDescent="0.2">
      <c r="A798" s="1"/>
      <c r="B798" s="2"/>
      <c r="C798" s="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84"/>
      <c r="O798" s="4"/>
      <c r="P798" s="4"/>
      <c r="Q798" s="4"/>
      <c r="R798" s="3"/>
      <c r="S798" s="3"/>
      <c r="T798" s="3"/>
      <c r="U798" s="3"/>
      <c r="V798" s="3"/>
      <c r="W798" s="3"/>
      <c r="X798" s="3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3"/>
      <c r="BR798" s="4"/>
      <c r="BS798" s="4"/>
      <c r="BT798" s="4"/>
      <c r="BU798" s="4"/>
    </row>
    <row r="799" spans="1:73" ht="12.75" x14ac:dyDescent="0.2">
      <c r="A799" s="1"/>
      <c r="B799" s="2"/>
      <c r="C799" s="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84"/>
      <c r="O799" s="4"/>
      <c r="P799" s="4"/>
      <c r="Q799" s="4"/>
      <c r="R799" s="3"/>
      <c r="S799" s="3"/>
      <c r="T799" s="3"/>
      <c r="U799" s="3"/>
      <c r="V799" s="3"/>
      <c r="W799" s="3"/>
      <c r="X799" s="3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3"/>
      <c r="BR799" s="4"/>
      <c r="BS799" s="4"/>
      <c r="BT799" s="4"/>
      <c r="BU799" s="4"/>
    </row>
    <row r="800" spans="1:73" ht="12.75" x14ac:dyDescent="0.2">
      <c r="A800" s="1"/>
      <c r="B800" s="2"/>
      <c r="C800" s="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84"/>
      <c r="O800" s="4"/>
      <c r="P800" s="4"/>
      <c r="Q800" s="4"/>
      <c r="R800" s="3"/>
      <c r="S800" s="3"/>
      <c r="T800" s="3"/>
      <c r="U800" s="3"/>
      <c r="V800" s="3"/>
      <c r="W800" s="3"/>
      <c r="X800" s="3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3"/>
      <c r="BR800" s="4"/>
      <c r="BS800" s="4"/>
      <c r="BT800" s="4"/>
      <c r="BU800" s="4"/>
    </row>
    <row r="801" spans="1:73" ht="12.75" x14ac:dyDescent="0.2">
      <c r="A801" s="1"/>
      <c r="B801" s="2"/>
      <c r="C801" s="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84"/>
      <c r="O801" s="4"/>
      <c r="P801" s="4"/>
      <c r="Q801" s="4"/>
      <c r="R801" s="3"/>
      <c r="S801" s="3"/>
      <c r="T801" s="3"/>
      <c r="U801" s="3"/>
      <c r="V801" s="3"/>
      <c r="W801" s="3"/>
      <c r="X801" s="3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3"/>
      <c r="BR801" s="4"/>
      <c r="BS801" s="4"/>
      <c r="BT801" s="4"/>
      <c r="BU801" s="4"/>
    </row>
    <row r="802" spans="1:73" ht="12.75" x14ac:dyDescent="0.2">
      <c r="A802" s="1"/>
      <c r="B802" s="2"/>
      <c r="C802" s="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84"/>
      <c r="O802" s="4"/>
      <c r="P802" s="4"/>
      <c r="Q802" s="4"/>
      <c r="R802" s="3"/>
      <c r="S802" s="3"/>
      <c r="T802" s="3"/>
      <c r="U802" s="3"/>
      <c r="V802" s="3"/>
      <c r="W802" s="3"/>
      <c r="X802" s="3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3"/>
      <c r="BR802" s="4"/>
      <c r="BS802" s="4"/>
      <c r="BT802" s="4"/>
      <c r="BU802" s="4"/>
    </row>
    <row r="803" spans="1:73" ht="12.75" x14ac:dyDescent="0.2">
      <c r="A803" s="1"/>
      <c r="B803" s="2"/>
      <c r="C803" s="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84"/>
      <c r="O803" s="4"/>
      <c r="P803" s="4"/>
      <c r="Q803" s="4"/>
      <c r="R803" s="3"/>
      <c r="S803" s="3"/>
      <c r="T803" s="3"/>
      <c r="U803" s="3"/>
      <c r="V803" s="3"/>
      <c r="W803" s="3"/>
      <c r="X803" s="3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3"/>
      <c r="BR803" s="4"/>
      <c r="BS803" s="4"/>
      <c r="BT803" s="4"/>
      <c r="BU803" s="4"/>
    </row>
    <row r="804" spans="1:73" ht="12.75" x14ac:dyDescent="0.2">
      <c r="A804" s="1"/>
      <c r="B804" s="2"/>
      <c r="C804" s="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84"/>
      <c r="O804" s="4"/>
      <c r="P804" s="4"/>
      <c r="Q804" s="4"/>
      <c r="R804" s="3"/>
      <c r="S804" s="3"/>
      <c r="T804" s="3"/>
      <c r="U804" s="3"/>
      <c r="V804" s="3"/>
      <c r="W804" s="3"/>
      <c r="X804" s="3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3"/>
      <c r="BR804" s="4"/>
      <c r="BS804" s="4"/>
      <c r="BT804" s="4"/>
      <c r="BU804" s="4"/>
    </row>
    <row r="805" spans="1:73" ht="12.75" x14ac:dyDescent="0.2">
      <c r="A805" s="1"/>
      <c r="B805" s="2"/>
      <c r="C805" s="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84"/>
      <c r="O805" s="4"/>
      <c r="P805" s="4"/>
      <c r="Q805" s="4"/>
      <c r="R805" s="3"/>
      <c r="S805" s="3"/>
      <c r="T805" s="3"/>
      <c r="U805" s="3"/>
      <c r="V805" s="3"/>
      <c r="W805" s="3"/>
      <c r="X805" s="3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3"/>
      <c r="BR805" s="4"/>
      <c r="BS805" s="4"/>
      <c r="BT805" s="4"/>
      <c r="BU805" s="4"/>
    </row>
    <row r="806" spans="1:73" ht="12.75" x14ac:dyDescent="0.2">
      <c r="A806" s="1"/>
      <c r="B806" s="2"/>
      <c r="C806" s="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84"/>
      <c r="O806" s="4"/>
      <c r="P806" s="4"/>
      <c r="Q806" s="4"/>
      <c r="R806" s="3"/>
      <c r="S806" s="3"/>
      <c r="T806" s="3"/>
      <c r="U806" s="3"/>
      <c r="V806" s="3"/>
      <c r="W806" s="3"/>
      <c r="X806" s="3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3"/>
      <c r="BR806" s="4"/>
      <c r="BS806" s="4"/>
      <c r="BT806" s="4"/>
      <c r="BU806" s="4"/>
    </row>
    <row r="807" spans="1:73" ht="12.75" x14ac:dyDescent="0.2">
      <c r="A807" s="1"/>
      <c r="B807" s="2"/>
      <c r="C807" s="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84"/>
      <c r="O807" s="4"/>
      <c r="P807" s="4"/>
      <c r="Q807" s="4"/>
      <c r="R807" s="3"/>
      <c r="S807" s="3"/>
      <c r="T807" s="3"/>
      <c r="U807" s="3"/>
      <c r="V807" s="3"/>
      <c r="W807" s="3"/>
      <c r="X807" s="3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3"/>
      <c r="BR807" s="4"/>
      <c r="BS807" s="4"/>
      <c r="BT807" s="4"/>
      <c r="BU807" s="4"/>
    </row>
    <row r="808" spans="1:73" ht="12.75" x14ac:dyDescent="0.2">
      <c r="A808" s="1"/>
      <c r="B808" s="2"/>
      <c r="C808" s="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84"/>
      <c r="O808" s="4"/>
      <c r="P808" s="4"/>
      <c r="Q808" s="4"/>
      <c r="R808" s="3"/>
      <c r="S808" s="3"/>
      <c r="T808" s="3"/>
      <c r="U808" s="3"/>
      <c r="V808" s="3"/>
      <c r="W808" s="3"/>
      <c r="X808" s="3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3"/>
      <c r="BR808" s="4"/>
      <c r="BS808" s="4"/>
      <c r="BT808" s="4"/>
      <c r="BU808" s="4"/>
    </row>
    <row r="809" spans="1:73" ht="12.75" x14ac:dyDescent="0.2">
      <c r="A809" s="1"/>
      <c r="B809" s="2"/>
      <c r="C809" s="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84"/>
      <c r="O809" s="4"/>
      <c r="P809" s="4"/>
      <c r="Q809" s="4"/>
      <c r="R809" s="3"/>
      <c r="S809" s="3"/>
      <c r="T809" s="3"/>
      <c r="U809" s="3"/>
      <c r="V809" s="3"/>
      <c r="W809" s="3"/>
      <c r="X809" s="3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3"/>
      <c r="BR809" s="4"/>
      <c r="BS809" s="4"/>
      <c r="BT809" s="4"/>
      <c r="BU809" s="4"/>
    </row>
    <row r="810" spans="1:73" ht="12.75" x14ac:dyDescent="0.2">
      <c r="A810" s="1"/>
      <c r="B810" s="2"/>
      <c r="C810" s="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84"/>
      <c r="O810" s="4"/>
      <c r="P810" s="4"/>
      <c r="Q810" s="4"/>
      <c r="R810" s="3"/>
      <c r="S810" s="3"/>
      <c r="T810" s="3"/>
      <c r="U810" s="3"/>
      <c r="V810" s="3"/>
      <c r="W810" s="3"/>
      <c r="X810" s="3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3"/>
      <c r="BR810" s="4"/>
      <c r="BS810" s="4"/>
      <c r="BT810" s="4"/>
      <c r="BU810" s="4"/>
    </row>
    <row r="811" spans="1:73" ht="12.75" x14ac:dyDescent="0.2">
      <c r="A811" s="1"/>
      <c r="B811" s="2"/>
      <c r="C811" s="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84"/>
      <c r="O811" s="4"/>
      <c r="P811" s="4"/>
      <c r="Q811" s="4"/>
      <c r="R811" s="3"/>
      <c r="S811" s="3"/>
      <c r="T811" s="3"/>
      <c r="U811" s="3"/>
      <c r="V811" s="3"/>
      <c r="W811" s="3"/>
      <c r="X811" s="3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3"/>
      <c r="BR811" s="4"/>
      <c r="BS811" s="4"/>
      <c r="BT811" s="4"/>
      <c r="BU811" s="4"/>
    </row>
    <row r="812" spans="1:73" ht="12.75" x14ac:dyDescent="0.2">
      <c r="A812" s="1"/>
      <c r="B812" s="2"/>
      <c r="C812" s="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84"/>
      <c r="O812" s="4"/>
      <c r="P812" s="4"/>
      <c r="Q812" s="4"/>
      <c r="R812" s="3"/>
      <c r="S812" s="3"/>
      <c r="T812" s="3"/>
      <c r="U812" s="3"/>
      <c r="V812" s="3"/>
      <c r="W812" s="3"/>
      <c r="X812" s="3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3"/>
      <c r="BR812" s="4"/>
      <c r="BS812" s="4"/>
      <c r="BT812" s="4"/>
      <c r="BU812" s="4"/>
    </row>
    <row r="813" spans="1:73" ht="12.75" x14ac:dyDescent="0.2">
      <c r="A813" s="1"/>
      <c r="B813" s="2"/>
      <c r="C813" s="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84"/>
      <c r="O813" s="4"/>
      <c r="P813" s="4"/>
      <c r="Q813" s="4"/>
      <c r="R813" s="3"/>
      <c r="S813" s="3"/>
      <c r="T813" s="3"/>
      <c r="U813" s="3"/>
      <c r="V813" s="3"/>
      <c r="W813" s="3"/>
      <c r="X813" s="3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3"/>
      <c r="BR813" s="4"/>
      <c r="BS813" s="4"/>
      <c r="BT813" s="4"/>
      <c r="BU813" s="4"/>
    </row>
    <row r="814" spans="1:73" ht="12.75" x14ac:dyDescent="0.2">
      <c r="A814" s="1"/>
      <c r="B814" s="2"/>
      <c r="C814" s="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84"/>
      <c r="O814" s="4"/>
      <c r="P814" s="4"/>
      <c r="Q814" s="4"/>
      <c r="R814" s="3"/>
      <c r="S814" s="3"/>
      <c r="T814" s="3"/>
      <c r="U814" s="3"/>
      <c r="V814" s="3"/>
      <c r="W814" s="3"/>
      <c r="X814" s="3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3"/>
      <c r="BR814" s="4"/>
      <c r="BS814" s="4"/>
      <c r="BT814" s="4"/>
      <c r="BU814" s="4"/>
    </row>
    <row r="815" spans="1:73" ht="12.75" x14ac:dyDescent="0.2">
      <c r="A815" s="1"/>
      <c r="B815" s="2"/>
      <c r="C815" s="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84"/>
      <c r="O815" s="4"/>
      <c r="P815" s="4"/>
      <c r="Q815" s="4"/>
      <c r="R815" s="3"/>
      <c r="S815" s="3"/>
      <c r="T815" s="3"/>
      <c r="U815" s="3"/>
      <c r="V815" s="3"/>
      <c r="W815" s="3"/>
      <c r="X815" s="3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3"/>
      <c r="BR815" s="4"/>
      <c r="BS815" s="4"/>
      <c r="BT815" s="4"/>
      <c r="BU815" s="4"/>
    </row>
    <row r="816" spans="1:73" ht="12.75" x14ac:dyDescent="0.2">
      <c r="A816" s="1"/>
      <c r="B816" s="2"/>
      <c r="C816" s="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84"/>
      <c r="O816" s="4"/>
      <c r="P816" s="4"/>
      <c r="Q816" s="4"/>
      <c r="R816" s="3"/>
      <c r="S816" s="3"/>
      <c r="T816" s="3"/>
      <c r="U816" s="3"/>
      <c r="V816" s="3"/>
      <c r="W816" s="3"/>
      <c r="X816" s="3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3"/>
      <c r="BR816" s="4"/>
      <c r="BS816" s="4"/>
      <c r="BT816" s="4"/>
      <c r="BU816" s="4"/>
    </row>
    <row r="817" spans="1:73" ht="12.75" x14ac:dyDescent="0.2">
      <c r="A817" s="1"/>
      <c r="B817" s="2"/>
      <c r="C817" s="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84"/>
      <c r="O817" s="4"/>
      <c r="P817" s="4"/>
      <c r="Q817" s="4"/>
      <c r="R817" s="3"/>
      <c r="S817" s="3"/>
      <c r="T817" s="3"/>
      <c r="U817" s="3"/>
      <c r="V817" s="3"/>
      <c r="W817" s="3"/>
      <c r="X817" s="3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3"/>
      <c r="BR817" s="4"/>
      <c r="BS817" s="4"/>
      <c r="BT817" s="4"/>
      <c r="BU817" s="4"/>
    </row>
    <row r="818" spans="1:73" ht="12.75" x14ac:dyDescent="0.2">
      <c r="A818" s="1"/>
      <c r="B818" s="2"/>
      <c r="C818" s="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84"/>
      <c r="O818" s="4"/>
      <c r="P818" s="4"/>
      <c r="Q818" s="4"/>
      <c r="R818" s="3"/>
      <c r="S818" s="3"/>
      <c r="T818" s="3"/>
      <c r="U818" s="3"/>
      <c r="V818" s="3"/>
      <c r="W818" s="3"/>
      <c r="X818" s="3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3"/>
      <c r="BR818" s="4"/>
      <c r="BS818" s="4"/>
      <c r="BT818" s="4"/>
      <c r="BU818" s="4"/>
    </row>
    <row r="819" spans="1:73" ht="12.75" x14ac:dyDescent="0.2">
      <c r="A819" s="1"/>
      <c r="B819" s="2"/>
      <c r="C819" s="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84"/>
      <c r="O819" s="4"/>
      <c r="P819" s="4"/>
      <c r="Q819" s="4"/>
      <c r="R819" s="3"/>
      <c r="S819" s="3"/>
      <c r="T819" s="3"/>
      <c r="U819" s="3"/>
      <c r="V819" s="3"/>
      <c r="W819" s="3"/>
      <c r="X819" s="3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3"/>
      <c r="BR819" s="4"/>
      <c r="BS819" s="4"/>
      <c r="BT819" s="4"/>
      <c r="BU819" s="4"/>
    </row>
    <row r="820" spans="1:73" ht="12.75" x14ac:dyDescent="0.2">
      <c r="A820" s="1"/>
      <c r="B820" s="2"/>
      <c r="C820" s="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84"/>
      <c r="O820" s="4"/>
      <c r="P820" s="4"/>
      <c r="Q820" s="4"/>
      <c r="R820" s="3"/>
      <c r="S820" s="3"/>
      <c r="T820" s="3"/>
      <c r="U820" s="3"/>
      <c r="V820" s="3"/>
      <c r="W820" s="3"/>
      <c r="X820" s="3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3"/>
      <c r="BR820" s="4"/>
      <c r="BS820" s="4"/>
      <c r="BT820" s="4"/>
      <c r="BU820" s="4"/>
    </row>
    <row r="821" spans="1:73" ht="12.75" x14ac:dyDescent="0.2">
      <c r="A821" s="1"/>
      <c r="B821" s="2"/>
      <c r="C821" s="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84"/>
      <c r="O821" s="4"/>
      <c r="P821" s="4"/>
      <c r="Q821" s="4"/>
      <c r="R821" s="3"/>
      <c r="S821" s="3"/>
      <c r="T821" s="3"/>
      <c r="U821" s="3"/>
      <c r="V821" s="3"/>
      <c r="W821" s="3"/>
      <c r="X821" s="3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3"/>
      <c r="BR821" s="4"/>
      <c r="BS821" s="4"/>
      <c r="BT821" s="4"/>
      <c r="BU821" s="4"/>
    </row>
    <row r="822" spans="1:73" ht="12.75" x14ac:dyDescent="0.2">
      <c r="A822" s="1"/>
      <c r="B822" s="2"/>
      <c r="C822" s="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84"/>
      <c r="O822" s="4"/>
      <c r="P822" s="4"/>
      <c r="Q822" s="4"/>
      <c r="R822" s="3"/>
      <c r="S822" s="3"/>
      <c r="T822" s="3"/>
      <c r="U822" s="3"/>
      <c r="V822" s="3"/>
      <c r="W822" s="3"/>
      <c r="X822" s="3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3"/>
      <c r="BR822" s="4"/>
      <c r="BS822" s="4"/>
      <c r="BT822" s="4"/>
      <c r="BU822" s="4"/>
    </row>
    <row r="823" spans="1:73" ht="12.75" x14ac:dyDescent="0.2">
      <c r="A823" s="1"/>
      <c r="B823" s="2"/>
      <c r="C823" s="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84"/>
      <c r="O823" s="4"/>
      <c r="P823" s="4"/>
      <c r="Q823" s="4"/>
      <c r="R823" s="3"/>
      <c r="S823" s="3"/>
      <c r="T823" s="3"/>
      <c r="U823" s="3"/>
      <c r="V823" s="3"/>
      <c r="W823" s="3"/>
      <c r="X823" s="3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3"/>
      <c r="BR823" s="4"/>
      <c r="BS823" s="4"/>
      <c r="BT823" s="4"/>
      <c r="BU823" s="4"/>
    </row>
    <row r="824" spans="1:73" ht="12.75" x14ac:dyDescent="0.2">
      <c r="A824" s="1"/>
      <c r="B824" s="2"/>
      <c r="C824" s="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84"/>
      <c r="O824" s="4"/>
      <c r="P824" s="4"/>
      <c r="Q824" s="4"/>
      <c r="R824" s="3"/>
      <c r="S824" s="3"/>
      <c r="T824" s="3"/>
      <c r="U824" s="3"/>
      <c r="V824" s="3"/>
      <c r="W824" s="3"/>
      <c r="X824" s="3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3"/>
      <c r="BR824" s="4"/>
      <c r="BS824" s="4"/>
      <c r="BT824" s="4"/>
      <c r="BU824" s="4"/>
    </row>
    <row r="825" spans="1:73" ht="12.75" x14ac:dyDescent="0.2">
      <c r="A825" s="1"/>
      <c r="B825" s="2"/>
      <c r="C825" s="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84"/>
      <c r="O825" s="4"/>
      <c r="P825" s="4"/>
      <c r="Q825" s="4"/>
      <c r="R825" s="3"/>
      <c r="S825" s="3"/>
      <c r="T825" s="3"/>
      <c r="U825" s="3"/>
      <c r="V825" s="3"/>
      <c r="W825" s="3"/>
      <c r="X825" s="3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3"/>
      <c r="BR825" s="4"/>
      <c r="BS825" s="4"/>
      <c r="BT825" s="4"/>
      <c r="BU825" s="4"/>
    </row>
    <row r="826" spans="1:73" ht="12.75" x14ac:dyDescent="0.2">
      <c r="A826" s="1"/>
      <c r="B826" s="2"/>
      <c r="C826" s="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84"/>
      <c r="O826" s="4"/>
      <c r="P826" s="4"/>
      <c r="Q826" s="4"/>
      <c r="R826" s="3"/>
      <c r="S826" s="3"/>
      <c r="T826" s="3"/>
      <c r="U826" s="3"/>
      <c r="V826" s="3"/>
      <c r="W826" s="3"/>
      <c r="X826" s="3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3"/>
      <c r="BR826" s="4"/>
      <c r="BS826" s="4"/>
      <c r="BT826" s="4"/>
      <c r="BU826" s="4"/>
    </row>
    <row r="827" spans="1:73" ht="12.75" x14ac:dyDescent="0.2">
      <c r="A827" s="1"/>
      <c r="B827" s="2"/>
      <c r="C827" s="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84"/>
      <c r="O827" s="4"/>
      <c r="P827" s="4"/>
      <c r="Q827" s="4"/>
      <c r="R827" s="3"/>
      <c r="S827" s="3"/>
      <c r="T827" s="3"/>
      <c r="U827" s="3"/>
      <c r="V827" s="3"/>
      <c r="W827" s="3"/>
      <c r="X827" s="3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3"/>
      <c r="BR827" s="4"/>
      <c r="BS827" s="4"/>
      <c r="BT827" s="4"/>
      <c r="BU827" s="4"/>
    </row>
    <row r="828" spans="1:73" ht="12.75" x14ac:dyDescent="0.2">
      <c r="A828" s="1"/>
      <c r="B828" s="2"/>
      <c r="C828" s="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84"/>
      <c r="O828" s="4"/>
      <c r="P828" s="4"/>
      <c r="Q828" s="4"/>
      <c r="R828" s="3"/>
      <c r="S828" s="3"/>
      <c r="T828" s="3"/>
      <c r="U828" s="3"/>
      <c r="V828" s="3"/>
      <c r="W828" s="3"/>
      <c r="X828" s="3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3"/>
      <c r="BR828" s="4"/>
      <c r="BS828" s="4"/>
      <c r="BT828" s="4"/>
      <c r="BU828" s="4"/>
    </row>
    <row r="829" spans="1:73" ht="12.75" x14ac:dyDescent="0.2">
      <c r="A829" s="1"/>
      <c r="B829" s="2"/>
      <c r="C829" s="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84"/>
      <c r="O829" s="4"/>
      <c r="P829" s="4"/>
      <c r="Q829" s="4"/>
      <c r="R829" s="3"/>
      <c r="S829" s="3"/>
      <c r="T829" s="3"/>
      <c r="U829" s="3"/>
      <c r="V829" s="3"/>
      <c r="W829" s="3"/>
      <c r="X829" s="3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3"/>
      <c r="BR829" s="4"/>
      <c r="BS829" s="4"/>
      <c r="BT829" s="4"/>
      <c r="BU829" s="4"/>
    </row>
    <row r="830" spans="1:73" ht="12.75" x14ac:dyDescent="0.2">
      <c r="A830" s="1"/>
      <c r="B830" s="2"/>
      <c r="C830" s="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84"/>
      <c r="O830" s="4"/>
      <c r="P830" s="4"/>
      <c r="Q830" s="4"/>
      <c r="R830" s="3"/>
      <c r="S830" s="3"/>
      <c r="T830" s="3"/>
      <c r="U830" s="3"/>
      <c r="V830" s="3"/>
      <c r="W830" s="3"/>
      <c r="X830" s="3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3"/>
      <c r="BR830" s="4"/>
      <c r="BS830" s="4"/>
      <c r="BT830" s="4"/>
      <c r="BU830" s="4"/>
    </row>
    <row r="831" spans="1:73" ht="12.75" x14ac:dyDescent="0.2">
      <c r="A831" s="1"/>
      <c r="B831" s="2"/>
      <c r="C831" s="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84"/>
      <c r="O831" s="4"/>
      <c r="P831" s="4"/>
      <c r="Q831" s="4"/>
      <c r="R831" s="3"/>
      <c r="S831" s="3"/>
      <c r="T831" s="3"/>
      <c r="U831" s="3"/>
      <c r="V831" s="3"/>
      <c r="W831" s="3"/>
      <c r="X831" s="3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3"/>
      <c r="BR831" s="4"/>
      <c r="BS831" s="4"/>
      <c r="BT831" s="4"/>
      <c r="BU831" s="4"/>
    </row>
    <row r="832" spans="1:73" ht="12.75" x14ac:dyDescent="0.2">
      <c r="A832" s="1"/>
      <c r="B832" s="2"/>
      <c r="C832" s="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84"/>
      <c r="O832" s="4"/>
      <c r="P832" s="4"/>
      <c r="Q832" s="4"/>
      <c r="R832" s="3"/>
      <c r="S832" s="3"/>
      <c r="T832" s="3"/>
      <c r="U832" s="3"/>
      <c r="V832" s="3"/>
      <c r="W832" s="3"/>
      <c r="X832" s="3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3"/>
      <c r="BR832" s="4"/>
      <c r="BS832" s="4"/>
      <c r="BT832" s="4"/>
      <c r="BU832" s="4"/>
    </row>
    <row r="833" spans="1:73" ht="12.75" x14ac:dyDescent="0.2">
      <c r="A833" s="1"/>
      <c r="B833" s="2"/>
      <c r="C833" s="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84"/>
      <c r="O833" s="4"/>
      <c r="P833" s="4"/>
      <c r="Q833" s="4"/>
      <c r="R833" s="3"/>
      <c r="S833" s="3"/>
      <c r="T833" s="3"/>
      <c r="U833" s="3"/>
      <c r="V833" s="3"/>
      <c r="W833" s="3"/>
      <c r="X833" s="3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3"/>
      <c r="BR833" s="4"/>
      <c r="BS833" s="4"/>
      <c r="BT833" s="4"/>
      <c r="BU833" s="4"/>
    </row>
    <row r="834" spans="1:73" ht="12.75" x14ac:dyDescent="0.2">
      <c r="A834" s="1"/>
      <c r="B834" s="2"/>
      <c r="C834" s="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84"/>
      <c r="O834" s="4"/>
      <c r="P834" s="4"/>
      <c r="Q834" s="4"/>
      <c r="R834" s="3"/>
      <c r="S834" s="3"/>
      <c r="T834" s="3"/>
      <c r="U834" s="3"/>
      <c r="V834" s="3"/>
      <c r="W834" s="3"/>
      <c r="X834" s="3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3"/>
      <c r="BR834" s="4"/>
      <c r="BS834" s="4"/>
      <c r="BT834" s="4"/>
      <c r="BU834" s="4"/>
    </row>
    <row r="835" spans="1:73" ht="12.75" x14ac:dyDescent="0.2">
      <c r="A835" s="1"/>
      <c r="B835" s="2"/>
      <c r="C835" s="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84"/>
      <c r="O835" s="4"/>
      <c r="P835" s="4"/>
      <c r="Q835" s="4"/>
      <c r="R835" s="3"/>
      <c r="S835" s="3"/>
      <c r="T835" s="3"/>
      <c r="U835" s="3"/>
      <c r="V835" s="3"/>
      <c r="W835" s="3"/>
      <c r="X835" s="3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3"/>
      <c r="BR835" s="4"/>
      <c r="BS835" s="4"/>
      <c r="BT835" s="4"/>
      <c r="BU835" s="4"/>
    </row>
    <row r="836" spans="1:73" ht="12.75" x14ac:dyDescent="0.2">
      <c r="A836" s="1"/>
      <c r="B836" s="2"/>
      <c r="C836" s="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84"/>
      <c r="O836" s="4"/>
      <c r="P836" s="4"/>
      <c r="Q836" s="4"/>
      <c r="R836" s="3"/>
      <c r="S836" s="3"/>
      <c r="T836" s="3"/>
      <c r="U836" s="3"/>
      <c r="V836" s="3"/>
      <c r="W836" s="3"/>
      <c r="X836" s="3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3"/>
      <c r="BR836" s="4"/>
      <c r="BS836" s="4"/>
      <c r="BT836" s="4"/>
      <c r="BU836" s="4"/>
    </row>
    <row r="837" spans="1:73" ht="12.75" x14ac:dyDescent="0.2">
      <c r="A837" s="1"/>
      <c r="B837" s="2"/>
      <c r="C837" s="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84"/>
      <c r="O837" s="4"/>
      <c r="P837" s="4"/>
      <c r="Q837" s="4"/>
      <c r="R837" s="3"/>
      <c r="S837" s="3"/>
      <c r="T837" s="3"/>
      <c r="U837" s="3"/>
      <c r="V837" s="3"/>
      <c r="W837" s="3"/>
      <c r="X837" s="3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3"/>
      <c r="BR837" s="4"/>
      <c r="BS837" s="4"/>
      <c r="BT837" s="4"/>
      <c r="BU837" s="4"/>
    </row>
    <row r="838" spans="1:73" ht="12.75" x14ac:dyDescent="0.2">
      <c r="A838" s="1"/>
      <c r="B838" s="2"/>
      <c r="C838" s="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84"/>
      <c r="O838" s="4"/>
      <c r="P838" s="4"/>
      <c r="Q838" s="4"/>
      <c r="R838" s="3"/>
      <c r="S838" s="3"/>
      <c r="T838" s="3"/>
      <c r="U838" s="3"/>
      <c r="V838" s="3"/>
      <c r="W838" s="3"/>
      <c r="X838" s="3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3"/>
      <c r="BR838" s="4"/>
      <c r="BS838" s="4"/>
      <c r="BT838" s="4"/>
      <c r="BU838" s="4"/>
    </row>
    <row r="839" spans="1:73" ht="12.75" x14ac:dyDescent="0.2">
      <c r="A839" s="1"/>
      <c r="B839" s="2"/>
      <c r="C839" s="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84"/>
      <c r="O839" s="4"/>
      <c r="P839" s="4"/>
      <c r="Q839" s="4"/>
      <c r="R839" s="3"/>
      <c r="S839" s="3"/>
      <c r="T839" s="3"/>
      <c r="U839" s="3"/>
      <c r="V839" s="3"/>
      <c r="W839" s="3"/>
      <c r="X839" s="3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3"/>
      <c r="BR839" s="4"/>
      <c r="BS839" s="4"/>
      <c r="BT839" s="4"/>
      <c r="BU839" s="4"/>
    </row>
    <row r="840" spans="1:73" ht="12.75" x14ac:dyDescent="0.2">
      <c r="A840" s="1"/>
      <c r="B840" s="2"/>
      <c r="C840" s="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84"/>
      <c r="O840" s="4"/>
      <c r="P840" s="4"/>
      <c r="Q840" s="4"/>
      <c r="R840" s="3"/>
      <c r="S840" s="3"/>
      <c r="T840" s="3"/>
      <c r="U840" s="3"/>
      <c r="V840" s="3"/>
      <c r="W840" s="3"/>
      <c r="X840" s="3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3"/>
      <c r="BR840" s="4"/>
      <c r="BS840" s="4"/>
      <c r="BT840" s="4"/>
      <c r="BU840" s="4"/>
    </row>
    <row r="841" spans="1:73" ht="12.75" x14ac:dyDescent="0.2">
      <c r="A841" s="1"/>
      <c r="B841" s="2"/>
      <c r="C841" s="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84"/>
      <c r="O841" s="4"/>
      <c r="P841" s="4"/>
      <c r="Q841" s="4"/>
      <c r="R841" s="3"/>
      <c r="S841" s="3"/>
      <c r="T841" s="3"/>
      <c r="U841" s="3"/>
      <c r="V841" s="3"/>
      <c r="W841" s="3"/>
      <c r="X841" s="3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3"/>
      <c r="BR841" s="4"/>
      <c r="BS841" s="4"/>
      <c r="BT841" s="4"/>
      <c r="BU841" s="4"/>
    </row>
    <row r="842" spans="1:73" ht="12.75" x14ac:dyDescent="0.2">
      <c r="A842" s="1"/>
      <c r="B842" s="2"/>
      <c r="C842" s="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84"/>
      <c r="O842" s="4"/>
      <c r="P842" s="4"/>
      <c r="Q842" s="4"/>
      <c r="R842" s="3"/>
      <c r="S842" s="3"/>
      <c r="T842" s="3"/>
      <c r="U842" s="3"/>
      <c r="V842" s="3"/>
      <c r="W842" s="3"/>
      <c r="X842" s="3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3"/>
      <c r="BR842" s="4"/>
      <c r="BS842" s="4"/>
      <c r="BT842" s="4"/>
      <c r="BU842" s="4"/>
    </row>
    <row r="843" spans="1:73" ht="12.75" x14ac:dyDescent="0.2">
      <c r="A843" s="1"/>
      <c r="B843" s="2"/>
      <c r="C843" s="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84"/>
      <c r="O843" s="4"/>
      <c r="P843" s="4"/>
      <c r="Q843" s="4"/>
      <c r="R843" s="3"/>
      <c r="S843" s="3"/>
      <c r="T843" s="3"/>
      <c r="U843" s="3"/>
      <c r="V843" s="3"/>
      <c r="W843" s="3"/>
      <c r="X843" s="3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3"/>
      <c r="BR843" s="4"/>
      <c r="BS843" s="4"/>
      <c r="BT843" s="4"/>
      <c r="BU843" s="4"/>
    </row>
    <row r="844" spans="1:73" ht="12.75" x14ac:dyDescent="0.2">
      <c r="A844" s="1"/>
      <c r="B844" s="2"/>
      <c r="C844" s="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84"/>
      <c r="O844" s="4"/>
      <c r="P844" s="4"/>
      <c r="Q844" s="4"/>
      <c r="R844" s="3"/>
      <c r="S844" s="3"/>
      <c r="T844" s="3"/>
      <c r="U844" s="3"/>
      <c r="V844" s="3"/>
      <c r="W844" s="3"/>
      <c r="X844" s="3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3"/>
      <c r="BR844" s="4"/>
      <c r="BS844" s="4"/>
      <c r="BT844" s="4"/>
      <c r="BU844" s="4"/>
    </row>
    <row r="845" spans="1:73" ht="12.75" x14ac:dyDescent="0.2">
      <c r="A845" s="1"/>
      <c r="B845" s="2"/>
      <c r="C845" s="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84"/>
      <c r="O845" s="4"/>
      <c r="P845" s="4"/>
      <c r="Q845" s="4"/>
      <c r="R845" s="3"/>
      <c r="S845" s="3"/>
      <c r="T845" s="3"/>
      <c r="U845" s="3"/>
      <c r="V845" s="3"/>
      <c r="W845" s="3"/>
      <c r="X845" s="3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3"/>
      <c r="BR845" s="4"/>
      <c r="BS845" s="4"/>
      <c r="BT845" s="4"/>
      <c r="BU845" s="4"/>
    </row>
    <row r="846" spans="1:73" ht="12.75" x14ac:dyDescent="0.2">
      <c r="A846" s="1"/>
      <c r="B846" s="2"/>
      <c r="C846" s="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84"/>
      <c r="O846" s="4"/>
      <c r="P846" s="4"/>
      <c r="Q846" s="4"/>
      <c r="R846" s="3"/>
      <c r="S846" s="3"/>
      <c r="T846" s="3"/>
      <c r="U846" s="3"/>
      <c r="V846" s="3"/>
      <c r="W846" s="3"/>
      <c r="X846" s="3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3"/>
      <c r="BR846" s="4"/>
      <c r="BS846" s="4"/>
      <c r="BT846" s="4"/>
      <c r="BU846" s="4"/>
    </row>
    <row r="847" spans="1:73" ht="12.75" x14ac:dyDescent="0.2">
      <c r="A847" s="1"/>
      <c r="B847" s="2"/>
      <c r="C847" s="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84"/>
      <c r="O847" s="4"/>
      <c r="P847" s="4"/>
      <c r="Q847" s="4"/>
      <c r="R847" s="3"/>
      <c r="S847" s="3"/>
      <c r="T847" s="3"/>
      <c r="U847" s="3"/>
      <c r="V847" s="3"/>
      <c r="W847" s="3"/>
      <c r="X847" s="3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3"/>
      <c r="BR847" s="4"/>
      <c r="BS847" s="4"/>
      <c r="BT847" s="4"/>
      <c r="BU847" s="4"/>
    </row>
    <row r="848" spans="1:73" ht="12.75" x14ac:dyDescent="0.2">
      <c r="A848" s="1"/>
      <c r="B848" s="2"/>
      <c r="C848" s="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84"/>
      <c r="O848" s="4"/>
      <c r="P848" s="4"/>
      <c r="Q848" s="4"/>
      <c r="R848" s="3"/>
      <c r="S848" s="3"/>
      <c r="T848" s="3"/>
      <c r="U848" s="3"/>
      <c r="V848" s="3"/>
      <c r="W848" s="3"/>
      <c r="X848" s="3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3"/>
      <c r="BR848" s="4"/>
      <c r="BS848" s="4"/>
      <c r="BT848" s="4"/>
      <c r="BU848" s="4"/>
    </row>
    <row r="849" spans="1:73" ht="12.75" x14ac:dyDescent="0.2">
      <c r="A849" s="1"/>
      <c r="B849" s="2"/>
      <c r="C849" s="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84"/>
      <c r="O849" s="4"/>
      <c r="P849" s="4"/>
      <c r="Q849" s="4"/>
      <c r="R849" s="3"/>
      <c r="S849" s="3"/>
      <c r="T849" s="3"/>
      <c r="U849" s="3"/>
      <c r="V849" s="3"/>
      <c r="W849" s="3"/>
      <c r="X849" s="3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3"/>
      <c r="BR849" s="4"/>
      <c r="BS849" s="4"/>
      <c r="BT849" s="4"/>
      <c r="BU849" s="4"/>
    </row>
    <row r="850" spans="1:73" ht="12.75" x14ac:dyDescent="0.2">
      <c r="A850" s="1"/>
      <c r="B850" s="2"/>
      <c r="C850" s="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84"/>
      <c r="O850" s="4"/>
      <c r="P850" s="4"/>
      <c r="Q850" s="4"/>
      <c r="R850" s="3"/>
      <c r="S850" s="3"/>
      <c r="T850" s="3"/>
      <c r="U850" s="3"/>
      <c r="V850" s="3"/>
      <c r="W850" s="3"/>
      <c r="X850" s="3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3"/>
      <c r="BR850" s="4"/>
      <c r="BS850" s="4"/>
      <c r="BT850" s="4"/>
      <c r="BU850" s="4"/>
    </row>
    <row r="851" spans="1:73" ht="12.75" x14ac:dyDescent="0.2">
      <c r="A851" s="1"/>
      <c r="B851" s="2"/>
      <c r="C851" s="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84"/>
      <c r="O851" s="4"/>
      <c r="P851" s="4"/>
      <c r="Q851" s="4"/>
      <c r="R851" s="3"/>
      <c r="S851" s="3"/>
      <c r="T851" s="3"/>
      <c r="U851" s="3"/>
      <c r="V851" s="3"/>
      <c r="W851" s="3"/>
      <c r="X851" s="3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3"/>
      <c r="BR851" s="4"/>
      <c r="BS851" s="4"/>
      <c r="BT851" s="4"/>
      <c r="BU851" s="4"/>
    </row>
    <row r="852" spans="1:73" ht="12.75" x14ac:dyDescent="0.2">
      <c r="A852" s="1"/>
      <c r="B852" s="2"/>
      <c r="C852" s="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84"/>
      <c r="O852" s="4"/>
      <c r="P852" s="4"/>
      <c r="Q852" s="4"/>
      <c r="R852" s="3"/>
      <c r="S852" s="3"/>
      <c r="T852" s="3"/>
      <c r="U852" s="3"/>
      <c r="V852" s="3"/>
      <c r="W852" s="3"/>
      <c r="X852" s="3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3"/>
      <c r="BR852" s="4"/>
      <c r="BS852" s="4"/>
      <c r="BT852" s="4"/>
      <c r="BU852" s="4"/>
    </row>
    <row r="853" spans="1:73" ht="12.75" x14ac:dyDescent="0.2">
      <c r="A853" s="1"/>
      <c r="B853" s="2"/>
      <c r="C853" s="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84"/>
      <c r="O853" s="4"/>
      <c r="P853" s="4"/>
      <c r="Q853" s="4"/>
      <c r="R853" s="3"/>
      <c r="S853" s="3"/>
      <c r="T853" s="3"/>
      <c r="U853" s="3"/>
      <c r="V853" s="3"/>
      <c r="W853" s="3"/>
      <c r="X853" s="3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3"/>
      <c r="BR853" s="4"/>
      <c r="BS853" s="4"/>
      <c r="BT853" s="4"/>
      <c r="BU853" s="4"/>
    </row>
    <row r="854" spans="1:73" ht="12.75" x14ac:dyDescent="0.2">
      <c r="A854" s="1"/>
      <c r="B854" s="2"/>
      <c r="C854" s="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84"/>
      <c r="O854" s="4"/>
      <c r="P854" s="4"/>
      <c r="Q854" s="4"/>
      <c r="R854" s="3"/>
      <c r="S854" s="3"/>
      <c r="T854" s="3"/>
      <c r="U854" s="3"/>
      <c r="V854" s="3"/>
      <c r="W854" s="3"/>
      <c r="X854" s="3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3"/>
      <c r="BR854" s="4"/>
      <c r="BS854" s="4"/>
      <c r="BT854" s="4"/>
      <c r="BU854" s="4"/>
    </row>
    <row r="855" spans="1:73" ht="12.75" x14ac:dyDescent="0.2">
      <c r="A855" s="1"/>
      <c r="B855" s="2"/>
      <c r="C855" s="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84"/>
      <c r="O855" s="4"/>
      <c r="P855" s="4"/>
      <c r="Q855" s="4"/>
      <c r="R855" s="3"/>
      <c r="S855" s="3"/>
      <c r="T855" s="3"/>
      <c r="U855" s="3"/>
      <c r="V855" s="3"/>
      <c r="W855" s="3"/>
      <c r="X855" s="3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3"/>
      <c r="BR855" s="4"/>
      <c r="BS855" s="4"/>
      <c r="BT855" s="4"/>
      <c r="BU855" s="4"/>
    </row>
    <row r="856" spans="1:73" ht="12.75" x14ac:dyDescent="0.2">
      <c r="A856" s="1"/>
      <c r="B856" s="2"/>
      <c r="C856" s="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84"/>
      <c r="O856" s="4"/>
      <c r="P856" s="4"/>
      <c r="Q856" s="4"/>
      <c r="R856" s="3"/>
      <c r="S856" s="3"/>
      <c r="T856" s="3"/>
      <c r="U856" s="3"/>
      <c r="V856" s="3"/>
      <c r="W856" s="3"/>
      <c r="X856" s="3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3"/>
      <c r="BR856" s="4"/>
      <c r="BS856" s="4"/>
      <c r="BT856" s="4"/>
      <c r="BU856" s="4"/>
    </row>
    <row r="857" spans="1:73" ht="12.75" x14ac:dyDescent="0.2">
      <c r="A857" s="1"/>
      <c r="B857" s="2"/>
      <c r="C857" s="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84"/>
      <c r="O857" s="4"/>
      <c r="P857" s="4"/>
      <c r="Q857" s="4"/>
      <c r="R857" s="3"/>
      <c r="S857" s="3"/>
      <c r="T857" s="3"/>
      <c r="U857" s="3"/>
      <c r="V857" s="3"/>
      <c r="W857" s="3"/>
      <c r="X857" s="3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3"/>
      <c r="BR857" s="4"/>
      <c r="BS857" s="4"/>
      <c r="BT857" s="4"/>
      <c r="BU857" s="4"/>
    </row>
    <row r="858" spans="1:73" ht="12.75" x14ac:dyDescent="0.2">
      <c r="A858" s="1"/>
      <c r="B858" s="2"/>
      <c r="C858" s="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84"/>
      <c r="O858" s="4"/>
      <c r="P858" s="4"/>
      <c r="Q858" s="4"/>
      <c r="R858" s="3"/>
      <c r="S858" s="3"/>
      <c r="T858" s="3"/>
      <c r="U858" s="3"/>
      <c r="V858" s="3"/>
      <c r="W858" s="3"/>
      <c r="X858" s="3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3"/>
      <c r="BR858" s="4"/>
      <c r="BS858" s="4"/>
      <c r="BT858" s="4"/>
      <c r="BU858" s="4"/>
    </row>
    <row r="859" spans="1:73" ht="12.75" x14ac:dyDescent="0.2">
      <c r="A859" s="1"/>
      <c r="B859" s="2"/>
      <c r="C859" s="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84"/>
      <c r="O859" s="4"/>
      <c r="P859" s="4"/>
      <c r="Q859" s="4"/>
      <c r="R859" s="3"/>
      <c r="S859" s="3"/>
      <c r="T859" s="3"/>
      <c r="U859" s="3"/>
      <c r="V859" s="3"/>
      <c r="W859" s="3"/>
      <c r="X859" s="3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3"/>
      <c r="BR859" s="4"/>
      <c r="BS859" s="4"/>
      <c r="BT859" s="4"/>
      <c r="BU859" s="4"/>
    </row>
    <row r="860" spans="1:73" ht="12.75" x14ac:dyDescent="0.2">
      <c r="A860" s="1"/>
      <c r="B860" s="2"/>
      <c r="C860" s="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84"/>
      <c r="O860" s="4"/>
      <c r="P860" s="4"/>
      <c r="Q860" s="4"/>
      <c r="R860" s="3"/>
      <c r="S860" s="3"/>
      <c r="T860" s="3"/>
      <c r="U860" s="3"/>
      <c r="V860" s="3"/>
      <c r="W860" s="3"/>
      <c r="X860" s="3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3"/>
      <c r="BR860" s="4"/>
      <c r="BS860" s="4"/>
      <c r="BT860" s="4"/>
      <c r="BU860" s="4"/>
    </row>
    <row r="861" spans="1:73" ht="12.75" x14ac:dyDescent="0.2">
      <c r="A861" s="1"/>
      <c r="B861" s="2"/>
      <c r="C861" s="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84"/>
      <c r="O861" s="4"/>
      <c r="P861" s="4"/>
      <c r="Q861" s="4"/>
      <c r="R861" s="3"/>
      <c r="S861" s="3"/>
      <c r="T861" s="3"/>
      <c r="U861" s="3"/>
      <c r="V861" s="3"/>
      <c r="W861" s="3"/>
      <c r="X861" s="3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3"/>
      <c r="BR861" s="4"/>
      <c r="BS861" s="4"/>
      <c r="BT861" s="4"/>
      <c r="BU861" s="4"/>
    </row>
    <row r="862" spans="1:73" ht="12.75" x14ac:dyDescent="0.2">
      <c r="A862" s="1"/>
      <c r="B862" s="2"/>
      <c r="C862" s="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84"/>
      <c r="O862" s="4"/>
      <c r="P862" s="4"/>
      <c r="Q862" s="4"/>
      <c r="R862" s="3"/>
      <c r="S862" s="3"/>
      <c r="T862" s="3"/>
      <c r="U862" s="3"/>
      <c r="V862" s="3"/>
      <c r="W862" s="3"/>
      <c r="X862" s="3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3"/>
      <c r="BR862" s="4"/>
      <c r="BS862" s="4"/>
      <c r="BT862" s="4"/>
      <c r="BU862" s="4"/>
    </row>
    <row r="863" spans="1:73" ht="12.75" x14ac:dyDescent="0.2">
      <c r="A863" s="1"/>
      <c r="B863" s="2"/>
      <c r="C863" s="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84"/>
      <c r="O863" s="4"/>
      <c r="P863" s="4"/>
      <c r="Q863" s="4"/>
      <c r="R863" s="3"/>
      <c r="S863" s="3"/>
      <c r="T863" s="3"/>
      <c r="U863" s="3"/>
      <c r="V863" s="3"/>
      <c r="W863" s="3"/>
      <c r="X863" s="3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3"/>
      <c r="BR863" s="4"/>
      <c r="BS863" s="4"/>
      <c r="BT863" s="4"/>
      <c r="BU863" s="4"/>
    </row>
    <row r="864" spans="1:73" ht="12.75" x14ac:dyDescent="0.2">
      <c r="A864" s="1"/>
      <c r="B864" s="2"/>
      <c r="C864" s="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84"/>
      <c r="O864" s="4"/>
      <c r="P864" s="4"/>
      <c r="Q864" s="4"/>
      <c r="R864" s="3"/>
      <c r="S864" s="3"/>
      <c r="T864" s="3"/>
      <c r="U864" s="3"/>
      <c r="V864" s="3"/>
      <c r="W864" s="3"/>
      <c r="X864" s="3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3"/>
      <c r="BR864" s="4"/>
      <c r="BS864" s="4"/>
      <c r="BT864" s="4"/>
      <c r="BU864" s="4"/>
    </row>
    <row r="865" spans="1:73" ht="12.75" x14ac:dyDescent="0.2">
      <c r="A865" s="1"/>
      <c r="B865" s="2"/>
      <c r="C865" s="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84"/>
      <c r="O865" s="4"/>
      <c r="P865" s="4"/>
      <c r="Q865" s="4"/>
      <c r="R865" s="3"/>
      <c r="S865" s="3"/>
      <c r="T865" s="3"/>
      <c r="U865" s="3"/>
      <c r="V865" s="3"/>
      <c r="W865" s="3"/>
      <c r="X865" s="3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3"/>
      <c r="BR865" s="4"/>
      <c r="BS865" s="4"/>
      <c r="BT865" s="4"/>
      <c r="BU865" s="4"/>
    </row>
    <row r="866" spans="1:73" ht="12.75" x14ac:dyDescent="0.2">
      <c r="A866" s="1"/>
      <c r="B866" s="2"/>
      <c r="C866" s="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84"/>
      <c r="O866" s="4"/>
      <c r="P866" s="4"/>
      <c r="Q866" s="4"/>
      <c r="R866" s="3"/>
      <c r="S866" s="3"/>
      <c r="T866" s="3"/>
      <c r="U866" s="3"/>
      <c r="V866" s="3"/>
      <c r="W866" s="3"/>
      <c r="X866" s="3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3"/>
      <c r="BR866" s="4"/>
      <c r="BS866" s="4"/>
      <c r="BT866" s="4"/>
      <c r="BU866" s="4"/>
    </row>
    <row r="867" spans="1:73" ht="12.75" x14ac:dyDescent="0.2">
      <c r="A867" s="1"/>
      <c r="B867" s="2"/>
      <c r="C867" s="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84"/>
      <c r="O867" s="4"/>
      <c r="P867" s="4"/>
      <c r="Q867" s="4"/>
      <c r="R867" s="3"/>
      <c r="S867" s="3"/>
      <c r="T867" s="3"/>
      <c r="U867" s="3"/>
      <c r="V867" s="3"/>
      <c r="W867" s="3"/>
      <c r="X867" s="3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3"/>
      <c r="BR867" s="4"/>
      <c r="BS867" s="4"/>
      <c r="BT867" s="4"/>
      <c r="BU867" s="4"/>
    </row>
    <row r="868" spans="1:73" ht="12.75" x14ac:dyDescent="0.2">
      <c r="A868" s="1"/>
      <c r="B868" s="2"/>
      <c r="C868" s="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84"/>
      <c r="O868" s="4"/>
      <c r="P868" s="4"/>
      <c r="Q868" s="4"/>
      <c r="R868" s="3"/>
      <c r="S868" s="3"/>
      <c r="T868" s="3"/>
      <c r="U868" s="3"/>
      <c r="V868" s="3"/>
      <c r="W868" s="3"/>
      <c r="X868" s="3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3"/>
      <c r="BR868" s="4"/>
      <c r="BS868" s="4"/>
      <c r="BT868" s="4"/>
      <c r="BU868" s="4"/>
    </row>
    <row r="869" spans="1:73" ht="12.75" x14ac:dyDescent="0.2">
      <c r="A869" s="1"/>
      <c r="B869" s="2"/>
      <c r="C869" s="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84"/>
      <c r="O869" s="4"/>
      <c r="P869" s="4"/>
      <c r="Q869" s="4"/>
      <c r="R869" s="3"/>
      <c r="S869" s="3"/>
      <c r="T869" s="3"/>
      <c r="U869" s="3"/>
      <c r="V869" s="3"/>
      <c r="W869" s="3"/>
      <c r="X869" s="3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3"/>
      <c r="BR869" s="4"/>
      <c r="BS869" s="4"/>
      <c r="BT869" s="4"/>
      <c r="BU869" s="4"/>
    </row>
    <row r="870" spans="1:73" ht="12.75" x14ac:dyDescent="0.2">
      <c r="A870" s="1"/>
      <c r="B870" s="2"/>
      <c r="C870" s="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84"/>
      <c r="O870" s="4"/>
      <c r="P870" s="4"/>
      <c r="Q870" s="4"/>
      <c r="R870" s="3"/>
      <c r="S870" s="3"/>
      <c r="T870" s="3"/>
      <c r="U870" s="3"/>
      <c r="V870" s="3"/>
      <c r="W870" s="3"/>
      <c r="X870" s="3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3"/>
      <c r="BR870" s="4"/>
      <c r="BS870" s="4"/>
      <c r="BT870" s="4"/>
      <c r="BU870" s="4"/>
    </row>
    <row r="871" spans="1:73" ht="12.75" x14ac:dyDescent="0.2">
      <c r="A871" s="1"/>
      <c r="B871" s="2"/>
      <c r="C871" s="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84"/>
      <c r="O871" s="4"/>
      <c r="P871" s="4"/>
      <c r="Q871" s="4"/>
      <c r="R871" s="3"/>
      <c r="S871" s="3"/>
      <c r="T871" s="3"/>
      <c r="U871" s="3"/>
      <c r="V871" s="3"/>
      <c r="W871" s="3"/>
      <c r="X871" s="3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3"/>
      <c r="BR871" s="4"/>
      <c r="BS871" s="4"/>
      <c r="BT871" s="4"/>
      <c r="BU871" s="4"/>
    </row>
    <row r="872" spans="1:73" ht="12.75" x14ac:dyDescent="0.2">
      <c r="A872" s="1"/>
      <c r="B872" s="2"/>
      <c r="C872" s="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84"/>
      <c r="O872" s="4"/>
      <c r="P872" s="4"/>
      <c r="Q872" s="4"/>
      <c r="R872" s="3"/>
      <c r="S872" s="3"/>
      <c r="T872" s="3"/>
      <c r="U872" s="3"/>
      <c r="V872" s="3"/>
      <c r="W872" s="3"/>
      <c r="X872" s="3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3"/>
      <c r="BR872" s="4"/>
      <c r="BS872" s="4"/>
      <c r="BT872" s="4"/>
      <c r="BU872" s="4"/>
    </row>
    <row r="873" spans="1:73" ht="12.75" x14ac:dyDescent="0.2">
      <c r="A873" s="1"/>
      <c r="B873" s="2"/>
      <c r="C873" s="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84"/>
      <c r="O873" s="4"/>
      <c r="P873" s="4"/>
      <c r="Q873" s="4"/>
      <c r="R873" s="3"/>
      <c r="S873" s="3"/>
      <c r="T873" s="3"/>
      <c r="U873" s="3"/>
      <c r="V873" s="3"/>
      <c r="W873" s="3"/>
      <c r="X873" s="3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3"/>
      <c r="BR873" s="4"/>
      <c r="BS873" s="4"/>
      <c r="BT873" s="4"/>
      <c r="BU873" s="4"/>
    </row>
    <row r="874" spans="1:73" ht="12.75" x14ac:dyDescent="0.2">
      <c r="A874" s="1"/>
      <c r="B874" s="2"/>
      <c r="C874" s="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84"/>
      <c r="O874" s="4"/>
      <c r="P874" s="4"/>
      <c r="Q874" s="4"/>
      <c r="R874" s="3"/>
      <c r="S874" s="3"/>
      <c r="T874" s="3"/>
      <c r="U874" s="3"/>
      <c r="V874" s="3"/>
      <c r="W874" s="3"/>
      <c r="X874" s="3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3"/>
      <c r="BR874" s="4"/>
      <c r="BS874" s="4"/>
      <c r="BT874" s="4"/>
      <c r="BU874" s="4"/>
    </row>
    <row r="875" spans="1:73" ht="12.75" x14ac:dyDescent="0.2">
      <c r="A875" s="1"/>
      <c r="B875" s="2"/>
      <c r="C875" s="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84"/>
      <c r="O875" s="4"/>
      <c r="P875" s="4"/>
      <c r="Q875" s="4"/>
      <c r="R875" s="3"/>
      <c r="S875" s="3"/>
      <c r="T875" s="3"/>
      <c r="U875" s="3"/>
      <c r="V875" s="3"/>
      <c r="W875" s="3"/>
      <c r="X875" s="3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3"/>
      <c r="BR875" s="4"/>
      <c r="BS875" s="4"/>
      <c r="BT875" s="4"/>
      <c r="BU875" s="4"/>
    </row>
    <row r="876" spans="1:73" ht="12.75" x14ac:dyDescent="0.2">
      <c r="A876" s="1"/>
      <c r="B876" s="2"/>
      <c r="C876" s="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84"/>
      <c r="O876" s="4"/>
      <c r="P876" s="4"/>
      <c r="Q876" s="4"/>
      <c r="R876" s="3"/>
      <c r="S876" s="3"/>
      <c r="T876" s="3"/>
      <c r="U876" s="3"/>
      <c r="V876" s="3"/>
      <c r="W876" s="3"/>
      <c r="X876" s="3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3"/>
      <c r="BR876" s="4"/>
      <c r="BS876" s="4"/>
      <c r="BT876" s="4"/>
      <c r="BU876" s="4"/>
    </row>
    <row r="877" spans="1:73" ht="12.75" x14ac:dyDescent="0.2">
      <c r="A877" s="1"/>
      <c r="B877" s="2"/>
      <c r="C877" s="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84"/>
      <c r="O877" s="4"/>
      <c r="P877" s="4"/>
      <c r="Q877" s="4"/>
      <c r="R877" s="3"/>
      <c r="S877" s="3"/>
      <c r="T877" s="3"/>
      <c r="U877" s="3"/>
      <c r="V877" s="3"/>
      <c r="W877" s="3"/>
      <c r="X877" s="3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3"/>
      <c r="BR877" s="4"/>
      <c r="BS877" s="4"/>
      <c r="BT877" s="4"/>
      <c r="BU877" s="4"/>
    </row>
    <row r="878" spans="1:73" ht="12.75" x14ac:dyDescent="0.2">
      <c r="A878" s="1"/>
      <c r="B878" s="2"/>
      <c r="C878" s="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84"/>
      <c r="O878" s="4"/>
      <c r="P878" s="4"/>
      <c r="Q878" s="4"/>
      <c r="R878" s="3"/>
      <c r="S878" s="3"/>
      <c r="T878" s="3"/>
      <c r="U878" s="3"/>
      <c r="V878" s="3"/>
      <c r="W878" s="3"/>
      <c r="X878" s="3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3"/>
      <c r="BR878" s="4"/>
      <c r="BS878" s="4"/>
      <c r="BT878" s="4"/>
      <c r="BU878" s="4"/>
    </row>
    <row r="879" spans="1:73" ht="12.75" x14ac:dyDescent="0.2">
      <c r="A879" s="1"/>
      <c r="B879" s="2"/>
      <c r="C879" s="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84"/>
      <c r="O879" s="4"/>
      <c r="P879" s="4"/>
      <c r="Q879" s="4"/>
      <c r="R879" s="3"/>
      <c r="S879" s="3"/>
      <c r="T879" s="3"/>
      <c r="U879" s="3"/>
      <c r="V879" s="3"/>
      <c r="W879" s="3"/>
      <c r="X879" s="3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3"/>
      <c r="BR879" s="4"/>
      <c r="BS879" s="4"/>
      <c r="BT879" s="4"/>
      <c r="BU879" s="4"/>
    </row>
    <row r="880" spans="1:73" ht="12.75" x14ac:dyDescent="0.2">
      <c r="A880" s="1"/>
      <c r="B880" s="2"/>
      <c r="C880" s="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84"/>
      <c r="O880" s="4"/>
      <c r="P880" s="4"/>
      <c r="Q880" s="4"/>
      <c r="R880" s="3"/>
      <c r="S880" s="3"/>
      <c r="T880" s="3"/>
      <c r="U880" s="3"/>
      <c r="V880" s="3"/>
      <c r="W880" s="3"/>
      <c r="X880" s="3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3"/>
      <c r="BR880" s="4"/>
      <c r="BS880" s="4"/>
      <c r="BT880" s="4"/>
      <c r="BU880" s="4"/>
    </row>
    <row r="881" spans="1:73" ht="12.75" x14ac:dyDescent="0.2">
      <c r="A881" s="1"/>
      <c r="B881" s="2"/>
      <c r="C881" s="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84"/>
      <c r="O881" s="4"/>
      <c r="P881" s="4"/>
      <c r="Q881" s="4"/>
      <c r="R881" s="3"/>
      <c r="S881" s="3"/>
      <c r="T881" s="3"/>
      <c r="U881" s="3"/>
      <c r="V881" s="3"/>
      <c r="W881" s="3"/>
      <c r="X881" s="3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3"/>
      <c r="BR881" s="4"/>
      <c r="BS881" s="4"/>
      <c r="BT881" s="4"/>
      <c r="BU881" s="4"/>
    </row>
    <row r="882" spans="1:73" ht="12.75" x14ac:dyDescent="0.2">
      <c r="A882" s="1"/>
      <c r="B882" s="2"/>
      <c r="C882" s="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84"/>
      <c r="O882" s="4"/>
      <c r="P882" s="4"/>
      <c r="Q882" s="4"/>
      <c r="R882" s="3"/>
      <c r="S882" s="3"/>
      <c r="T882" s="3"/>
      <c r="U882" s="3"/>
      <c r="V882" s="3"/>
      <c r="W882" s="3"/>
      <c r="X882" s="3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3"/>
      <c r="BR882" s="4"/>
      <c r="BS882" s="4"/>
      <c r="BT882" s="4"/>
      <c r="BU882" s="4"/>
    </row>
    <row r="883" spans="1:73" ht="12.75" x14ac:dyDescent="0.2">
      <c r="A883" s="1"/>
      <c r="B883" s="2"/>
      <c r="C883" s="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84"/>
      <c r="O883" s="4"/>
      <c r="P883" s="4"/>
      <c r="Q883" s="4"/>
      <c r="R883" s="3"/>
      <c r="S883" s="3"/>
      <c r="T883" s="3"/>
      <c r="U883" s="3"/>
      <c r="V883" s="3"/>
      <c r="W883" s="3"/>
      <c r="X883" s="3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3"/>
      <c r="BR883" s="4"/>
      <c r="BS883" s="4"/>
      <c r="BT883" s="4"/>
      <c r="BU883" s="4"/>
    </row>
    <row r="884" spans="1:73" ht="12.75" x14ac:dyDescent="0.2">
      <c r="A884" s="1"/>
      <c r="B884" s="2"/>
      <c r="C884" s="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84"/>
      <c r="O884" s="4"/>
      <c r="P884" s="4"/>
      <c r="Q884" s="4"/>
      <c r="R884" s="3"/>
      <c r="S884" s="3"/>
      <c r="T884" s="3"/>
      <c r="U884" s="3"/>
      <c r="V884" s="3"/>
      <c r="W884" s="3"/>
      <c r="X884" s="3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3"/>
      <c r="BR884" s="4"/>
      <c r="BS884" s="4"/>
      <c r="BT884" s="4"/>
      <c r="BU884" s="4"/>
    </row>
    <row r="885" spans="1:73" ht="12.75" x14ac:dyDescent="0.2">
      <c r="A885" s="1"/>
      <c r="B885" s="2"/>
      <c r="C885" s="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84"/>
      <c r="O885" s="4"/>
      <c r="P885" s="4"/>
      <c r="Q885" s="4"/>
      <c r="R885" s="3"/>
      <c r="S885" s="3"/>
      <c r="T885" s="3"/>
      <c r="U885" s="3"/>
      <c r="V885" s="3"/>
      <c r="W885" s="3"/>
      <c r="X885" s="3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3"/>
      <c r="BR885" s="4"/>
      <c r="BS885" s="4"/>
      <c r="BT885" s="4"/>
      <c r="BU885" s="4"/>
    </row>
    <row r="886" spans="1:73" ht="12.75" x14ac:dyDescent="0.2">
      <c r="A886" s="1"/>
      <c r="B886" s="2"/>
      <c r="C886" s="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84"/>
      <c r="O886" s="4"/>
      <c r="P886" s="4"/>
      <c r="Q886" s="4"/>
      <c r="R886" s="3"/>
      <c r="S886" s="3"/>
      <c r="T886" s="3"/>
      <c r="U886" s="3"/>
      <c r="V886" s="3"/>
      <c r="W886" s="3"/>
      <c r="X886" s="3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3"/>
      <c r="BR886" s="4"/>
      <c r="BS886" s="4"/>
      <c r="BT886" s="4"/>
      <c r="BU886" s="4"/>
    </row>
    <row r="887" spans="1:73" ht="12.75" x14ac:dyDescent="0.2">
      <c r="A887" s="1"/>
      <c r="B887" s="2"/>
      <c r="C887" s="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84"/>
      <c r="O887" s="4"/>
      <c r="P887" s="4"/>
      <c r="Q887" s="4"/>
      <c r="R887" s="3"/>
      <c r="S887" s="3"/>
      <c r="T887" s="3"/>
      <c r="U887" s="3"/>
      <c r="V887" s="3"/>
      <c r="W887" s="3"/>
      <c r="X887" s="3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3"/>
      <c r="BR887" s="4"/>
      <c r="BS887" s="4"/>
      <c r="BT887" s="4"/>
      <c r="BU887" s="4"/>
    </row>
    <row r="888" spans="1:73" ht="12.75" x14ac:dyDescent="0.2">
      <c r="A888" s="1"/>
      <c r="B888" s="2"/>
      <c r="C888" s="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84"/>
      <c r="O888" s="4"/>
      <c r="P888" s="4"/>
      <c r="Q888" s="4"/>
      <c r="R888" s="3"/>
      <c r="S888" s="3"/>
      <c r="T888" s="3"/>
      <c r="U888" s="3"/>
      <c r="V888" s="3"/>
      <c r="W888" s="3"/>
      <c r="X888" s="3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3"/>
      <c r="BR888" s="4"/>
      <c r="BS888" s="4"/>
      <c r="BT888" s="4"/>
      <c r="BU888" s="4"/>
    </row>
    <row r="889" spans="1:73" ht="12.75" x14ac:dyDescent="0.2">
      <c r="A889" s="1"/>
      <c r="B889" s="2"/>
      <c r="C889" s="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84"/>
      <c r="O889" s="4"/>
      <c r="P889" s="4"/>
      <c r="Q889" s="4"/>
      <c r="R889" s="3"/>
      <c r="S889" s="3"/>
      <c r="T889" s="3"/>
      <c r="U889" s="3"/>
      <c r="V889" s="3"/>
      <c r="W889" s="3"/>
      <c r="X889" s="3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3"/>
      <c r="BR889" s="4"/>
      <c r="BS889" s="4"/>
      <c r="BT889" s="4"/>
      <c r="BU889" s="4"/>
    </row>
    <row r="890" spans="1:73" ht="12.75" x14ac:dyDescent="0.2">
      <c r="A890" s="1"/>
      <c r="B890" s="2"/>
      <c r="C890" s="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84"/>
      <c r="O890" s="4"/>
      <c r="P890" s="4"/>
      <c r="Q890" s="4"/>
      <c r="R890" s="3"/>
      <c r="S890" s="3"/>
      <c r="T890" s="3"/>
      <c r="U890" s="3"/>
      <c r="V890" s="3"/>
      <c r="W890" s="3"/>
      <c r="X890" s="3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3"/>
      <c r="BR890" s="4"/>
      <c r="BS890" s="4"/>
      <c r="BT890" s="4"/>
      <c r="BU890" s="4"/>
    </row>
    <row r="891" spans="1:73" ht="12.75" x14ac:dyDescent="0.2">
      <c r="A891" s="1"/>
      <c r="B891" s="2"/>
      <c r="C891" s="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84"/>
      <c r="O891" s="4"/>
      <c r="P891" s="4"/>
      <c r="Q891" s="4"/>
      <c r="R891" s="3"/>
      <c r="S891" s="3"/>
      <c r="T891" s="3"/>
      <c r="U891" s="3"/>
      <c r="V891" s="3"/>
      <c r="W891" s="3"/>
      <c r="X891" s="3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3"/>
      <c r="BR891" s="4"/>
      <c r="BS891" s="4"/>
      <c r="BT891" s="4"/>
      <c r="BU891" s="4"/>
    </row>
    <row r="892" spans="1:73" ht="12.75" x14ac:dyDescent="0.2">
      <c r="A892" s="1"/>
      <c r="B892" s="2"/>
      <c r="C892" s="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84"/>
      <c r="O892" s="4"/>
      <c r="P892" s="4"/>
      <c r="Q892" s="4"/>
      <c r="R892" s="3"/>
      <c r="S892" s="3"/>
      <c r="T892" s="3"/>
      <c r="U892" s="3"/>
      <c r="V892" s="3"/>
      <c r="W892" s="3"/>
      <c r="X892" s="3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3"/>
      <c r="BR892" s="4"/>
      <c r="BS892" s="4"/>
      <c r="BT892" s="4"/>
      <c r="BU892" s="4"/>
    </row>
    <row r="893" spans="1:73" ht="12.75" x14ac:dyDescent="0.2">
      <c r="A893" s="1"/>
      <c r="B893" s="2"/>
      <c r="C893" s="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84"/>
      <c r="O893" s="4"/>
      <c r="P893" s="4"/>
      <c r="Q893" s="4"/>
      <c r="R893" s="3"/>
      <c r="S893" s="3"/>
      <c r="T893" s="3"/>
      <c r="U893" s="3"/>
      <c r="V893" s="3"/>
      <c r="W893" s="3"/>
      <c r="X893" s="3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3"/>
      <c r="BR893" s="4"/>
      <c r="BS893" s="4"/>
      <c r="BT893" s="4"/>
      <c r="BU893" s="4"/>
    </row>
    <row r="894" spans="1:73" ht="12.75" x14ac:dyDescent="0.2">
      <c r="A894" s="1"/>
      <c r="B894" s="2"/>
      <c r="C894" s="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84"/>
      <c r="O894" s="4"/>
      <c r="P894" s="4"/>
      <c r="Q894" s="4"/>
      <c r="R894" s="3"/>
      <c r="S894" s="3"/>
      <c r="T894" s="3"/>
      <c r="U894" s="3"/>
      <c r="V894" s="3"/>
      <c r="W894" s="3"/>
      <c r="X894" s="3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3"/>
      <c r="BR894" s="4"/>
      <c r="BS894" s="4"/>
      <c r="BT894" s="4"/>
      <c r="BU894" s="4"/>
    </row>
    <row r="895" spans="1:73" ht="12.75" x14ac:dyDescent="0.2">
      <c r="A895" s="1"/>
      <c r="B895" s="2"/>
      <c r="C895" s="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84"/>
      <c r="O895" s="4"/>
      <c r="P895" s="4"/>
      <c r="Q895" s="4"/>
      <c r="R895" s="3"/>
      <c r="S895" s="3"/>
      <c r="T895" s="3"/>
      <c r="U895" s="3"/>
      <c r="V895" s="3"/>
      <c r="W895" s="3"/>
      <c r="X895" s="3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3"/>
      <c r="BR895" s="4"/>
      <c r="BS895" s="4"/>
      <c r="BT895" s="4"/>
      <c r="BU895" s="4"/>
    </row>
    <row r="896" spans="1:73" ht="12.75" x14ac:dyDescent="0.2">
      <c r="A896" s="1"/>
      <c r="B896" s="2"/>
      <c r="C896" s="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84"/>
      <c r="O896" s="4"/>
      <c r="P896" s="4"/>
      <c r="Q896" s="4"/>
      <c r="R896" s="3"/>
      <c r="S896" s="3"/>
      <c r="T896" s="3"/>
      <c r="U896" s="3"/>
      <c r="V896" s="3"/>
      <c r="W896" s="3"/>
      <c r="X896" s="3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3"/>
      <c r="BR896" s="4"/>
      <c r="BS896" s="4"/>
      <c r="BT896" s="4"/>
      <c r="BU896" s="4"/>
    </row>
    <row r="897" spans="1:73" ht="12.75" x14ac:dyDescent="0.2">
      <c r="A897" s="1"/>
      <c r="B897" s="2"/>
      <c r="C897" s="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84"/>
      <c r="O897" s="4"/>
      <c r="P897" s="4"/>
      <c r="Q897" s="4"/>
      <c r="R897" s="3"/>
      <c r="S897" s="3"/>
      <c r="T897" s="3"/>
      <c r="U897" s="3"/>
      <c r="V897" s="3"/>
      <c r="W897" s="3"/>
      <c r="X897" s="3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3"/>
      <c r="BR897" s="4"/>
      <c r="BS897" s="4"/>
      <c r="BT897" s="4"/>
      <c r="BU897" s="4"/>
    </row>
    <row r="898" spans="1:73" ht="12.75" x14ac:dyDescent="0.2">
      <c r="A898" s="1"/>
      <c r="B898" s="2"/>
      <c r="C898" s="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84"/>
      <c r="O898" s="4"/>
      <c r="P898" s="4"/>
      <c r="Q898" s="4"/>
      <c r="R898" s="3"/>
      <c r="S898" s="3"/>
      <c r="T898" s="3"/>
      <c r="U898" s="3"/>
      <c r="V898" s="3"/>
      <c r="W898" s="3"/>
      <c r="X898" s="3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3"/>
      <c r="BR898" s="4"/>
      <c r="BS898" s="4"/>
      <c r="BT898" s="4"/>
      <c r="BU898" s="4"/>
    </row>
    <row r="899" spans="1:73" ht="12.75" x14ac:dyDescent="0.2">
      <c r="A899" s="1"/>
      <c r="B899" s="2"/>
      <c r="C899" s="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84"/>
      <c r="O899" s="4"/>
      <c r="P899" s="4"/>
      <c r="Q899" s="4"/>
      <c r="R899" s="3"/>
      <c r="S899" s="3"/>
      <c r="T899" s="3"/>
      <c r="U899" s="3"/>
      <c r="V899" s="3"/>
      <c r="W899" s="3"/>
      <c r="X899" s="3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3"/>
      <c r="BR899" s="4"/>
      <c r="BS899" s="4"/>
      <c r="BT899" s="4"/>
      <c r="BU899" s="4"/>
    </row>
    <row r="900" spans="1:73" ht="12.75" x14ac:dyDescent="0.2">
      <c r="A900" s="1"/>
      <c r="B900" s="2"/>
      <c r="C900" s="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84"/>
      <c r="O900" s="4"/>
      <c r="P900" s="4"/>
      <c r="Q900" s="4"/>
      <c r="R900" s="3"/>
      <c r="S900" s="3"/>
      <c r="T900" s="3"/>
      <c r="U900" s="3"/>
      <c r="V900" s="3"/>
      <c r="W900" s="3"/>
      <c r="X900" s="3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3"/>
      <c r="BR900" s="4"/>
      <c r="BS900" s="4"/>
      <c r="BT900" s="4"/>
      <c r="BU900" s="4"/>
    </row>
    <row r="901" spans="1:73" ht="12.75" x14ac:dyDescent="0.2">
      <c r="A901" s="1"/>
      <c r="B901" s="2"/>
      <c r="C901" s="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84"/>
      <c r="O901" s="4"/>
      <c r="P901" s="4"/>
      <c r="Q901" s="4"/>
      <c r="R901" s="3"/>
      <c r="S901" s="3"/>
      <c r="T901" s="3"/>
      <c r="U901" s="3"/>
      <c r="V901" s="3"/>
      <c r="W901" s="3"/>
      <c r="X901" s="3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3"/>
      <c r="BR901" s="4"/>
      <c r="BS901" s="4"/>
      <c r="BT901" s="4"/>
      <c r="BU901" s="4"/>
    </row>
    <row r="902" spans="1:73" ht="12.75" x14ac:dyDescent="0.2">
      <c r="A902" s="1"/>
      <c r="B902" s="2"/>
      <c r="C902" s="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84"/>
      <c r="O902" s="4"/>
      <c r="P902" s="4"/>
      <c r="Q902" s="4"/>
      <c r="R902" s="3"/>
      <c r="S902" s="3"/>
      <c r="T902" s="3"/>
      <c r="U902" s="3"/>
      <c r="V902" s="3"/>
      <c r="W902" s="3"/>
      <c r="X902" s="3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3"/>
      <c r="BR902" s="4"/>
      <c r="BS902" s="4"/>
      <c r="BT902" s="4"/>
      <c r="BU902" s="4"/>
    </row>
    <row r="903" spans="1:73" ht="12.75" x14ac:dyDescent="0.2">
      <c r="A903" s="1"/>
      <c r="B903" s="2"/>
      <c r="C903" s="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84"/>
      <c r="O903" s="4"/>
      <c r="P903" s="4"/>
      <c r="Q903" s="4"/>
      <c r="R903" s="3"/>
      <c r="S903" s="3"/>
      <c r="T903" s="3"/>
      <c r="U903" s="3"/>
      <c r="V903" s="3"/>
      <c r="W903" s="3"/>
      <c r="X903" s="3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3"/>
      <c r="BR903" s="4"/>
      <c r="BS903" s="4"/>
      <c r="BT903" s="4"/>
      <c r="BU903" s="4"/>
    </row>
    <row r="904" spans="1:73" ht="12.75" x14ac:dyDescent="0.2">
      <c r="A904" s="1"/>
      <c r="B904" s="2"/>
      <c r="C904" s="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84"/>
      <c r="O904" s="4"/>
      <c r="P904" s="4"/>
      <c r="Q904" s="4"/>
      <c r="R904" s="3"/>
      <c r="S904" s="3"/>
      <c r="T904" s="3"/>
      <c r="U904" s="3"/>
      <c r="V904" s="3"/>
      <c r="W904" s="3"/>
      <c r="X904" s="3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3"/>
      <c r="BR904" s="4"/>
      <c r="BS904" s="4"/>
      <c r="BT904" s="4"/>
      <c r="BU904" s="4"/>
    </row>
    <row r="905" spans="1:73" ht="12.75" x14ac:dyDescent="0.2">
      <c r="A905" s="1"/>
      <c r="B905" s="2"/>
      <c r="C905" s="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84"/>
      <c r="O905" s="4"/>
      <c r="P905" s="4"/>
      <c r="Q905" s="4"/>
      <c r="R905" s="3"/>
      <c r="S905" s="3"/>
      <c r="T905" s="3"/>
      <c r="U905" s="3"/>
      <c r="V905" s="3"/>
      <c r="W905" s="3"/>
      <c r="X905" s="3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3"/>
      <c r="BR905" s="4"/>
      <c r="BS905" s="4"/>
      <c r="BT905" s="4"/>
      <c r="BU905" s="4"/>
    </row>
    <row r="906" spans="1:73" ht="12.75" x14ac:dyDescent="0.2">
      <c r="A906" s="1"/>
      <c r="B906" s="2"/>
      <c r="C906" s="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84"/>
      <c r="O906" s="4"/>
      <c r="P906" s="4"/>
      <c r="Q906" s="4"/>
      <c r="R906" s="3"/>
      <c r="S906" s="3"/>
      <c r="T906" s="3"/>
      <c r="U906" s="3"/>
      <c r="V906" s="3"/>
      <c r="W906" s="3"/>
      <c r="X906" s="3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3"/>
      <c r="BR906" s="4"/>
      <c r="BS906" s="4"/>
      <c r="BT906" s="4"/>
      <c r="BU906" s="4"/>
    </row>
    <row r="907" spans="1:73" ht="12.75" x14ac:dyDescent="0.2">
      <c r="A907" s="1"/>
      <c r="B907" s="2"/>
      <c r="C907" s="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84"/>
      <c r="O907" s="4"/>
      <c r="P907" s="4"/>
      <c r="Q907" s="4"/>
      <c r="R907" s="3"/>
      <c r="S907" s="3"/>
      <c r="T907" s="3"/>
      <c r="U907" s="3"/>
      <c r="V907" s="3"/>
      <c r="W907" s="3"/>
      <c r="X907" s="3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3"/>
      <c r="BR907" s="4"/>
      <c r="BS907" s="4"/>
      <c r="BT907" s="4"/>
      <c r="BU907" s="4"/>
    </row>
    <row r="908" spans="1:73" ht="12.75" x14ac:dyDescent="0.2">
      <c r="A908" s="1"/>
      <c r="B908" s="2"/>
      <c r="C908" s="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84"/>
      <c r="O908" s="4"/>
      <c r="P908" s="4"/>
      <c r="Q908" s="4"/>
      <c r="R908" s="3"/>
      <c r="S908" s="3"/>
      <c r="T908" s="3"/>
      <c r="U908" s="3"/>
      <c r="V908" s="3"/>
      <c r="W908" s="3"/>
      <c r="X908" s="3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3"/>
      <c r="BR908" s="4"/>
      <c r="BS908" s="4"/>
      <c r="BT908" s="4"/>
      <c r="BU908" s="4"/>
    </row>
    <row r="909" spans="1:73" ht="12.75" x14ac:dyDescent="0.2">
      <c r="A909" s="1"/>
      <c r="B909" s="2"/>
      <c r="C909" s="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84"/>
      <c r="O909" s="4"/>
      <c r="P909" s="4"/>
      <c r="Q909" s="4"/>
      <c r="R909" s="3"/>
      <c r="S909" s="3"/>
      <c r="T909" s="3"/>
      <c r="U909" s="3"/>
      <c r="V909" s="3"/>
      <c r="W909" s="3"/>
      <c r="X909" s="3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3"/>
      <c r="BR909" s="4"/>
      <c r="BS909" s="4"/>
      <c r="BT909" s="4"/>
      <c r="BU909" s="4"/>
    </row>
    <row r="910" spans="1:73" ht="12.75" x14ac:dyDescent="0.2">
      <c r="A910" s="1"/>
      <c r="B910" s="2"/>
      <c r="C910" s="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84"/>
      <c r="O910" s="4"/>
      <c r="P910" s="4"/>
      <c r="Q910" s="4"/>
      <c r="R910" s="3"/>
      <c r="S910" s="3"/>
      <c r="T910" s="3"/>
      <c r="U910" s="3"/>
      <c r="V910" s="3"/>
      <c r="W910" s="3"/>
      <c r="X910" s="3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3"/>
      <c r="BR910" s="4"/>
      <c r="BS910" s="4"/>
      <c r="BT910" s="4"/>
      <c r="BU910" s="4"/>
    </row>
    <row r="911" spans="1:73" ht="12.75" x14ac:dyDescent="0.2">
      <c r="A911" s="1"/>
      <c r="B911" s="2"/>
      <c r="C911" s="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84"/>
      <c r="O911" s="4"/>
      <c r="P911" s="4"/>
      <c r="Q911" s="4"/>
      <c r="R911" s="3"/>
      <c r="S911" s="3"/>
      <c r="T911" s="3"/>
      <c r="U911" s="3"/>
      <c r="V911" s="3"/>
      <c r="W911" s="3"/>
      <c r="X911" s="3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3"/>
      <c r="BR911" s="4"/>
      <c r="BS911" s="4"/>
      <c r="BT911" s="4"/>
      <c r="BU911" s="4"/>
    </row>
    <row r="912" spans="1:73" ht="12.75" x14ac:dyDescent="0.2">
      <c r="A912" s="1"/>
      <c r="B912" s="2"/>
      <c r="C912" s="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84"/>
      <c r="O912" s="4"/>
      <c r="P912" s="4"/>
      <c r="Q912" s="4"/>
      <c r="R912" s="3"/>
      <c r="S912" s="3"/>
      <c r="T912" s="3"/>
      <c r="U912" s="3"/>
      <c r="V912" s="3"/>
      <c r="W912" s="3"/>
      <c r="X912" s="3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3"/>
      <c r="BR912" s="4"/>
      <c r="BS912" s="4"/>
      <c r="BT912" s="4"/>
      <c r="BU912" s="4"/>
    </row>
    <row r="913" spans="1:73" ht="12.75" x14ac:dyDescent="0.2">
      <c r="A913" s="1"/>
      <c r="B913" s="2"/>
      <c r="C913" s="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84"/>
      <c r="O913" s="4"/>
      <c r="P913" s="4"/>
      <c r="Q913" s="4"/>
      <c r="R913" s="3"/>
      <c r="S913" s="3"/>
      <c r="T913" s="3"/>
      <c r="U913" s="3"/>
      <c r="V913" s="3"/>
      <c r="W913" s="3"/>
      <c r="X913" s="3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3"/>
      <c r="BR913" s="4"/>
      <c r="BS913" s="4"/>
      <c r="BT913" s="4"/>
      <c r="BU913" s="4"/>
    </row>
    <row r="914" spans="1:73" ht="12.75" x14ac:dyDescent="0.2">
      <c r="A914" s="1"/>
      <c r="B914" s="2"/>
      <c r="C914" s="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84"/>
      <c r="O914" s="4"/>
      <c r="P914" s="4"/>
      <c r="Q914" s="4"/>
      <c r="R914" s="3"/>
      <c r="S914" s="3"/>
      <c r="T914" s="3"/>
      <c r="U914" s="3"/>
      <c r="V914" s="3"/>
      <c r="W914" s="3"/>
      <c r="X914" s="3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3"/>
      <c r="BR914" s="4"/>
      <c r="BS914" s="4"/>
      <c r="BT914" s="4"/>
      <c r="BU914" s="4"/>
    </row>
    <row r="915" spans="1:73" ht="12.75" x14ac:dyDescent="0.2">
      <c r="A915" s="1"/>
      <c r="B915" s="2"/>
      <c r="C915" s="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84"/>
      <c r="O915" s="4"/>
      <c r="P915" s="4"/>
      <c r="Q915" s="4"/>
      <c r="R915" s="3"/>
      <c r="S915" s="3"/>
      <c r="T915" s="3"/>
      <c r="U915" s="3"/>
      <c r="V915" s="3"/>
      <c r="W915" s="3"/>
      <c r="X915" s="3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3"/>
      <c r="BR915" s="4"/>
      <c r="BS915" s="4"/>
      <c r="BT915" s="4"/>
      <c r="BU915" s="4"/>
    </row>
    <row r="916" spans="1:73" ht="12.75" x14ac:dyDescent="0.2">
      <c r="A916" s="1"/>
      <c r="B916" s="2"/>
      <c r="C916" s="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84"/>
      <c r="O916" s="4"/>
      <c r="P916" s="4"/>
      <c r="Q916" s="4"/>
      <c r="R916" s="3"/>
      <c r="S916" s="3"/>
      <c r="T916" s="3"/>
      <c r="U916" s="3"/>
      <c r="V916" s="3"/>
      <c r="W916" s="3"/>
      <c r="X916" s="3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3"/>
      <c r="BR916" s="4"/>
      <c r="BS916" s="4"/>
      <c r="BT916" s="4"/>
      <c r="BU916" s="4"/>
    </row>
    <row r="917" spans="1:73" ht="12.75" x14ac:dyDescent="0.2">
      <c r="A917" s="1"/>
      <c r="B917" s="2"/>
      <c r="C917" s="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84"/>
      <c r="O917" s="4"/>
      <c r="P917" s="4"/>
      <c r="Q917" s="4"/>
      <c r="R917" s="3"/>
      <c r="S917" s="3"/>
      <c r="T917" s="3"/>
      <c r="U917" s="3"/>
      <c r="V917" s="3"/>
      <c r="W917" s="3"/>
      <c r="X917" s="3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3"/>
      <c r="BR917" s="4"/>
      <c r="BS917" s="4"/>
      <c r="BT917" s="4"/>
      <c r="BU917" s="4"/>
    </row>
    <row r="918" spans="1:73" ht="12.75" x14ac:dyDescent="0.2">
      <c r="A918" s="1"/>
      <c r="B918" s="2"/>
      <c r="C918" s="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84"/>
      <c r="O918" s="4"/>
      <c r="P918" s="4"/>
      <c r="Q918" s="4"/>
      <c r="R918" s="3"/>
      <c r="S918" s="3"/>
      <c r="T918" s="3"/>
      <c r="U918" s="3"/>
      <c r="V918" s="3"/>
      <c r="W918" s="3"/>
      <c r="X918" s="3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3"/>
      <c r="BR918" s="4"/>
      <c r="BS918" s="4"/>
      <c r="BT918" s="4"/>
      <c r="BU918" s="4"/>
    </row>
    <row r="919" spans="1:73" ht="12.75" x14ac:dyDescent="0.2">
      <c r="A919" s="1"/>
      <c r="B919" s="2"/>
      <c r="C919" s="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84"/>
      <c r="O919" s="4"/>
      <c r="P919" s="4"/>
      <c r="Q919" s="4"/>
      <c r="R919" s="3"/>
      <c r="S919" s="3"/>
      <c r="T919" s="3"/>
      <c r="U919" s="3"/>
      <c r="V919" s="3"/>
      <c r="W919" s="3"/>
      <c r="X919" s="3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3"/>
      <c r="BR919" s="4"/>
      <c r="BS919" s="4"/>
      <c r="BT919" s="4"/>
      <c r="BU919" s="4"/>
    </row>
    <row r="920" spans="1:73" ht="12.75" x14ac:dyDescent="0.2">
      <c r="A920" s="1"/>
      <c r="B920" s="2"/>
      <c r="C920" s="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84"/>
      <c r="O920" s="4"/>
      <c r="P920" s="4"/>
      <c r="Q920" s="4"/>
      <c r="R920" s="3"/>
      <c r="S920" s="3"/>
      <c r="T920" s="3"/>
      <c r="U920" s="3"/>
      <c r="V920" s="3"/>
      <c r="W920" s="3"/>
      <c r="X920" s="3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3"/>
      <c r="BR920" s="4"/>
      <c r="BS920" s="4"/>
      <c r="BT920" s="4"/>
      <c r="BU920" s="4"/>
    </row>
    <row r="921" spans="1:73" ht="12.75" x14ac:dyDescent="0.2">
      <c r="A921" s="1"/>
      <c r="B921" s="2"/>
      <c r="C921" s="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84"/>
      <c r="O921" s="4"/>
      <c r="P921" s="4"/>
      <c r="Q921" s="4"/>
      <c r="R921" s="3"/>
      <c r="S921" s="3"/>
      <c r="T921" s="3"/>
      <c r="U921" s="3"/>
      <c r="V921" s="3"/>
      <c r="W921" s="3"/>
      <c r="X921" s="3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3"/>
      <c r="BR921" s="4"/>
      <c r="BS921" s="4"/>
      <c r="BT921" s="4"/>
      <c r="BU921" s="4"/>
    </row>
    <row r="922" spans="1:73" ht="12.75" x14ac:dyDescent="0.2">
      <c r="A922" s="1"/>
      <c r="B922" s="2"/>
      <c r="C922" s="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84"/>
      <c r="O922" s="4"/>
      <c r="P922" s="4"/>
      <c r="Q922" s="4"/>
      <c r="R922" s="3"/>
      <c r="S922" s="3"/>
      <c r="T922" s="3"/>
      <c r="U922" s="3"/>
      <c r="V922" s="3"/>
      <c r="W922" s="3"/>
      <c r="X922" s="3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3"/>
      <c r="BR922" s="4"/>
      <c r="BS922" s="4"/>
      <c r="BT922" s="4"/>
      <c r="BU922" s="4"/>
    </row>
    <row r="923" spans="1:73" ht="12.75" x14ac:dyDescent="0.2">
      <c r="A923" s="1"/>
      <c r="B923" s="2"/>
      <c r="C923" s="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84"/>
      <c r="O923" s="4"/>
      <c r="P923" s="4"/>
      <c r="Q923" s="4"/>
      <c r="R923" s="3"/>
      <c r="S923" s="3"/>
      <c r="T923" s="3"/>
      <c r="U923" s="3"/>
      <c r="V923" s="3"/>
      <c r="W923" s="3"/>
      <c r="X923" s="3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3"/>
      <c r="BR923" s="4"/>
      <c r="BS923" s="4"/>
      <c r="BT923" s="4"/>
      <c r="BU923" s="4"/>
    </row>
    <row r="924" spans="1:73" ht="12.75" x14ac:dyDescent="0.2">
      <c r="A924" s="1"/>
      <c r="B924" s="2"/>
      <c r="C924" s="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84"/>
      <c r="O924" s="4"/>
      <c r="P924" s="4"/>
      <c r="Q924" s="4"/>
      <c r="R924" s="3"/>
      <c r="S924" s="3"/>
      <c r="T924" s="3"/>
      <c r="U924" s="3"/>
      <c r="V924" s="3"/>
      <c r="W924" s="3"/>
      <c r="X924" s="3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3"/>
      <c r="BR924" s="4"/>
      <c r="BS924" s="4"/>
      <c r="BT924" s="4"/>
      <c r="BU924" s="4"/>
    </row>
    <row r="925" spans="1:73" ht="12.75" x14ac:dyDescent="0.2">
      <c r="A925" s="1"/>
      <c r="B925" s="2"/>
      <c r="C925" s="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84"/>
      <c r="O925" s="4"/>
      <c r="P925" s="4"/>
      <c r="Q925" s="4"/>
      <c r="R925" s="3"/>
      <c r="S925" s="3"/>
      <c r="T925" s="3"/>
      <c r="U925" s="3"/>
      <c r="V925" s="3"/>
      <c r="W925" s="3"/>
      <c r="X925" s="3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3"/>
      <c r="BR925" s="4"/>
      <c r="BS925" s="4"/>
      <c r="BT925" s="4"/>
      <c r="BU925" s="4"/>
    </row>
    <row r="926" spans="1:73" ht="12.75" x14ac:dyDescent="0.2">
      <c r="A926" s="1"/>
      <c r="B926" s="2"/>
      <c r="C926" s="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84"/>
      <c r="O926" s="4"/>
      <c r="P926" s="4"/>
      <c r="Q926" s="4"/>
      <c r="R926" s="3"/>
      <c r="S926" s="3"/>
      <c r="T926" s="3"/>
      <c r="U926" s="3"/>
      <c r="V926" s="3"/>
      <c r="W926" s="3"/>
      <c r="X926" s="3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3"/>
      <c r="BR926" s="4"/>
      <c r="BS926" s="4"/>
      <c r="BT926" s="4"/>
      <c r="BU926" s="4"/>
    </row>
    <row r="927" spans="1:73" ht="12.75" x14ac:dyDescent="0.2">
      <c r="A927" s="1"/>
      <c r="B927" s="2"/>
      <c r="C927" s="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84"/>
      <c r="O927" s="4"/>
      <c r="P927" s="4"/>
      <c r="Q927" s="4"/>
      <c r="R927" s="3"/>
      <c r="S927" s="3"/>
      <c r="T927" s="3"/>
      <c r="U927" s="3"/>
      <c r="V927" s="3"/>
      <c r="W927" s="3"/>
      <c r="X927" s="3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3"/>
      <c r="BR927" s="4"/>
      <c r="BS927" s="4"/>
      <c r="BT927" s="4"/>
      <c r="BU927" s="4"/>
    </row>
    <row r="928" spans="1:73" ht="12.75" x14ac:dyDescent="0.2">
      <c r="A928" s="1"/>
      <c r="B928" s="2"/>
      <c r="C928" s="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84"/>
      <c r="O928" s="4"/>
      <c r="P928" s="4"/>
      <c r="Q928" s="4"/>
      <c r="R928" s="3"/>
      <c r="S928" s="3"/>
      <c r="T928" s="3"/>
      <c r="U928" s="3"/>
      <c r="V928" s="3"/>
      <c r="W928" s="3"/>
      <c r="X928" s="3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3"/>
      <c r="BR928" s="4"/>
      <c r="BS928" s="4"/>
      <c r="BT928" s="4"/>
      <c r="BU928" s="4"/>
    </row>
    <row r="929" spans="1:73" ht="12.75" x14ac:dyDescent="0.2">
      <c r="A929" s="1"/>
      <c r="B929" s="2"/>
      <c r="C929" s="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84"/>
      <c r="O929" s="4"/>
      <c r="P929" s="4"/>
      <c r="Q929" s="4"/>
      <c r="R929" s="3"/>
      <c r="S929" s="3"/>
      <c r="T929" s="3"/>
      <c r="U929" s="3"/>
      <c r="V929" s="3"/>
      <c r="W929" s="3"/>
      <c r="X929" s="3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3"/>
      <c r="BR929" s="4"/>
      <c r="BS929" s="4"/>
      <c r="BT929" s="4"/>
      <c r="BU929" s="4"/>
    </row>
    <row r="930" spans="1:73" ht="12.75" x14ac:dyDescent="0.2">
      <c r="A930" s="1"/>
      <c r="B930" s="2"/>
      <c r="C930" s="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84"/>
      <c r="O930" s="4"/>
      <c r="P930" s="4"/>
      <c r="Q930" s="4"/>
      <c r="R930" s="3"/>
      <c r="S930" s="3"/>
      <c r="T930" s="3"/>
      <c r="U930" s="3"/>
      <c r="V930" s="3"/>
      <c r="W930" s="3"/>
      <c r="X930" s="3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3"/>
      <c r="BR930" s="4"/>
      <c r="BS930" s="4"/>
      <c r="BT930" s="4"/>
      <c r="BU930" s="4"/>
    </row>
    <row r="931" spans="1:73" ht="12.75" x14ac:dyDescent="0.2">
      <c r="A931" s="1"/>
      <c r="B931" s="2"/>
      <c r="C931" s="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84"/>
      <c r="O931" s="4"/>
      <c r="P931" s="4"/>
      <c r="Q931" s="4"/>
      <c r="R931" s="3"/>
      <c r="S931" s="3"/>
      <c r="T931" s="3"/>
      <c r="U931" s="3"/>
      <c r="V931" s="3"/>
      <c r="W931" s="3"/>
      <c r="X931" s="3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3"/>
      <c r="BR931" s="4"/>
      <c r="BS931" s="4"/>
      <c r="BT931" s="4"/>
      <c r="BU931" s="4"/>
    </row>
    <row r="932" spans="1:73" ht="12.75" x14ac:dyDescent="0.2">
      <c r="A932" s="1"/>
      <c r="B932" s="2"/>
      <c r="C932" s="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84"/>
      <c r="O932" s="4"/>
      <c r="P932" s="4"/>
      <c r="Q932" s="4"/>
      <c r="R932" s="3"/>
      <c r="S932" s="3"/>
      <c r="T932" s="3"/>
      <c r="U932" s="3"/>
      <c r="V932" s="3"/>
      <c r="W932" s="3"/>
      <c r="X932" s="3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3"/>
      <c r="BR932" s="4"/>
      <c r="BS932" s="4"/>
      <c r="BT932" s="4"/>
      <c r="BU932" s="4"/>
    </row>
    <row r="933" spans="1:73" ht="12.75" x14ac:dyDescent="0.2">
      <c r="A933" s="1"/>
      <c r="B933" s="2"/>
      <c r="C933" s="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84"/>
      <c r="O933" s="4"/>
      <c r="P933" s="4"/>
      <c r="Q933" s="4"/>
      <c r="R933" s="3"/>
      <c r="S933" s="3"/>
      <c r="T933" s="3"/>
      <c r="U933" s="3"/>
      <c r="V933" s="3"/>
      <c r="W933" s="3"/>
      <c r="X933" s="3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3"/>
      <c r="BR933" s="4"/>
      <c r="BS933" s="4"/>
      <c r="BT933" s="4"/>
      <c r="BU933" s="4"/>
    </row>
    <row r="934" spans="1:73" ht="12.75" x14ac:dyDescent="0.2">
      <c r="A934" s="1"/>
      <c r="B934" s="2"/>
      <c r="C934" s="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84"/>
      <c r="O934" s="4"/>
      <c r="P934" s="4"/>
      <c r="Q934" s="4"/>
      <c r="R934" s="3"/>
      <c r="S934" s="3"/>
      <c r="T934" s="3"/>
      <c r="U934" s="3"/>
      <c r="V934" s="3"/>
      <c r="W934" s="3"/>
      <c r="X934" s="3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3"/>
      <c r="BR934" s="4"/>
      <c r="BS934" s="4"/>
      <c r="BT934" s="4"/>
      <c r="BU934" s="4"/>
    </row>
    <row r="935" spans="1:73" ht="12.75" x14ac:dyDescent="0.2">
      <c r="A935" s="1"/>
      <c r="B935" s="2"/>
      <c r="C935" s="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84"/>
      <c r="O935" s="4"/>
      <c r="P935" s="4"/>
      <c r="Q935" s="4"/>
      <c r="R935" s="3"/>
      <c r="S935" s="3"/>
      <c r="T935" s="3"/>
      <c r="U935" s="3"/>
      <c r="V935" s="3"/>
      <c r="W935" s="3"/>
      <c r="X935" s="3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3"/>
      <c r="BR935" s="4"/>
      <c r="BS935" s="4"/>
      <c r="BT935" s="4"/>
      <c r="BU935" s="4"/>
    </row>
    <row r="936" spans="1:73" ht="12.75" x14ac:dyDescent="0.2">
      <c r="A936" s="1"/>
      <c r="B936" s="2"/>
      <c r="C936" s="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84"/>
      <c r="O936" s="4"/>
      <c r="P936" s="4"/>
      <c r="Q936" s="4"/>
      <c r="R936" s="3"/>
      <c r="S936" s="3"/>
      <c r="T936" s="3"/>
      <c r="U936" s="3"/>
      <c r="V936" s="3"/>
      <c r="W936" s="3"/>
      <c r="X936" s="3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3"/>
      <c r="BR936" s="4"/>
      <c r="BS936" s="4"/>
      <c r="BT936" s="4"/>
      <c r="BU936" s="4"/>
    </row>
    <row r="937" spans="1:73" ht="12.75" x14ac:dyDescent="0.2">
      <c r="A937" s="1"/>
      <c r="B937" s="2"/>
      <c r="C937" s="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84"/>
      <c r="O937" s="4"/>
      <c r="P937" s="4"/>
      <c r="Q937" s="4"/>
      <c r="R937" s="3"/>
      <c r="S937" s="3"/>
      <c r="T937" s="3"/>
      <c r="U937" s="3"/>
      <c r="V937" s="3"/>
      <c r="W937" s="3"/>
      <c r="X937" s="3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3"/>
      <c r="BR937" s="4"/>
      <c r="BS937" s="4"/>
      <c r="BT937" s="4"/>
      <c r="BU937" s="4"/>
    </row>
    <row r="938" spans="1:73" ht="12.75" x14ac:dyDescent="0.2">
      <c r="A938" s="1"/>
      <c r="B938" s="2"/>
      <c r="C938" s="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84"/>
      <c r="O938" s="4"/>
      <c r="P938" s="4"/>
      <c r="Q938" s="4"/>
      <c r="R938" s="3"/>
      <c r="S938" s="3"/>
      <c r="T938" s="3"/>
      <c r="U938" s="3"/>
      <c r="V938" s="3"/>
      <c r="W938" s="3"/>
      <c r="X938" s="3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3"/>
      <c r="BR938" s="4"/>
      <c r="BS938" s="4"/>
      <c r="BT938" s="4"/>
      <c r="BU938" s="4"/>
    </row>
    <row r="939" spans="1:73" ht="12.75" x14ac:dyDescent="0.2">
      <c r="A939" s="1"/>
      <c r="B939" s="2"/>
      <c r="C939" s="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84"/>
      <c r="O939" s="4"/>
      <c r="P939" s="4"/>
      <c r="Q939" s="4"/>
      <c r="R939" s="3"/>
      <c r="S939" s="3"/>
      <c r="T939" s="3"/>
      <c r="U939" s="3"/>
      <c r="V939" s="3"/>
      <c r="W939" s="3"/>
      <c r="X939" s="3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3"/>
      <c r="BR939" s="4"/>
      <c r="BS939" s="4"/>
      <c r="BT939" s="4"/>
      <c r="BU939" s="4"/>
    </row>
    <row r="940" spans="1:73" ht="12.75" x14ac:dyDescent="0.2">
      <c r="A940" s="1"/>
      <c r="B940" s="2"/>
      <c r="C940" s="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84"/>
      <c r="O940" s="4"/>
      <c r="P940" s="4"/>
      <c r="Q940" s="4"/>
      <c r="R940" s="3"/>
      <c r="S940" s="3"/>
      <c r="T940" s="3"/>
      <c r="U940" s="3"/>
      <c r="V940" s="3"/>
      <c r="W940" s="3"/>
      <c r="X940" s="3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3"/>
      <c r="BR940" s="4"/>
      <c r="BS940" s="4"/>
      <c r="BT940" s="4"/>
      <c r="BU940" s="4"/>
    </row>
    <row r="941" spans="1:73" ht="12.75" x14ac:dyDescent="0.2">
      <c r="A941" s="1"/>
      <c r="B941" s="2"/>
      <c r="C941" s="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84"/>
      <c r="O941" s="4"/>
      <c r="P941" s="4"/>
      <c r="Q941" s="4"/>
      <c r="R941" s="3"/>
      <c r="S941" s="3"/>
      <c r="T941" s="3"/>
      <c r="U941" s="3"/>
      <c r="V941" s="3"/>
      <c r="W941" s="3"/>
      <c r="X941" s="3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3"/>
      <c r="BR941" s="4"/>
      <c r="BS941" s="4"/>
      <c r="BT941" s="4"/>
      <c r="BU941" s="4"/>
    </row>
    <row r="942" spans="1:73" ht="12.75" x14ac:dyDescent="0.2">
      <c r="A942" s="1"/>
      <c r="B942" s="2"/>
      <c r="C942" s="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84"/>
      <c r="O942" s="4"/>
      <c r="P942" s="4"/>
      <c r="Q942" s="4"/>
      <c r="R942" s="3"/>
      <c r="S942" s="3"/>
      <c r="T942" s="3"/>
      <c r="U942" s="3"/>
      <c r="V942" s="3"/>
      <c r="W942" s="3"/>
      <c r="X942" s="3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3"/>
      <c r="BR942" s="4"/>
      <c r="BS942" s="4"/>
      <c r="BT942" s="4"/>
      <c r="BU942" s="4"/>
    </row>
    <row r="943" spans="1:73" ht="12.75" x14ac:dyDescent="0.2">
      <c r="A943" s="1"/>
      <c r="B943" s="2"/>
      <c r="C943" s="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84"/>
      <c r="O943" s="4"/>
      <c r="P943" s="4"/>
      <c r="Q943" s="4"/>
      <c r="R943" s="3"/>
      <c r="S943" s="3"/>
      <c r="T943" s="3"/>
      <c r="U943" s="3"/>
      <c r="V943" s="3"/>
      <c r="W943" s="3"/>
      <c r="X943" s="3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3"/>
      <c r="BR943" s="4"/>
      <c r="BS943" s="4"/>
      <c r="BT943" s="4"/>
      <c r="BU943" s="4"/>
    </row>
    <row r="944" spans="1:73" ht="12.75" x14ac:dyDescent="0.2">
      <c r="A944" s="1"/>
      <c r="B944" s="2"/>
      <c r="C944" s="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84"/>
      <c r="O944" s="4"/>
      <c r="P944" s="4"/>
      <c r="Q944" s="4"/>
      <c r="R944" s="3"/>
      <c r="S944" s="3"/>
      <c r="T944" s="3"/>
      <c r="U944" s="3"/>
      <c r="V944" s="3"/>
      <c r="W944" s="3"/>
      <c r="X944" s="3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3"/>
      <c r="BR944" s="4"/>
      <c r="BS944" s="4"/>
      <c r="BT944" s="4"/>
      <c r="BU944" s="4"/>
    </row>
    <row r="945" spans="1:73" ht="12.75" x14ac:dyDescent="0.2">
      <c r="A945" s="1"/>
      <c r="B945" s="2"/>
      <c r="C945" s="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84"/>
      <c r="O945" s="4"/>
      <c r="P945" s="4"/>
      <c r="Q945" s="4"/>
      <c r="R945" s="3"/>
      <c r="S945" s="3"/>
      <c r="T945" s="3"/>
      <c r="U945" s="3"/>
      <c r="V945" s="3"/>
      <c r="W945" s="3"/>
      <c r="X945" s="3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3"/>
      <c r="BR945" s="4"/>
      <c r="BS945" s="4"/>
      <c r="BT945" s="4"/>
      <c r="BU945" s="4"/>
    </row>
    <row r="946" spans="1:73" ht="12.75" x14ac:dyDescent="0.2">
      <c r="A946" s="1"/>
      <c r="B946" s="2"/>
      <c r="C946" s="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84"/>
      <c r="O946" s="4"/>
      <c r="P946" s="4"/>
      <c r="Q946" s="4"/>
      <c r="R946" s="3"/>
      <c r="S946" s="3"/>
      <c r="T946" s="3"/>
      <c r="U946" s="3"/>
      <c r="V946" s="3"/>
      <c r="W946" s="3"/>
      <c r="X946" s="3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3"/>
      <c r="BR946" s="4"/>
      <c r="BS946" s="4"/>
      <c r="BT946" s="4"/>
      <c r="BU946" s="4"/>
    </row>
    <row r="947" spans="1:73" ht="12.75" x14ac:dyDescent="0.2">
      <c r="A947" s="1"/>
      <c r="B947" s="2"/>
      <c r="C947" s="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84"/>
      <c r="O947" s="4"/>
      <c r="P947" s="4"/>
      <c r="Q947" s="4"/>
      <c r="R947" s="3"/>
      <c r="S947" s="3"/>
      <c r="T947" s="3"/>
      <c r="U947" s="3"/>
      <c r="V947" s="3"/>
      <c r="W947" s="3"/>
      <c r="X947" s="3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3"/>
      <c r="BR947" s="4"/>
      <c r="BS947" s="4"/>
      <c r="BT947" s="4"/>
      <c r="BU947" s="4"/>
    </row>
    <row r="948" spans="1:73" ht="12.75" x14ac:dyDescent="0.2">
      <c r="A948" s="1"/>
      <c r="B948" s="2"/>
      <c r="C948" s="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84"/>
      <c r="O948" s="4"/>
      <c r="P948" s="4"/>
      <c r="Q948" s="4"/>
      <c r="R948" s="3"/>
      <c r="S948" s="3"/>
      <c r="T948" s="3"/>
      <c r="U948" s="3"/>
      <c r="V948" s="3"/>
      <c r="W948" s="3"/>
      <c r="X948" s="3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3"/>
      <c r="BR948" s="4"/>
      <c r="BS948" s="4"/>
      <c r="BT948" s="4"/>
      <c r="BU948" s="4"/>
    </row>
    <row r="949" spans="1:73" ht="12.75" x14ac:dyDescent="0.2">
      <c r="A949" s="1"/>
      <c r="B949" s="2"/>
      <c r="C949" s="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84"/>
      <c r="O949" s="4"/>
      <c r="P949" s="4"/>
      <c r="Q949" s="4"/>
      <c r="R949" s="3"/>
      <c r="S949" s="3"/>
      <c r="T949" s="3"/>
      <c r="U949" s="3"/>
      <c r="V949" s="3"/>
      <c r="W949" s="3"/>
      <c r="X949" s="3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3"/>
      <c r="BR949" s="4"/>
      <c r="BS949" s="4"/>
      <c r="BT949" s="4"/>
      <c r="BU949" s="4"/>
    </row>
    <row r="950" spans="1:73" ht="12.75" x14ac:dyDescent="0.2">
      <c r="A950" s="1"/>
      <c r="B950" s="2"/>
      <c r="C950" s="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84"/>
      <c r="O950" s="4"/>
      <c r="P950" s="4"/>
      <c r="Q950" s="4"/>
      <c r="R950" s="3"/>
      <c r="S950" s="3"/>
      <c r="T950" s="3"/>
      <c r="U950" s="3"/>
      <c r="V950" s="3"/>
      <c r="W950" s="3"/>
      <c r="X950" s="3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3"/>
      <c r="BR950" s="4"/>
      <c r="BS950" s="4"/>
      <c r="BT950" s="4"/>
      <c r="BU950" s="4"/>
    </row>
    <row r="951" spans="1:73" ht="12.75" x14ac:dyDescent="0.2">
      <c r="A951" s="1"/>
      <c r="B951" s="2"/>
      <c r="C951" s="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84"/>
      <c r="O951" s="4"/>
      <c r="P951" s="4"/>
      <c r="Q951" s="4"/>
      <c r="R951" s="3"/>
      <c r="S951" s="3"/>
      <c r="T951" s="3"/>
      <c r="U951" s="3"/>
      <c r="V951" s="3"/>
      <c r="W951" s="3"/>
      <c r="X951" s="3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3"/>
      <c r="BR951" s="4"/>
      <c r="BS951" s="4"/>
      <c r="BT951" s="4"/>
      <c r="BU951" s="4"/>
    </row>
    <row r="952" spans="1:73" ht="12.75" x14ac:dyDescent="0.2">
      <c r="A952" s="1"/>
      <c r="B952" s="2"/>
      <c r="C952" s="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84"/>
      <c r="O952" s="4"/>
      <c r="P952" s="4"/>
      <c r="Q952" s="4"/>
      <c r="R952" s="3"/>
      <c r="S952" s="3"/>
      <c r="T952" s="3"/>
      <c r="U952" s="3"/>
      <c r="V952" s="3"/>
      <c r="W952" s="3"/>
      <c r="X952" s="3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3"/>
      <c r="BR952" s="4"/>
      <c r="BS952" s="4"/>
      <c r="BT952" s="4"/>
      <c r="BU952" s="4"/>
    </row>
    <row r="953" spans="1:73" ht="12.75" x14ac:dyDescent="0.2">
      <c r="A953" s="1"/>
      <c r="B953" s="2"/>
      <c r="C953" s="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84"/>
      <c r="O953" s="4"/>
      <c r="P953" s="4"/>
      <c r="Q953" s="4"/>
      <c r="R953" s="3"/>
      <c r="S953" s="3"/>
      <c r="T953" s="3"/>
      <c r="U953" s="3"/>
      <c r="V953" s="3"/>
      <c r="W953" s="3"/>
      <c r="X953" s="3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3"/>
      <c r="BR953" s="4"/>
      <c r="BS953" s="4"/>
      <c r="BT953" s="4"/>
      <c r="BU953" s="4"/>
    </row>
    <row r="954" spans="1:73" ht="12.75" x14ac:dyDescent="0.2">
      <c r="A954" s="1"/>
      <c r="B954" s="2"/>
      <c r="C954" s="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84"/>
      <c r="O954" s="4"/>
      <c r="P954" s="4"/>
      <c r="Q954" s="4"/>
      <c r="R954" s="3"/>
      <c r="S954" s="3"/>
      <c r="T954" s="3"/>
      <c r="U954" s="3"/>
      <c r="V954" s="3"/>
      <c r="W954" s="3"/>
      <c r="X954" s="3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3"/>
      <c r="BR954" s="4"/>
      <c r="BS954" s="4"/>
      <c r="BT954" s="4"/>
      <c r="BU954" s="4"/>
    </row>
    <row r="955" spans="1:73" ht="12.75" x14ac:dyDescent="0.2">
      <c r="A955" s="1"/>
      <c r="B955" s="2"/>
      <c r="C955" s="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84"/>
      <c r="O955" s="4"/>
      <c r="P955" s="4"/>
      <c r="Q955" s="4"/>
      <c r="R955" s="3"/>
      <c r="S955" s="3"/>
      <c r="T955" s="3"/>
      <c r="U955" s="3"/>
      <c r="V955" s="3"/>
      <c r="W955" s="3"/>
      <c r="X955" s="3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3"/>
      <c r="BR955" s="4"/>
      <c r="BS955" s="4"/>
      <c r="BT955" s="4"/>
      <c r="BU955" s="4"/>
    </row>
    <row r="956" spans="1:73" ht="12.75" x14ac:dyDescent="0.2">
      <c r="A956" s="1"/>
      <c r="B956" s="2"/>
      <c r="C956" s="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84"/>
      <c r="O956" s="4"/>
      <c r="P956" s="4"/>
      <c r="Q956" s="4"/>
      <c r="R956" s="3"/>
      <c r="S956" s="3"/>
      <c r="T956" s="3"/>
      <c r="U956" s="3"/>
      <c r="V956" s="3"/>
      <c r="W956" s="3"/>
      <c r="X956" s="3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3"/>
      <c r="BR956" s="4"/>
      <c r="BS956" s="4"/>
      <c r="BT956" s="4"/>
      <c r="BU956" s="4"/>
    </row>
    <row r="957" spans="1:73" ht="12.75" x14ac:dyDescent="0.2">
      <c r="A957" s="1"/>
      <c r="B957" s="2"/>
      <c r="C957" s="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84"/>
      <c r="O957" s="4"/>
      <c r="P957" s="4"/>
      <c r="Q957" s="4"/>
      <c r="R957" s="3"/>
      <c r="S957" s="3"/>
      <c r="T957" s="3"/>
      <c r="U957" s="3"/>
      <c r="V957" s="3"/>
      <c r="W957" s="3"/>
      <c r="X957" s="3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3"/>
      <c r="BR957" s="4"/>
      <c r="BS957" s="4"/>
      <c r="BT957" s="4"/>
      <c r="BU957" s="4"/>
    </row>
    <row r="958" spans="1:73" ht="12.75" x14ac:dyDescent="0.2">
      <c r="A958" s="1"/>
      <c r="B958" s="2"/>
      <c r="C958" s="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84"/>
      <c r="O958" s="4"/>
      <c r="P958" s="4"/>
      <c r="Q958" s="4"/>
      <c r="R958" s="3"/>
      <c r="S958" s="3"/>
      <c r="T958" s="3"/>
      <c r="U958" s="3"/>
      <c r="V958" s="3"/>
      <c r="W958" s="3"/>
      <c r="X958" s="3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3"/>
      <c r="BR958" s="4"/>
      <c r="BS958" s="4"/>
      <c r="BT958" s="4"/>
      <c r="BU958" s="4"/>
    </row>
    <row r="959" spans="1:73" ht="12.75" x14ac:dyDescent="0.2">
      <c r="A959" s="1"/>
      <c r="B959" s="2"/>
      <c r="C959" s="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84"/>
      <c r="O959" s="4"/>
      <c r="P959" s="4"/>
      <c r="Q959" s="4"/>
      <c r="R959" s="3"/>
      <c r="S959" s="3"/>
      <c r="T959" s="3"/>
      <c r="U959" s="3"/>
      <c r="V959" s="3"/>
      <c r="W959" s="3"/>
      <c r="X959" s="3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3"/>
      <c r="BR959" s="4"/>
      <c r="BS959" s="4"/>
      <c r="BT959" s="4"/>
      <c r="BU959" s="4"/>
    </row>
    <row r="960" spans="1:73" ht="12.75" x14ac:dyDescent="0.2">
      <c r="A960" s="1"/>
      <c r="B960" s="2"/>
      <c r="C960" s="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84"/>
      <c r="O960" s="4"/>
      <c r="P960" s="4"/>
      <c r="Q960" s="4"/>
      <c r="R960" s="3"/>
      <c r="S960" s="3"/>
      <c r="T960" s="3"/>
      <c r="U960" s="3"/>
      <c r="V960" s="3"/>
      <c r="W960" s="3"/>
      <c r="X960" s="3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3"/>
      <c r="BR960" s="4"/>
      <c r="BS960" s="4"/>
      <c r="BT960" s="4"/>
      <c r="BU960" s="4"/>
    </row>
    <row r="961" spans="1:73" ht="12.75" x14ac:dyDescent="0.2">
      <c r="A961" s="1"/>
      <c r="B961" s="2"/>
      <c r="C961" s="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84"/>
      <c r="O961" s="4"/>
      <c r="P961" s="4"/>
      <c r="Q961" s="4"/>
      <c r="R961" s="3"/>
      <c r="S961" s="3"/>
      <c r="T961" s="3"/>
      <c r="U961" s="3"/>
      <c r="V961" s="3"/>
      <c r="W961" s="3"/>
      <c r="X961" s="3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3"/>
      <c r="BR961" s="4"/>
      <c r="BS961" s="4"/>
      <c r="BT961" s="4"/>
      <c r="BU961" s="4"/>
    </row>
    <row r="962" spans="1:73" ht="12.75" x14ac:dyDescent="0.2">
      <c r="A962" s="1"/>
      <c r="B962" s="2"/>
      <c r="C962" s="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84"/>
      <c r="O962" s="4"/>
      <c r="P962" s="4"/>
      <c r="Q962" s="4"/>
      <c r="R962" s="3"/>
      <c r="S962" s="3"/>
      <c r="T962" s="3"/>
      <c r="U962" s="3"/>
      <c r="V962" s="3"/>
      <c r="W962" s="3"/>
      <c r="X962" s="3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3"/>
      <c r="BR962" s="4"/>
      <c r="BS962" s="4"/>
      <c r="BT962" s="4"/>
      <c r="BU962" s="4"/>
    </row>
    <row r="963" spans="1:73" ht="12.75" x14ac:dyDescent="0.2">
      <c r="A963" s="1"/>
      <c r="B963" s="2"/>
      <c r="C963" s="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84"/>
      <c r="O963" s="4"/>
      <c r="P963" s="4"/>
      <c r="Q963" s="4"/>
      <c r="R963" s="3"/>
      <c r="S963" s="3"/>
      <c r="T963" s="3"/>
      <c r="U963" s="3"/>
      <c r="V963" s="3"/>
      <c r="W963" s="3"/>
      <c r="X963" s="3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3"/>
      <c r="BR963" s="4"/>
      <c r="BS963" s="4"/>
      <c r="BT963" s="4"/>
      <c r="BU963" s="4"/>
    </row>
    <row r="964" spans="1:73" ht="12.75" x14ac:dyDescent="0.2">
      <c r="A964" s="1"/>
      <c r="B964" s="2"/>
      <c r="C964" s="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84"/>
      <c r="O964" s="4"/>
      <c r="P964" s="4"/>
      <c r="Q964" s="4"/>
      <c r="R964" s="3"/>
      <c r="S964" s="3"/>
      <c r="T964" s="3"/>
      <c r="U964" s="3"/>
      <c r="V964" s="3"/>
      <c r="W964" s="3"/>
      <c r="X964" s="3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3"/>
      <c r="BR964" s="4"/>
      <c r="BS964" s="4"/>
      <c r="BT964" s="4"/>
      <c r="BU964" s="4"/>
    </row>
    <row r="965" spans="1:73" ht="12.75" x14ac:dyDescent="0.2">
      <c r="A965" s="1"/>
      <c r="B965" s="2"/>
      <c r="C965" s="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84"/>
      <c r="O965" s="4"/>
      <c r="P965" s="4"/>
      <c r="Q965" s="4"/>
      <c r="R965" s="3"/>
      <c r="S965" s="3"/>
      <c r="T965" s="3"/>
      <c r="U965" s="3"/>
      <c r="V965" s="3"/>
      <c r="W965" s="3"/>
      <c r="X965" s="3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3"/>
      <c r="BR965" s="4"/>
      <c r="BS965" s="4"/>
      <c r="BT965" s="4"/>
      <c r="BU965" s="4"/>
    </row>
    <row r="966" spans="1:73" ht="12.75" x14ac:dyDescent="0.2">
      <c r="A966" s="1"/>
      <c r="B966" s="2"/>
      <c r="C966" s="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84"/>
      <c r="O966" s="4"/>
      <c r="P966" s="4"/>
      <c r="Q966" s="4"/>
      <c r="R966" s="3"/>
      <c r="S966" s="3"/>
      <c r="T966" s="3"/>
      <c r="U966" s="3"/>
      <c r="V966" s="3"/>
      <c r="W966" s="3"/>
      <c r="X966" s="3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3"/>
      <c r="BR966" s="4"/>
      <c r="BS966" s="4"/>
      <c r="BT966" s="4"/>
      <c r="BU966" s="4"/>
    </row>
    <row r="967" spans="1:73" ht="12.75" x14ac:dyDescent="0.2">
      <c r="A967" s="1"/>
      <c r="B967" s="2"/>
      <c r="C967" s="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84"/>
      <c r="O967" s="4"/>
      <c r="P967" s="4"/>
      <c r="Q967" s="4"/>
      <c r="R967" s="3"/>
      <c r="S967" s="3"/>
      <c r="T967" s="3"/>
      <c r="U967" s="3"/>
      <c r="V967" s="3"/>
      <c r="W967" s="3"/>
      <c r="X967" s="3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3"/>
      <c r="BR967" s="4"/>
      <c r="BS967" s="4"/>
      <c r="BT967" s="4"/>
      <c r="BU967" s="4"/>
    </row>
    <row r="968" spans="1:73" ht="12.75" x14ac:dyDescent="0.2">
      <c r="A968" s="1"/>
      <c r="B968" s="2"/>
      <c r="C968" s="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84"/>
      <c r="O968" s="4"/>
      <c r="P968" s="4"/>
      <c r="Q968" s="4"/>
      <c r="R968" s="3"/>
      <c r="S968" s="3"/>
      <c r="T968" s="3"/>
      <c r="U968" s="3"/>
      <c r="V968" s="3"/>
      <c r="W968" s="3"/>
      <c r="X968" s="3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3"/>
      <c r="BR968" s="4"/>
      <c r="BS968" s="4"/>
      <c r="BT968" s="4"/>
      <c r="BU968" s="4"/>
    </row>
    <row r="969" spans="1:73" ht="12.75" x14ac:dyDescent="0.2">
      <c r="A969" s="1"/>
      <c r="B969" s="2"/>
      <c r="C969" s="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84"/>
      <c r="O969" s="4"/>
      <c r="P969" s="4"/>
      <c r="Q969" s="4"/>
      <c r="R969" s="3"/>
      <c r="S969" s="3"/>
      <c r="T969" s="3"/>
      <c r="U969" s="3"/>
      <c r="V969" s="3"/>
      <c r="W969" s="3"/>
      <c r="X969" s="3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3"/>
      <c r="BR969" s="4"/>
      <c r="BS969" s="4"/>
      <c r="BT969" s="4"/>
      <c r="BU969" s="4"/>
    </row>
    <row r="970" spans="1:73" ht="12.75" x14ac:dyDescent="0.2">
      <c r="A970" s="1"/>
      <c r="B970" s="2"/>
      <c r="C970" s="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84"/>
      <c r="O970" s="4"/>
      <c r="P970" s="4"/>
      <c r="Q970" s="4"/>
      <c r="R970" s="3"/>
      <c r="S970" s="3"/>
      <c r="T970" s="3"/>
      <c r="U970" s="3"/>
      <c r="V970" s="3"/>
      <c r="W970" s="3"/>
      <c r="X970" s="3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3"/>
      <c r="BR970" s="4"/>
      <c r="BS970" s="4"/>
      <c r="BT970" s="4"/>
      <c r="BU970" s="4"/>
    </row>
    <row r="971" spans="1:73" ht="12.75" x14ac:dyDescent="0.2">
      <c r="A971" s="1"/>
      <c r="B971" s="2"/>
      <c r="C971" s="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84"/>
      <c r="O971" s="4"/>
      <c r="P971" s="4"/>
      <c r="Q971" s="4"/>
      <c r="R971" s="3"/>
      <c r="S971" s="3"/>
      <c r="T971" s="3"/>
      <c r="U971" s="3"/>
      <c r="V971" s="3"/>
      <c r="W971" s="3"/>
      <c r="X971" s="3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3"/>
      <c r="BR971" s="4"/>
      <c r="BS971" s="4"/>
      <c r="BT971" s="4"/>
      <c r="BU971" s="4"/>
    </row>
    <row r="972" spans="1:73" ht="12.75" x14ac:dyDescent="0.2">
      <c r="A972" s="1"/>
      <c r="B972" s="2"/>
      <c r="C972" s="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84"/>
      <c r="O972" s="4"/>
      <c r="P972" s="4"/>
      <c r="Q972" s="4"/>
      <c r="R972" s="3"/>
      <c r="S972" s="3"/>
      <c r="T972" s="3"/>
      <c r="U972" s="3"/>
      <c r="V972" s="3"/>
      <c r="W972" s="3"/>
      <c r="X972" s="3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3"/>
      <c r="BR972" s="4"/>
      <c r="BS972" s="4"/>
      <c r="BT972" s="4"/>
      <c r="BU972" s="4"/>
    </row>
    <row r="973" spans="1:73" ht="12.75" x14ac:dyDescent="0.2">
      <c r="A973" s="1"/>
      <c r="B973" s="2"/>
      <c r="C973" s="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84"/>
      <c r="O973" s="4"/>
      <c r="P973" s="4"/>
      <c r="Q973" s="4"/>
      <c r="R973" s="3"/>
      <c r="S973" s="3"/>
      <c r="T973" s="3"/>
      <c r="U973" s="3"/>
      <c r="V973" s="3"/>
      <c r="W973" s="3"/>
      <c r="X973" s="3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3"/>
      <c r="BR973" s="4"/>
      <c r="BS973" s="4"/>
      <c r="BT973" s="4"/>
      <c r="BU973" s="4"/>
    </row>
    <row r="974" spans="1:73" ht="12.75" x14ac:dyDescent="0.2">
      <c r="A974" s="1"/>
      <c r="B974" s="2"/>
      <c r="C974" s="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84"/>
      <c r="O974" s="4"/>
      <c r="P974" s="4"/>
      <c r="Q974" s="4"/>
      <c r="R974" s="3"/>
      <c r="S974" s="3"/>
      <c r="T974" s="3"/>
      <c r="U974" s="3"/>
      <c r="V974" s="3"/>
      <c r="W974" s="3"/>
      <c r="X974" s="3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3"/>
      <c r="BR974" s="4"/>
      <c r="BS974" s="4"/>
      <c r="BT974" s="4"/>
      <c r="BU974" s="4"/>
    </row>
    <row r="975" spans="1:73" ht="12.75" x14ac:dyDescent="0.2">
      <c r="A975" s="1"/>
      <c r="B975" s="2"/>
      <c r="C975" s="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84"/>
      <c r="O975" s="4"/>
      <c r="P975" s="4"/>
      <c r="Q975" s="4"/>
      <c r="R975" s="3"/>
      <c r="S975" s="3"/>
      <c r="T975" s="3"/>
      <c r="U975" s="3"/>
      <c r="V975" s="3"/>
      <c r="W975" s="3"/>
      <c r="X975" s="3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3"/>
      <c r="BR975" s="4"/>
      <c r="BS975" s="4"/>
      <c r="BT975" s="4"/>
      <c r="BU975" s="4"/>
    </row>
    <row r="976" spans="1:73" ht="12.75" x14ac:dyDescent="0.2">
      <c r="A976" s="1"/>
      <c r="B976" s="2"/>
      <c r="C976" s="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84"/>
      <c r="O976" s="4"/>
      <c r="P976" s="4"/>
      <c r="Q976" s="4"/>
      <c r="R976" s="3"/>
      <c r="S976" s="3"/>
      <c r="T976" s="3"/>
      <c r="U976" s="3"/>
      <c r="V976" s="3"/>
      <c r="W976" s="3"/>
      <c r="X976" s="3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3"/>
      <c r="BR976" s="4"/>
      <c r="BS976" s="4"/>
      <c r="BT976" s="4"/>
      <c r="BU976" s="4"/>
    </row>
    <row r="977" spans="1:73" ht="12.75" x14ac:dyDescent="0.2">
      <c r="A977" s="1"/>
      <c r="B977" s="2"/>
      <c r="C977" s="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84"/>
      <c r="O977" s="4"/>
      <c r="P977" s="4"/>
      <c r="Q977" s="4"/>
      <c r="R977" s="3"/>
      <c r="S977" s="3"/>
      <c r="T977" s="3"/>
      <c r="U977" s="3"/>
      <c r="V977" s="3"/>
      <c r="W977" s="3"/>
      <c r="X977" s="3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3"/>
      <c r="BR977" s="4"/>
      <c r="BS977" s="4"/>
      <c r="BT977" s="4"/>
      <c r="BU977" s="4"/>
    </row>
    <row r="978" spans="1:73" ht="12.75" x14ac:dyDescent="0.2">
      <c r="A978" s="1"/>
      <c r="B978" s="2"/>
      <c r="C978" s="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84"/>
      <c r="O978" s="4"/>
      <c r="P978" s="4"/>
      <c r="Q978" s="4"/>
      <c r="R978" s="3"/>
      <c r="S978" s="3"/>
      <c r="T978" s="3"/>
      <c r="U978" s="3"/>
      <c r="V978" s="3"/>
      <c r="W978" s="3"/>
      <c r="X978" s="3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3"/>
      <c r="BR978" s="4"/>
      <c r="BS978" s="4"/>
      <c r="BT978" s="4"/>
      <c r="BU978" s="4"/>
    </row>
    <row r="979" spans="1:73" ht="12.75" x14ac:dyDescent="0.2">
      <c r="A979" s="1"/>
      <c r="B979" s="2"/>
      <c r="C979" s="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84"/>
      <c r="O979" s="4"/>
      <c r="P979" s="4"/>
      <c r="Q979" s="4"/>
      <c r="R979" s="3"/>
      <c r="S979" s="3"/>
      <c r="T979" s="3"/>
      <c r="U979" s="3"/>
      <c r="V979" s="3"/>
      <c r="W979" s="3"/>
      <c r="X979" s="3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3"/>
      <c r="BR979" s="4"/>
      <c r="BS979" s="4"/>
      <c r="BT979" s="4"/>
      <c r="BU979" s="4"/>
    </row>
    <row r="980" spans="1:73" ht="12.75" x14ac:dyDescent="0.2">
      <c r="A980" s="1"/>
      <c r="B980" s="2"/>
      <c r="C980" s="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84"/>
      <c r="O980" s="4"/>
      <c r="P980" s="4"/>
      <c r="Q980" s="4"/>
      <c r="R980" s="3"/>
      <c r="S980" s="3"/>
      <c r="T980" s="3"/>
      <c r="U980" s="3"/>
      <c r="V980" s="3"/>
      <c r="W980" s="3"/>
      <c r="X980" s="3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3"/>
      <c r="BR980" s="4"/>
      <c r="BS980" s="4"/>
      <c r="BT980" s="4"/>
      <c r="BU980" s="4"/>
    </row>
    <row r="981" spans="1:73" ht="12.75" x14ac:dyDescent="0.2">
      <c r="A981" s="1"/>
      <c r="B981" s="2"/>
      <c r="C981" s="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84"/>
      <c r="O981" s="4"/>
      <c r="P981" s="4"/>
      <c r="Q981" s="4"/>
      <c r="R981" s="3"/>
      <c r="S981" s="3"/>
      <c r="T981" s="3"/>
      <c r="U981" s="3"/>
      <c r="V981" s="3"/>
      <c r="W981" s="3"/>
      <c r="X981" s="3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3"/>
      <c r="BR981" s="4"/>
      <c r="BS981" s="4"/>
      <c r="BT981" s="4"/>
      <c r="BU981" s="4"/>
    </row>
    <row r="982" spans="1:73" ht="12.75" x14ac:dyDescent="0.2">
      <c r="A982" s="1"/>
      <c r="B982" s="2"/>
      <c r="C982" s="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84"/>
      <c r="O982" s="4"/>
      <c r="P982" s="4"/>
      <c r="Q982" s="4"/>
      <c r="R982" s="3"/>
      <c r="S982" s="3"/>
      <c r="T982" s="3"/>
      <c r="U982" s="3"/>
      <c r="V982" s="3"/>
      <c r="W982" s="3"/>
      <c r="X982" s="3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3"/>
      <c r="BR982" s="4"/>
      <c r="BS982" s="4"/>
      <c r="BT982" s="4"/>
      <c r="BU982" s="4"/>
    </row>
    <row r="983" spans="1:73" ht="12.75" x14ac:dyDescent="0.2">
      <c r="A983" s="1"/>
      <c r="B983" s="2"/>
      <c r="C983" s="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84"/>
      <c r="O983" s="4"/>
      <c r="P983" s="4"/>
      <c r="Q983" s="4"/>
      <c r="R983" s="3"/>
      <c r="S983" s="3"/>
      <c r="T983" s="3"/>
      <c r="U983" s="3"/>
      <c r="V983" s="3"/>
      <c r="W983" s="3"/>
      <c r="X983" s="3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3"/>
      <c r="BR983" s="4"/>
      <c r="BS983" s="4"/>
      <c r="BT983" s="4"/>
      <c r="BU983" s="4"/>
    </row>
    <row r="984" spans="1:73" ht="12.75" x14ac:dyDescent="0.2">
      <c r="A984" s="1"/>
      <c r="B984" s="2"/>
      <c r="C984" s="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84"/>
      <c r="O984" s="4"/>
      <c r="P984" s="4"/>
      <c r="Q984" s="4"/>
      <c r="R984" s="3"/>
      <c r="S984" s="3"/>
      <c r="T984" s="3"/>
      <c r="U984" s="3"/>
      <c r="V984" s="3"/>
      <c r="W984" s="3"/>
      <c r="X984" s="3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3"/>
      <c r="BR984" s="4"/>
      <c r="BS984" s="4"/>
      <c r="BT984" s="4"/>
      <c r="BU984" s="4"/>
    </row>
    <row r="985" spans="1:73" ht="12.75" x14ac:dyDescent="0.2">
      <c r="A985" s="1"/>
      <c r="B985" s="2"/>
      <c r="C985" s="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84"/>
      <c r="O985" s="4"/>
      <c r="P985" s="4"/>
      <c r="Q985" s="4"/>
      <c r="R985" s="3"/>
      <c r="S985" s="3"/>
      <c r="T985" s="3"/>
      <c r="U985" s="3"/>
      <c r="V985" s="3"/>
      <c r="W985" s="3"/>
      <c r="X985" s="3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3"/>
      <c r="BR985" s="4"/>
      <c r="BS985" s="4"/>
      <c r="BT985" s="4"/>
      <c r="BU985" s="4"/>
    </row>
    <row r="986" spans="1:73" ht="12.75" x14ac:dyDescent="0.2">
      <c r="A986" s="1"/>
      <c r="B986" s="2"/>
      <c r="C986" s="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84"/>
      <c r="O986" s="4"/>
      <c r="P986" s="4"/>
      <c r="Q986" s="4"/>
      <c r="R986" s="3"/>
      <c r="S986" s="3"/>
      <c r="T986" s="3"/>
      <c r="U986" s="3"/>
      <c r="V986" s="3"/>
      <c r="W986" s="3"/>
      <c r="X986" s="3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3"/>
      <c r="BR986" s="4"/>
      <c r="BS986" s="4"/>
      <c r="BT986" s="4"/>
      <c r="BU986" s="4"/>
    </row>
    <row r="987" spans="1:73" ht="12.75" x14ac:dyDescent="0.2">
      <c r="A987" s="1"/>
      <c r="B987" s="2"/>
      <c r="C987" s="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84"/>
      <c r="O987" s="4"/>
      <c r="P987" s="4"/>
      <c r="Q987" s="4"/>
      <c r="R987" s="3"/>
      <c r="S987" s="3"/>
      <c r="T987" s="3"/>
      <c r="U987" s="3"/>
      <c r="V987" s="3"/>
      <c r="W987" s="3"/>
      <c r="X987" s="3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3"/>
      <c r="BR987" s="4"/>
      <c r="BS987" s="4"/>
      <c r="BT987" s="4"/>
      <c r="BU987" s="4"/>
    </row>
    <row r="988" spans="1:73" ht="12.75" x14ac:dyDescent="0.2">
      <c r="A988" s="1"/>
      <c r="B988" s="2"/>
      <c r="C988" s="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84"/>
      <c r="O988" s="4"/>
      <c r="P988" s="4"/>
      <c r="Q988" s="4"/>
      <c r="R988" s="3"/>
      <c r="S988" s="3"/>
      <c r="T988" s="3"/>
      <c r="U988" s="3"/>
      <c r="V988" s="3"/>
      <c r="W988" s="3"/>
      <c r="X988" s="3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3"/>
      <c r="BR988" s="4"/>
      <c r="BS988" s="4"/>
      <c r="BT988" s="4"/>
      <c r="BU988" s="4"/>
    </row>
    <row r="989" spans="1:73" ht="12.75" x14ac:dyDescent="0.2">
      <c r="A989" s="1"/>
      <c r="B989" s="2"/>
      <c r="C989" s="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84"/>
      <c r="O989" s="4"/>
      <c r="P989" s="4"/>
      <c r="Q989" s="4"/>
      <c r="R989" s="3"/>
      <c r="S989" s="3"/>
      <c r="T989" s="3"/>
      <c r="U989" s="3"/>
      <c r="V989" s="3"/>
      <c r="W989" s="3"/>
      <c r="X989" s="3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3"/>
      <c r="BR989" s="4"/>
      <c r="BS989" s="4"/>
      <c r="BT989" s="4"/>
      <c r="BU989" s="4"/>
    </row>
    <row r="990" spans="1:73" ht="12.75" x14ac:dyDescent="0.2">
      <c r="A990" s="1"/>
      <c r="B990" s="2"/>
      <c r="C990" s="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84"/>
      <c r="O990" s="4"/>
      <c r="P990" s="4"/>
      <c r="Q990" s="4"/>
      <c r="R990" s="3"/>
      <c r="S990" s="3"/>
      <c r="T990" s="3"/>
      <c r="U990" s="3"/>
      <c r="V990" s="3"/>
      <c r="W990" s="3"/>
      <c r="X990" s="3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3"/>
      <c r="BR990" s="4"/>
      <c r="BS990" s="4"/>
      <c r="BT990" s="4"/>
      <c r="BU990" s="4"/>
    </row>
    <row r="991" spans="1:73" ht="12.75" x14ac:dyDescent="0.2">
      <c r="A991" s="1"/>
      <c r="B991" s="2"/>
      <c r="C991" s="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84"/>
      <c r="O991" s="4"/>
      <c r="P991" s="4"/>
      <c r="Q991" s="4"/>
      <c r="R991" s="3"/>
      <c r="S991" s="3"/>
      <c r="T991" s="3"/>
      <c r="U991" s="3"/>
      <c r="V991" s="3"/>
      <c r="W991" s="3"/>
      <c r="X991" s="3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3"/>
      <c r="BR991" s="4"/>
      <c r="BS991" s="4"/>
      <c r="BT991" s="4"/>
      <c r="BU991" s="4"/>
    </row>
    <row r="992" spans="1:73" ht="12.75" x14ac:dyDescent="0.2">
      <c r="A992" s="1"/>
      <c r="B992" s="2"/>
      <c r="C992" s="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84"/>
      <c r="O992" s="4"/>
      <c r="P992" s="4"/>
      <c r="Q992" s="4"/>
      <c r="R992" s="3"/>
      <c r="S992" s="3"/>
      <c r="T992" s="3"/>
      <c r="U992" s="3"/>
      <c r="V992" s="3"/>
      <c r="W992" s="3"/>
      <c r="X992" s="3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3"/>
      <c r="BR992" s="4"/>
      <c r="BS992" s="4"/>
      <c r="BT992" s="4"/>
      <c r="BU992" s="4"/>
    </row>
    <row r="993" spans="1:73" ht="12.75" x14ac:dyDescent="0.2">
      <c r="A993" s="84"/>
      <c r="B993" s="10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84"/>
      <c r="O993" s="4"/>
      <c r="P993" s="4"/>
      <c r="Q993" s="4"/>
      <c r="R993" s="3"/>
      <c r="S993" s="3"/>
      <c r="T993" s="3"/>
      <c r="U993" s="3"/>
      <c r="V993" s="3"/>
      <c r="W993" s="3"/>
      <c r="X993" s="3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3"/>
      <c r="BR993" s="4"/>
      <c r="BS993" s="4"/>
      <c r="BT993" s="4"/>
      <c r="BU993" s="4"/>
    </row>
  </sheetData>
  <phoneticPr fontId="30" type="noConversion"/>
  <dataValidations count="1">
    <dataValidation type="list" allowBlank="1" showErrorMessage="1" sqref="A9:A991" xr:uid="{00000000-0002-0000-0100-000000000000}">
      <formula1>"IJH,EWH,SCH"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N995"/>
  <sheetViews>
    <sheetView workbookViewId="0"/>
  </sheetViews>
  <sheetFormatPr defaultColWidth="12.5703125" defaultRowHeight="15.75" customHeight="1" x14ac:dyDescent="0.2"/>
  <cols>
    <col min="63" max="66" width="12.5703125" hidden="1"/>
  </cols>
  <sheetData>
    <row r="1" spans="1:66" ht="12.75" x14ac:dyDescent="0.2">
      <c r="A1" s="3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6" ht="12.75" x14ac:dyDescent="0.2">
      <c r="A2" s="3"/>
      <c r="B2" s="6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</row>
    <row r="3" spans="1:66" ht="12.75" x14ac:dyDescent="0.2">
      <c r="A3" s="3"/>
      <c r="B3" s="7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8</v>
      </c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6" ht="12.75" x14ac:dyDescent="0.2">
      <c r="A4" s="3"/>
      <c r="B4" s="2" t="s">
        <v>10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11" t="s">
        <v>12</v>
      </c>
      <c r="AN4" s="3"/>
      <c r="AO4" s="3"/>
      <c r="AP4" s="11" t="s">
        <v>13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13" t="s">
        <v>15</v>
      </c>
      <c r="BE4" s="13"/>
      <c r="BF4" s="13"/>
      <c r="BG4" s="3"/>
      <c r="BH4" s="3"/>
      <c r="BI4" s="3"/>
      <c r="BJ4" s="3"/>
      <c r="BK4" s="3"/>
      <c r="BL4" s="3"/>
      <c r="BM4" s="3"/>
      <c r="BN4" s="3"/>
    </row>
    <row r="5" spans="1:66" ht="16.5" x14ac:dyDescent="0.25">
      <c r="A5" s="14"/>
      <c r="B5" s="15"/>
      <c r="C5" s="16" t="s">
        <v>18</v>
      </c>
      <c r="D5" s="16" t="s">
        <v>20</v>
      </c>
      <c r="E5" s="16" t="s">
        <v>21</v>
      </c>
      <c r="F5" s="16" t="s">
        <v>22</v>
      </c>
      <c r="G5" s="16" t="s">
        <v>23</v>
      </c>
      <c r="H5" s="16" t="s">
        <v>24</v>
      </c>
      <c r="I5" s="16" t="s">
        <v>26</v>
      </c>
      <c r="J5" s="16" t="s">
        <v>27</v>
      </c>
      <c r="K5" s="16" t="s">
        <v>28</v>
      </c>
      <c r="L5" s="16" t="s">
        <v>29</v>
      </c>
      <c r="M5" s="16" t="s">
        <v>30</v>
      </c>
      <c r="N5" s="16" t="s">
        <v>31</v>
      </c>
      <c r="O5" s="16" t="s">
        <v>32</v>
      </c>
      <c r="P5" s="16" t="s">
        <v>33</v>
      </c>
      <c r="Q5" s="16" t="s">
        <v>34</v>
      </c>
      <c r="R5" s="16" t="s">
        <v>36</v>
      </c>
      <c r="S5" s="16" t="s">
        <v>37</v>
      </c>
      <c r="T5" s="16" t="s">
        <v>39</v>
      </c>
      <c r="U5" s="18" t="s">
        <v>40</v>
      </c>
      <c r="V5" s="18" t="s">
        <v>41</v>
      </c>
      <c r="W5" s="18" t="s">
        <v>42</v>
      </c>
      <c r="X5" s="18" t="s">
        <v>43</v>
      </c>
      <c r="Y5" s="18" t="s">
        <v>44</v>
      </c>
      <c r="Z5" s="18" t="s">
        <v>45</v>
      </c>
      <c r="AA5" s="19" t="s">
        <v>46</v>
      </c>
      <c r="AB5" s="18" t="s">
        <v>47</v>
      </c>
      <c r="AC5" s="18" t="s">
        <v>48</v>
      </c>
      <c r="AD5" s="18" t="s">
        <v>49</v>
      </c>
      <c r="AE5" s="18" t="s">
        <v>50</v>
      </c>
      <c r="AF5" s="18" t="s">
        <v>53</v>
      </c>
      <c r="AG5" s="22" t="s">
        <v>56</v>
      </c>
      <c r="AH5" s="19" t="s">
        <v>58</v>
      </c>
      <c r="AI5" s="16" t="s">
        <v>60</v>
      </c>
      <c r="AJ5" s="16" t="s">
        <v>62</v>
      </c>
      <c r="AK5" s="16" t="s">
        <v>63</v>
      </c>
      <c r="AL5" s="16" t="s">
        <v>64</v>
      </c>
      <c r="AM5" s="16" t="s">
        <v>65</v>
      </c>
      <c r="AN5" s="16" t="s">
        <v>66</v>
      </c>
      <c r="AO5" s="16" t="s">
        <v>68</v>
      </c>
      <c r="AP5" s="16" t="s">
        <v>70</v>
      </c>
      <c r="AQ5" s="16" t="s">
        <v>71</v>
      </c>
      <c r="AR5" s="16" t="s">
        <v>72</v>
      </c>
      <c r="AS5" s="16" t="s">
        <v>75</v>
      </c>
      <c r="AT5" s="16" t="s">
        <v>77</v>
      </c>
      <c r="AU5" s="16" t="s">
        <v>79</v>
      </c>
      <c r="AV5" s="16" t="s">
        <v>80</v>
      </c>
      <c r="AW5" s="16" t="s">
        <v>81</v>
      </c>
      <c r="AX5" s="16" t="s">
        <v>83</v>
      </c>
      <c r="AY5" s="16" t="s">
        <v>84</v>
      </c>
      <c r="AZ5" s="16" t="s">
        <v>85</v>
      </c>
      <c r="BA5" s="16" t="s">
        <v>86</v>
      </c>
      <c r="BB5" s="18" t="s">
        <v>87</v>
      </c>
      <c r="BC5" s="18" t="s">
        <v>88</v>
      </c>
      <c r="BD5" s="18" t="s">
        <v>89</v>
      </c>
      <c r="BE5" s="18" t="s">
        <v>90</v>
      </c>
      <c r="BF5" s="18" t="s">
        <v>91</v>
      </c>
      <c r="BG5" s="18" t="s">
        <v>92</v>
      </c>
      <c r="BH5" s="16"/>
      <c r="BI5" s="16"/>
      <c r="BJ5" s="16"/>
      <c r="BK5" s="16" t="s">
        <v>95</v>
      </c>
      <c r="BL5" s="16" t="s">
        <v>97</v>
      </c>
      <c r="BM5" s="26" t="s">
        <v>98</v>
      </c>
      <c r="BN5" s="26" t="s">
        <v>100</v>
      </c>
    </row>
    <row r="6" spans="1:66" ht="16.5" x14ac:dyDescent="0.25">
      <c r="A6" s="28"/>
      <c r="B6" s="15"/>
      <c r="C6" s="29" t="s">
        <v>101</v>
      </c>
      <c r="D6" s="29" t="s">
        <v>103</v>
      </c>
      <c r="E6" s="29" t="s">
        <v>104</v>
      </c>
      <c r="F6" s="29" t="s">
        <v>105</v>
      </c>
      <c r="G6" s="29" t="s">
        <v>106</v>
      </c>
      <c r="H6" s="29" t="s">
        <v>107</v>
      </c>
      <c r="I6" s="29" t="s">
        <v>108</v>
      </c>
      <c r="J6" s="30" t="s">
        <v>109</v>
      </c>
      <c r="K6" s="30" t="s">
        <v>112</v>
      </c>
      <c r="L6" s="30" t="s">
        <v>113</v>
      </c>
      <c r="M6" s="30" t="s">
        <v>114</v>
      </c>
      <c r="N6" s="30" t="s">
        <v>115</v>
      </c>
      <c r="O6" s="30" t="s">
        <v>116</v>
      </c>
      <c r="P6" s="29" t="s">
        <v>118</v>
      </c>
      <c r="Q6" s="30" t="s">
        <v>120</v>
      </c>
      <c r="R6" s="32" t="s">
        <v>122</v>
      </c>
      <c r="S6" s="29" t="s">
        <v>123</v>
      </c>
      <c r="T6" s="30" t="s">
        <v>124</v>
      </c>
      <c r="U6" s="32" t="s">
        <v>125</v>
      </c>
      <c r="V6" s="32" t="s">
        <v>127</v>
      </c>
      <c r="W6" s="32" t="s">
        <v>128</v>
      </c>
      <c r="X6" s="32" t="s">
        <v>129</v>
      </c>
      <c r="Y6" s="32" t="s">
        <v>130</v>
      </c>
      <c r="Z6" s="32" t="s">
        <v>131</v>
      </c>
      <c r="AA6" s="35" t="s">
        <v>132</v>
      </c>
      <c r="AB6" s="32" t="s">
        <v>133</v>
      </c>
      <c r="AC6" s="32" t="s">
        <v>134</v>
      </c>
      <c r="AD6" s="32" t="s">
        <v>135</v>
      </c>
      <c r="AE6" s="32" t="s">
        <v>136</v>
      </c>
      <c r="AF6" s="32" t="s">
        <v>139</v>
      </c>
      <c r="AG6" s="22" t="s">
        <v>141</v>
      </c>
      <c r="AH6" s="39" t="s">
        <v>142</v>
      </c>
      <c r="AI6" s="30" t="s">
        <v>143</v>
      </c>
      <c r="AJ6" s="30" t="s">
        <v>144</v>
      </c>
      <c r="AK6" s="30" t="s">
        <v>146</v>
      </c>
      <c r="AL6" s="41" t="s">
        <v>147</v>
      </c>
      <c r="AM6" s="30" t="s">
        <v>150</v>
      </c>
      <c r="AN6" s="30" t="s">
        <v>151</v>
      </c>
      <c r="AO6" s="30" t="s">
        <v>68</v>
      </c>
      <c r="AP6" s="30" t="s">
        <v>152</v>
      </c>
      <c r="AQ6" s="30" t="s">
        <v>154</v>
      </c>
      <c r="AR6" s="30" t="s">
        <v>156</v>
      </c>
      <c r="AS6" s="30" t="s">
        <v>157</v>
      </c>
      <c r="AT6" s="30" t="s">
        <v>159</v>
      </c>
      <c r="AU6" s="30" t="s">
        <v>160</v>
      </c>
      <c r="AV6" s="30" t="s">
        <v>161</v>
      </c>
      <c r="AW6" s="30" t="s">
        <v>162</v>
      </c>
      <c r="AX6" s="30" t="s">
        <v>163</v>
      </c>
      <c r="AY6" s="30" t="s">
        <v>164</v>
      </c>
      <c r="AZ6" s="30" t="s">
        <v>165</v>
      </c>
      <c r="BA6" s="30" t="s">
        <v>166</v>
      </c>
      <c r="BB6" s="32" t="s">
        <v>167</v>
      </c>
      <c r="BC6" s="32" t="s">
        <v>169</v>
      </c>
      <c r="BD6" s="32" t="s">
        <v>170</v>
      </c>
      <c r="BE6" s="32" t="s">
        <v>171</v>
      </c>
      <c r="BF6" s="32" t="s">
        <v>172</v>
      </c>
      <c r="BG6" s="32" t="s">
        <v>173</v>
      </c>
      <c r="BH6" s="16"/>
      <c r="BI6" s="16"/>
      <c r="BJ6" s="16"/>
      <c r="BK6" s="29" t="s">
        <v>174</v>
      </c>
      <c r="BL6" s="29" t="s">
        <v>175</v>
      </c>
      <c r="BM6" s="44" t="s">
        <v>177</v>
      </c>
      <c r="BN6" s="44" t="s">
        <v>180</v>
      </c>
    </row>
    <row r="7" spans="1:66" ht="177.75" customHeight="1" x14ac:dyDescent="0.25">
      <c r="A7" s="46"/>
      <c r="B7" s="47"/>
      <c r="C7" s="48" t="s">
        <v>184</v>
      </c>
      <c r="D7" s="49" t="s">
        <v>186</v>
      </c>
      <c r="E7" s="48" t="s">
        <v>187</v>
      </c>
      <c r="F7" s="49" t="s">
        <v>186</v>
      </c>
      <c r="G7" s="48" t="s">
        <v>189</v>
      </c>
      <c r="H7" s="48" t="s">
        <v>190</v>
      </c>
      <c r="I7" s="48" t="s">
        <v>190</v>
      </c>
      <c r="J7" s="48" t="s">
        <v>190</v>
      </c>
      <c r="K7" s="48" t="s">
        <v>190</v>
      </c>
      <c r="L7" s="48" t="s">
        <v>190</v>
      </c>
      <c r="M7" s="48" t="s">
        <v>190</v>
      </c>
      <c r="N7" s="50" t="s">
        <v>192</v>
      </c>
      <c r="O7" s="48" t="s">
        <v>194</v>
      </c>
      <c r="P7" s="50" t="s">
        <v>192</v>
      </c>
      <c r="Q7" s="48" t="s">
        <v>194</v>
      </c>
      <c r="R7" s="48" t="s">
        <v>194</v>
      </c>
      <c r="S7" s="50" t="s">
        <v>192</v>
      </c>
      <c r="T7" s="48" t="s">
        <v>190</v>
      </c>
      <c r="U7" s="51" t="s">
        <v>190</v>
      </c>
      <c r="V7" s="51" t="s">
        <v>190</v>
      </c>
      <c r="W7" s="51" t="s">
        <v>196</v>
      </c>
      <c r="X7" s="51" t="s">
        <v>198</v>
      </c>
      <c r="Y7" s="51" t="s">
        <v>199</v>
      </c>
      <c r="Z7" s="51" t="s">
        <v>199</v>
      </c>
      <c r="AA7" s="51" t="s">
        <v>199</v>
      </c>
      <c r="AB7" s="51" t="s">
        <v>199</v>
      </c>
      <c r="AC7" s="51" t="s">
        <v>199</v>
      </c>
      <c r="AD7" s="51" t="s">
        <v>199</v>
      </c>
      <c r="AE7" s="51" t="s">
        <v>199</v>
      </c>
      <c r="AF7" s="52" t="s">
        <v>200</v>
      </c>
      <c r="AG7" s="53" t="s">
        <v>186</v>
      </c>
      <c r="AH7" s="51" t="s">
        <v>202</v>
      </c>
      <c r="AI7" s="54" t="s">
        <v>202</v>
      </c>
      <c r="AJ7" s="11" t="s">
        <v>192</v>
      </c>
      <c r="AK7" s="11" t="s">
        <v>192</v>
      </c>
      <c r="AL7" s="54" t="s">
        <v>204</v>
      </c>
      <c r="AM7" s="11" t="s">
        <v>12</v>
      </c>
      <c r="AN7" s="11" t="s">
        <v>192</v>
      </c>
      <c r="AO7" s="11" t="s">
        <v>192</v>
      </c>
      <c r="AP7" s="11" t="s">
        <v>13</v>
      </c>
      <c r="AQ7" s="11" t="s">
        <v>192</v>
      </c>
      <c r="AR7" s="54" t="s">
        <v>202</v>
      </c>
      <c r="AS7" s="54" t="s">
        <v>202</v>
      </c>
      <c r="AT7" s="11" t="s">
        <v>192</v>
      </c>
      <c r="AU7" s="54" t="s">
        <v>202</v>
      </c>
      <c r="AV7" s="54" t="s">
        <v>202</v>
      </c>
      <c r="AW7" s="54" t="s">
        <v>202</v>
      </c>
      <c r="AX7" s="11" t="s">
        <v>192</v>
      </c>
      <c r="AY7" s="11" t="s">
        <v>192</v>
      </c>
      <c r="AZ7" s="11" t="s">
        <v>192</v>
      </c>
      <c r="BA7" s="48" t="s">
        <v>190</v>
      </c>
      <c r="BB7" s="51" t="s">
        <v>190</v>
      </c>
      <c r="BC7" s="51" t="s">
        <v>192</v>
      </c>
      <c r="BD7" s="51" t="s">
        <v>207</v>
      </c>
      <c r="BE7" s="51" t="s">
        <v>207</v>
      </c>
      <c r="BF7" s="51" t="s">
        <v>207</v>
      </c>
      <c r="BG7" s="51" t="s">
        <v>207</v>
      </c>
      <c r="BH7" s="16"/>
      <c r="BI7" s="16"/>
      <c r="BJ7" s="16"/>
      <c r="BK7" s="58"/>
      <c r="BL7" s="58"/>
      <c r="BM7" s="59"/>
      <c r="BN7" s="59"/>
    </row>
    <row r="8" spans="1:66" ht="25.5" x14ac:dyDescent="0.2">
      <c r="A8" s="3"/>
      <c r="B8" s="61" t="s">
        <v>209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3"/>
      <c r="AF8" s="63"/>
      <c r="AG8" s="63"/>
      <c r="AH8" s="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3"/>
      <c r="BD8" s="63"/>
      <c r="BE8" s="63"/>
      <c r="BF8" s="63"/>
      <c r="BG8" s="3"/>
      <c r="BH8" s="3"/>
      <c r="BI8" s="3"/>
      <c r="BJ8" s="3"/>
      <c r="BK8" s="3"/>
      <c r="BL8" s="3"/>
      <c r="BM8" s="3"/>
      <c r="BN8" s="3"/>
    </row>
    <row r="9" spans="1:66" ht="12.75" x14ac:dyDescent="0.2">
      <c r="A9" s="64" t="s">
        <v>2</v>
      </c>
      <c r="B9" s="6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63"/>
      <c r="BE9" s="63"/>
      <c r="BF9" s="63"/>
      <c r="BG9" s="3"/>
      <c r="BH9" s="3"/>
      <c r="BI9" s="3"/>
      <c r="BJ9" s="3"/>
      <c r="BK9" s="3"/>
      <c r="BL9" s="3"/>
      <c r="BM9" s="3"/>
      <c r="BN9" s="3" t="s">
        <v>215</v>
      </c>
    </row>
    <row r="10" spans="1:66" ht="12.75" x14ac:dyDescent="0.2">
      <c r="A10" s="64" t="s">
        <v>2</v>
      </c>
      <c r="B10" s="6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63"/>
      <c r="BE10" s="63"/>
      <c r="BF10" s="63"/>
      <c r="BG10" s="3"/>
      <c r="BH10" s="3"/>
      <c r="BI10" s="3"/>
      <c r="BJ10" s="3"/>
      <c r="BK10" s="3"/>
      <c r="BL10" s="3"/>
      <c r="BM10" s="3"/>
      <c r="BN10" s="3"/>
    </row>
    <row r="11" spans="1:66" ht="12.75" x14ac:dyDescent="0.2">
      <c r="A11" s="64" t="s">
        <v>2</v>
      </c>
      <c r="B11" s="6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63"/>
      <c r="BE11" s="63"/>
      <c r="BF11" s="63"/>
      <c r="BG11" s="3"/>
      <c r="BH11" s="3"/>
      <c r="BI11" s="3"/>
      <c r="BJ11" s="3"/>
      <c r="BK11" s="3"/>
      <c r="BL11" s="3"/>
      <c r="BM11" s="3"/>
      <c r="BN11" s="3"/>
    </row>
    <row r="12" spans="1:66" ht="12.75" x14ac:dyDescent="0.2">
      <c r="A12" s="64" t="s">
        <v>2</v>
      </c>
      <c r="B12" s="6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63"/>
      <c r="BE12" s="63"/>
      <c r="BF12" s="63"/>
      <c r="BG12" s="3"/>
      <c r="BH12" s="3"/>
      <c r="BI12" s="3"/>
      <c r="BJ12" s="3"/>
      <c r="BK12" s="3"/>
      <c r="BL12" s="3"/>
      <c r="BM12" s="3"/>
      <c r="BN12" s="3"/>
    </row>
    <row r="13" spans="1:66" ht="12.75" x14ac:dyDescent="0.2">
      <c r="A13" s="64" t="s">
        <v>2</v>
      </c>
      <c r="B13" s="6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63"/>
      <c r="BE13" s="63"/>
      <c r="BF13" s="63"/>
      <c r="BG13" s="3"/>
      <c r="BH13" s="3"/>
      <c r="BI13" s="3"/>
      <c r="BJ13" s="3"/>
      <c r="BK13" s="3"/>
      <c r="BL13" s="3"/>
      <c r="BM13" s="3"/>
      <c r="BN13" s="3"/>
    </row>
    <row r="14" spans="1:66" ht="12.75" x14ac:dyDescent="0.2">
      <c r="A14" s="64" t="s">
        <v>2</v>
      </c>
      <c r="B14" s="6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63"/>
      <c r="BE14" s="63"/>
      <c r="BF14" s="63"/>
      <c r="BG14" s="3"/>
      <c r="BH14" s="3"/>
      <c r="BI14" s="3"/>
      <c r="BJ14" s="3"/>
      <c r="BK14" s="3"/>
      <c r="BL14" s="3"/>
      <c r="BM14" s="3"/>
      <c r="BN14" s="3"/>
    </row>
    <row r="15" spans="1:66" ht="12.75" x14ac:dyDescent="0.2">
      <c r="A15" s="64" t="s">
        <v>2</v>
      </c>
      <c r="B15" s="6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63"/>
      <c r="BE15" s="63"/>
      <c r="BF15" s="63"/>
      <c r="BG15" s="3"/>
      <c r="BH15" s="3"/>
      <c r="BI15" s="3"/>
      <c r="BJ15" s="3"/>
      <c r="BK15" s="3"/>
      <c r="BL15" s="3"/>
      <c r="BM15" s="3"/>
      <c r="BN15" s="3"/>
    </row>
    <row r="16" spans="1:66" ht="12.75" x14ac:dyDescent="0.2">
      <c r="A16" s="64" t="s">
        <v>2</v>
      </c>
      <c r="B16" s="6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63"/>
      <c r="BE16" s="63"/>
      <c r="BF16" s="63"/>
      <c r="BG16" s="3"/>
      <c r="BH16" s="3"/>
      <c r="BI16" s="3"/>
      <c r="BJ16" s="3"/>
      <c r="BK16" s="3"/>
      <c r="BL16" s="3"/>
      <c r="BM16" s="3"/>
      <c r="BN16" s="3"/>
    </row>
    <row r="17" spans="1:66" ht="12.75" x14ac:dyDescent="0.2">
      <c r="A17" s="64" t="s">
        <v>2</v>
      </c>
      <c r="B17" s="6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63"/>
      <c r="BE17" s="63"/>
      <c r="BF17" s="63"/>
      <c r="BG17" s="3"/>
      <c r="BH17" s="3"/>
      <c r="BI17" s="3"/>
      <c r="BJ17" s="3"/>
      <c r="BK17" s="3"/>
      <c r="BL17" s="3"/>
      <c r="BM17" s="3"/>
      <c r="BN17" s="3"/>
    </row>
    <row r="18" spans="1:66" ht="12.75" x14ac:dyDescent="0.2">
      <c r="A18" s="64" t="s">
        <v>2</v>
      </c>
      <c r="B18" s="6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63"/>
      <c r="BE18" s="63"/>
      <c r="BF18" s="63"/>
      <c r="BG18" s="3"/>
      <c r="BH18" s="3"/>
      <c r="BI18" s="3"/>
      <c r="BJ18" s="3"/>
      <c r="BK18" s="3"/>
      <c r="BL18" s="3"/>
      <c r="BM18" s="3"/>
      <c r="BN18" s="3"/>
    </row>
    <row r="19" spans="1:66" ht="12.75" x14ac:dyDescent="0.2">
      <c r="A19" s="64" t="s">
        <v>2</v>
      </c>
      <c r="B19" s="6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63"/>
      <c r="BE19" s="63"/>
      <c r="BF19" s="63"/>
      <c r="BG19" s="3"/>
      <c r="BH19" s="3"/>
      <c r="BI19" s="3"/>
      <c r="BJ19" s="3"/>
      <c r="BK19" s="3"/>
      <c r="BL19" s="3"/>
      <c r="BM19" s="3"/>
      <c r="BN19" s="3"/>
    </row>
    <row r="20" spans="1:66" ht="12.75" x14ac:dyDescent="0.2">
      <c r="A20" s="64" t="s">
        <v>2</v>
      </c>
      <c r="B20" s="6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63"/>
      <c r="BE20" s="63"/>
      <c r="BF20" s="63"/>
      <c r="BG20" s="3"/>
      <c r="BH20" s="3"/>
      <c r="BI20" s="3"/>
      <c r="BJ20" s="3"/>
      <c r="BK20" s="3"/>
      <c r="BL20" s="3"/>
      <c r="BM20" s="3"/>
      <c r="BN20" s="3"/>
    </row>
    <row r="21" spans="1:66" ht="12.75" x14ac:dyDescent="0.2">
      <c r="A21" s="64" t="s">
        <v>2</v>
      </c>
      <c r="B21" s="6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63"/>
      <c r="BE21" s="63"/>
      <c r="BF21" s="63"/>
      <c r="BG21" s="3"/>
      <c r="BH21" s="3"/>
      <c r="BI21" s="3"/>
      <c r="BJ21" s="3"/>
      <c r="BK21" s="3"/>
      <c r="BL21" s="3"/>
      <c r="BM21" s="3"/>
      <c r="BN21" s="3"/>
    </row>
    <row r="22" spans="1:66" ht="12.75" x14ac:dyDescent="0.2">
      <c r="A22" s="64" t="s">
        <v>2</v>
      </c>
      <c r="B22" s="6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63"/>
      <c r="BE22" s="63"/>
      <c r="BF22" s="63"/>
      <c r="BG22" s="3"/>
      <c r="BH22" s="3"/>
      <c r="BI22" s="3"/>
      <c r="BJ22" s="3"/>
      <c r="BK22" s="3"/>
      <c r="BL22" s="3"/>
      <c r="BM22" s="3"/>
      <c r="BN22" s="3"/>
    </row>
    <row r="23" spans="1:66" ht="12.75" x14ac:dyDescent="0.2">
      <c r="A23" s="64" t="s">
        <v>2</v>
      </c>
      <c r="B23" s="6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63"/>
      <c r="BE23" s="63"/>
      <c r="BF23" s="63"/>
      <c r="BG23" s="3"/>
      <c r="BH23" s="3"/>
      <c r="BI23" s="3"/>
      <c r="BJ23" s="3"/>
      <c r="BK23" s="3"/>
      <c r="BL23" s="3"/>
      <c r="BM23" s="3"/>
      <c r="BN23" s="3"/>
    </row>
    <row r="24" spans="1:66" ht="12.75" x14ac:dyDescent="0.2">
      <c r="A24" s="64" t="s">
        <v>2</v>
      </c>
      <c r="B24" s="6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3"/>
      <c r="AG24" s="3"/>
      <c r="AH24" s="6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63"/>
      <c r="BC24" s="63"/>
      <c r="BD24" s="63"/>
      <c r="BE24" s="63"/>
      <c r="BF24" s="63"/>
      <c r="BG24" s="3"/>
      <c r="BH24" s="3"/>
      <c r="BI24" s="3"/>
      <c r="BJ24" s="3"/>
      <c r="BK24" s="3"/>
      <c r="BL24" s="3"/>
      <c r="BM24" s="3"/>
      <c r="BN24" s="3"/>
    </row>
    <row r="25" spans="1:66" ht="12.75" x14ac:dyDescent="0.2">
      <c r="A25" s="64" t="s">
        <v>2</v>
      </c>
      <c r="B25" s="6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3"/>
      <c r="AG25" s="3"/>
      <c r="AH25" s="6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63"/>
      <c r="BC25" s="63"/>
      <c r="BD25" s="63"/>
      <c r="BE25" s="63"/>
      <c r="BF25" s="63"/>
      <c r="BG25" s="3"/>
      <c r="BH25" s="3"/>
      <c r="BI25" s="3"/>
      <c r="BJ25" s="3"/>
      <c r="BK25" s="3"/>
      <c r="BL25" s="3"/>
      <c r="BM25" s="3"/>
      <c r="BN25" s="3"/>
    </row>
    <row r="26" spans="1:66" ht="12.75" x14ac:dyDescent="0.2">
      <c r="A26" s="64" t="s">
        <v>2</v>
      </c>
      <c r="B26" s="6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3"/>
      <c r="AG26" s="3"/>
      <c r="AH26" s="6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63"/>
      <c r="BC26" s="63"/>
      <c r="BD26" s="63"/>
      <c r="BE26" s="63"/>
      <c r="BF26" s="63"/>
      <c r="BG26" s="3"/>
      <c r="BH26" s="3"/>
      <c r="BI26" s="3"/>
      <c r="BJ26" s="3"/>
      <c r="BK26" s="3"/>
      <c r="BL26" s="3"/>
      <c r="BM26" s="3"/>
      <c r="BN26" s="3"/>
    </row>
    <row r="27" spans="1:66" ht="12.75" x14ac:dyDescent="0.2">
      <c r="A27" s="64" t="s">
        <v>2</v>
      </c>
      <c r="B27" s="6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3"/>
      <c r="AG27" s="3"/>
      <c r="AH27" s="6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63"/>
      <c r="BC27" s="63"/>
      <c r="BD27" s="63"/>
      <c r="BE27" s="63"/>
      <c r="BF27" s="63"/>
      <c r="BG27" s="3"/>
      <c r="BH27" s="3"/>
      <c r="BI27" s="3"/>
      <c r="BJ27" s="3"/>
      <c r="BK27" s="3"/>
      <c r="BL27" s="3"/>
      <c r="BM27" s="3"/>
      <c r="BN27" s="3"/>
    </row>
    <row r="28" spans="1:66" ht="12.75" x14ac:dyDescent="0.2">
      <c r="A28" s="64" t="s">
        <v>2</v>
      </c>
      <c r="B28" s="6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3"/>
      <c r="AG28" s="3"/>
      <c r="AH28" s="6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63"/>
      <c r="BC28" s="63"/>
      <c r="BD28" s="63"/>
      <c r="BE28" s="63"/>
      <c r="BF28" s="63"/>
      <c r="BG28" s="3"/>
      <c r="BH28" s="3"/>
      <c r="BI28" s="3"/>
      <c r="BJ28" s="3"/>
      <c r="BK28" s="3"/>
      <c r="BL28" s="3"/>
      <c r="BM28" s="3"/>
      <c r="BN28" s="3"/>
    </row>
    <row r="29" spans="1:66" ht="12.75" x14ac:dyDescent="0.2">
      <c r="A29" s="64" t="s">
        <v>2</v>
      </c>
      <c r="B29" s="6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3"/>
      <c r="AG29" s="3"/>
      <c r="AH29" s="6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63"/>
      <c r="BC29" s="63"/>
      <c r="BD29" s="63"/>
      <c r="BE29" s="63"/>
      <c r="BF29" s="63"/>
      <c r="BG29" s="3"/>
      <c r="BH29" s="3"/>
      <c r="BI29" s="3"/>
      <c r="BJ29" s="3"/>
      <c r="BK29" s="3"/>
      <c r="BL29" s="3"/>
      <c r="BM29" s="3"/>
      <c r="BN29" s="3"/>
    </row>
    <row r="30" spans="1:66" ht="12.75" x14ac:dyDescent="0.2">
      <c r="A30" s="64" t="s">
        <v>2</v>
      </c>
      <c r="B30" s="6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3"/>
      <c r="AG30" s="3"/>
      <c r="AH30" s="6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63"/>
      <c r="BC30" s="63"/>
      <c r="BD30" s="63"/>
      <c r="BE30" s="63"/>
      <c r="BF30" s="63"/>
      <c r="BG30" s="3"/>
      <c r="BH30" s="3"/>
      <c r="BI30" s="3"/>
      <c r="BJ30" s="3"/>
      <c r="BK30" s="3"/>
      <c r="BL30" s="3"/>
      <c r="BM30" s="3"/>
      <c r="BN30" s="3"/>
    </row>
    <row r="31" spans="1:66" ht="12.75" x14ac:dyDescent="0.2">
      <c r="A31" s="64" t="s">
        <v>2</v>
      </c>
      <c r="B31" s="6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3"/>
      <c r="AG31" s="3"/>
      <c r="AH31" s="6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63"/>
      <c r="BC31" s="63"/>
      <c r="BD31" s="63"/>
      <c r="BE31" s="63"/>
      <c r="BF31" s="63"/>
      <c r="BG31" s="3"/>
      <c r="BH31" s="3"/>
      <c r="BI31" s="3"/>
      <c r="BJ31" s="3"/>
      <c r="BK31" s="3"/>
      <c r="BL31" s="3"/>
      <c r="BM31" s="3"/>
      <c r="BN31" s="3"/>
    </row>
    <row r="32" spans="1:66" ht="12.75" x14ac:dyDescent="0.2">
      <c r="A32" s="64" t="s">
        <v>2</v>
      </c>
      <c r="B32" s="6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3"/>
      <c r="AG32" s="3"/>
      <c r="AH32" s="6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63"/>
      <c r="BC32" s="63"/>
      <c r="BD32" s="63"/>
      <c r="BE32" s="63"/>
      <c r="BF32" s="63"/>
      <c r="BG32" s="3"/>
      <c r="BH32" s="3"/>
      <c r="BI32" s="3"/>
      <c r="BJ32" s="3"/>
      <c r="BK32" s="3"/>
      <c r="BL32" s="3"/>
      <c r="BM32" s="3"/>
      <c r="BN32" s="3"/>
    </row>
    <row r="33" spans="1:66" ht="12.75" x14ac:dyDescent="0.2">
      <c r="A33" s="64" t="s">
        <v>2</v>
      </c>
      <c r="B33" s="6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3"/>
      <c r="AG33" s="3"/>
      <c r="AH33" s="6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63"/>
      <c r="BC33" s="63"/>
      <c r="BD33" s="63"/>
      <c r="BE33" s="63"/>
      <c r="BF33" s="63"/>
      <c r="BG33" s="3"/>
      <c r="BH33" s="3"/>
      <c r="BI33" s="3"/>
      <c r="BJ33" s="3"/>
      <c r="BK33" s="3"/>
      <c r="BL33" s="3"/>
      <c r="BM33" s="3"/>
      <c r="BN33" s="3"/>
    </row>
    <row r="34" spans="1:66" ht="12.75" x14ac:dyDescent="0.2">
      <c r="A34" s="64" t="s">
        <v>2</v>
      </c>
      <c r="B34" s="6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3"/>
      <c r="AG34" s="3"/>
      <c r="AH34" s="6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63"/>
      <c r="BC34" s="63"/>
      <c r="BD34" s="63"/>
      <c r="BE34" s="63"/>
      <c r="BF34" s="63"/>
      <c r="BG34" s="3"/>
      <c r="BH34" s="3"/>
      <c r="BI34" s="3"/>
      <c r="BJ34" s="3"/>
      <c r="BK34" s="3"/>
      <c r="BL34" s="3"/>
      <c r="BM34" s="3"/>
      <c r="BN34" s="3"/>
    </row>
    <row r="35" spans="1:66" ht="12.75" x14ac:dyDescent="0.2">
      <c r="A35" s="64" t="s">
        <v>2</v>
      </c>
      <c r="B35" s="6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3"/>
      <c r="AG35" s="3"/>
      <c r="AH35" s="6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63"/>
      <c r="BC35" s="63"/>
      <c r="BD35" s="63"/>
      <c r="BE35" s="63"/>
      <c r="BF35" s="63"/>
      <c r="BG35" s="3"/>
      <c r="BH35" s="3"/>
      <c r="BI35" s="3"/>
      <c r="BJ35" s="3"/>
      <c r="BK35" s="3"/>
      <c r="BL35" s="3"/>
      <c r="BM35" s="3"/>
      <c r="BN35" s="3"/>
    </row>
    <row r="36" spans="1:66" ht="12.75" x14ac:dyDescent="0.2">
      <c r="A36" s="64" t="s">
        <v>2</v>
      </c>
      <c r="B36" s="6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3"/>
      <c r="AG36" s="3"/>
      <c r="AH36" s="6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63"/>
      <c r="BC36" s="63"/>
      <c r="BD36" s="63"/>
      <c r="BE36" s="63"/>
      <c r="BF36" s="63"/>
      <c r="BG36" s="3"/>
      <c r="BH36" s="3"/>
      <c r="BI36" s="3"/>
      <c r="BJ36" s="3"/>
      <c r="BK36" s="3"/>
      <c r="BL36" s="3"/>
      <c r="BM36" s="3"/>
      <c r="BN36" s="3"/>
    </row>
    <row r="37" spans="1:66" ht="12.75" x14ac:dyDescent="0.2">
      <c r="A37" s="64" t="s">
        <v>2</v>
      </c>
      <c r="B37" s="6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3"/>
      <c r="AG37" s="3"/>
      <c r="AH37" s="6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63"/>
      <c r="BC37" s="63"/>
      <c r="BD37" s="63"/>
      <c r="BE37" s="63"/>
      <c r="BF37" s="63"/>
      <c r="BG37" s="3"/>
      <c r="BH37" s="3"/>
      <c r="BI37" s="3"/>
      <c r="BJ37" s="3"/>
      <c r="BK37" s="3"/>
      <c r="BL37" s="3"/>
      <c r="BM37" s="3"/>
      <c r="BN37" s="3"/>
    </row>
    <row r="38" spans="1:66" ht="12.75" x14ac:dyDescent="0.2">
      <c r="A38" s="64" t="s">
        <v>2</v>
      </c>
      <c r="B38" s="6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3"/>
      <c r="AG38" s="3"/>
      <c r="AH38" s="6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63"/>
      <c r="BC38" s="63"/>
      <c r="BD38" s="63"/>
      <c r="BE38" s="63"/>
      <c r="BF38" s="63"/>
      <c r="BG38" s="3"/>
      <c r="BH38" s="3"/>
      <c r="BI38" s="3"/>
      <c r="BJ38" s="3"/>
      <c r="BK38" s="3"/>
      <c r="BL38" s="3"/>
      <c r="BM38" s="3"/>
      <c r="BN38" s="3"/>
    </row>
    <row r="39" spans="1:66" ht="12.75" x14ac:dyDescent="0.2">
      <c r="A39" s="64" t="s">
        <v>2</v>
      </c>
      <c r="B39" s="6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3"/>
      <c r="AG39" s="3"/>
      <c r="AH39" s="6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63"/>
      <c r="BC39" s="63"/>
      <c r="BD39" s="63"/>
      <c r="BE39" s="63"/>
      <c r="BF39" s="63"/>
      <c r="BG39" s="3"/>
      <c r="BH39" s="3"/>
      <c r="BI39" s="3"/>
      <c r="BJ39" s="3"/>
      <c r="BK39" s="3"/>
      <c r="BL39" s="3"/>
      <c r="BM39" s="3"/>
      <c r="BN39" s="3"/>
    </row>
    <row r="40" spans="1:66" ht="12.75" x14ac:dyDescent="0.2">
      <c r="A40" s="64" t="s">
        <v>2</v>
      </c>
      <c r="B40" s="6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3"/>
      <c r="AG40" s="3"/>
      <c r="AH40" s="6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63"/>
      <c r="BC40" s="63"/>
      <c r="BD40" s="63"/>
      <c r="BE40" s="63"/>
      <c r="BF40" s="63"/>
      <c r="BG40" s="3"/>
      <c r="BH40" s="3"/>
      <c r="BI40" s="3"/>
      <c r="BJ40" s="3"/>
      <c r="BK40" s="3"/>
      <c r="BL40" s="3"/>
      <c r="BM40" s="3"/>
      <c r="BN40" s="3"/>
    </row>
    <row r="41" spans="1:66" ht="12.75" x14ac:dyDescent="0.2">
      <c r="A41" s="64" t="s">
        <v>2</v>
      </c>
      <c r="B41" s="6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3"/>
      <c r="AG41" s="3"/>
      <c r="AH41" s="6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63"/>
      <c r="BC41" s="63"/>
      <c r="BD41" s="63"/>
      <c r="BE41" s="63"/>
      <c r="BF41" s="63"/>
      <c r="BG41" s="3"/>
      <c r="BH41" s="3"/>
      <c r="BI41" s="3"/>
      <c r="BJ41" s="3"/>
      <c r="BK41" s="3"/>
      <c r="BL41" s="3"/>
      <c r="BM41" s="3"/>
      <c r="BN41" s="3"/>
    </row>
    <row r="42" spans="1:66" ht="12.75" x14ac:dyDescent="0.2">
      <c r="A42" s="64" t="s">
        <v>2</v>
      </c>
      <c r="B42" s="6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3"/>
      <c r="AG42" s="3"/>
      <c r="AH42" s="6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63"/>
      <c r="BC42" s="63"/>
      <c r="BD42" s="63"/>
      <c r="BE42" s="63"/>
      <c r="BF42" s="63"/>
      <c r="BG42" s="3"/>
      <c r="BH42" s="3"/>
      <c r="BI42" s="3"/>
      <c r="BJ42" s="3"/>
      <c r="BK42" s="3"/>
      <c r="BL42" s="3"/>
      <c r="BM42" s="3"/>
      <c r="BN42" s="3"/>
    </row>
    <row r="43" spans="1:66" ht="12.75" x14ac:dyDescent="0.2">
      <c r="A43" s="64" t="s">
        <v>2</v>
      </c>
      <c r="B43" s="6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3"/>
      <c r="AG43" s="3"/>
      <c r="AH43" s="6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63"/>
      <c r="BC43" s="63"/>
      <c r="BD43" s="63"/>
      <c r="BE43" s="63"/>
      <c r="BF43" s="63"/>
      <c r="BG43" s="3"/>
      <c r="BH43" s="3"/>
      <c r="BI43" s="3"/>
      <c r="BJ43" s="3"/>
      <c r="BK43" s="3"/>
      <c r="BL43" s="3"/>
      <c r="BM43" s="3"/>
      <c r="BN43" s="3"/>
    </row>
    <row r="44" spans="1:66" ht="12.75" x14ac:dyDescent="0.2">
      <c r="A44" s="64" t="s">
        <v>2</v>
      </c>
      <c r="B44" s="6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3"/>
      <c r="AG44" s="3"/>
      <c r="AH44" s="6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63"/>
      <c r="BC44" s="63"/>
      <c r="BD44" s="63"/>
      <c r="BE44" s="63"/>
      <c r="BF44" s="63"/>
      <c r="BG44" s="3"/>
      <c r="BH44" s="3"/>
      <c r="BI44" s="3"/>
      <c r="BJ44" s="3"/>
      <c r="BK44" s="3"/>
      <c r="BL44" s="3"/>
      <c r="BM44" s="3"/>
      <c r="BN44" s="3"/>
    </row>
    <row r="45" spans="1:66" ht="12.75" x14ac:dyDescent="0.2">
      <c r="A45" s="64" t="s">
        <v>2</v>
      </c>
      <c r="B45" s="6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3"/>
      <c r="AG45" s="3"/>
      <c r="AH45" s="6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63"/>
      <c r="BC45" s="63"/>
      <c r="BD45" s="63"/>
      <c r="BE45" s="63"/>
      <c r="BF45" s="63"/>
      <c r="BG45" s="3"/>
      <c r="BH45" s="3"/>
      <c r="BI45" s="3"/>
      <c r="BJ45" s="3"/>
      <c r="BK45" s="3"/>
      <c r="BL45" s="3"/>
      <c r="BM45" s="3"/>
      <c r="BN45" s="3"/>
    </row>
    <row r="46" spans="1:66" ht="12.75" x14ac:dyDescent="0.2">
      <c r="A46" s="64" t="s">
        <v>2</v>
      </c>
      <c r="B46" s="6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3"/>
      <c r="AG46" s="3"/>
      <c r="AH46" s="6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63"/>
      <c r="BC46" s="63"/>
      <c r="BD46" s="63"/>
      <c r="BE46" s="63"/>
      <c r="BF46" s="63"/>
      <c r="BG46" s="3"/>
      <c r="BH46" s="3"/>
      <c r="BI46" s="3"/>
      <c r="BJ46" s="3"/>
      <c r="BK46" s="3"/>
      <c r="BL46" s="3"/>
      <c r="BM46" s="3"/>
      <c r="BN46" s="3"/>
    </row>
    <row r="47" spans="1:66" ht="12.75" x14ac:dyDescent="0.2">
      <c r="A47" s="64" t="s">
        <v>2</v>
      </c>
      <c r="B47" s="6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3"/>
      <c r="AG47" s="3"/>
      <c r="AH47" s="6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63"/>
      <c r="BC47" s="63"/>
      <c r="BD47" s="63"/>
      <c r="BE47" s="63"/>
      <c r="BF47" s="63"/>
      <c r="BG47" s="3"/>
      <c r="BH47" s="3"/>
      <c r="BI47" s="3"/>
      <c r="BJ47" s="3"/>
      <c r="BK47" s="3"/>
      <c r="BL47" s="3"/>
      <c r="BM47" s="3"/>
      <c r="BN47" s="3"/>
    </row>
    <row r="48" spans="1:66" ht="12.75" x14ac:dyDescent="0.2">
      <c r="A48" s="64" t="s">
        <v>2</v>
      </c>
      <c r="B48" s="6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3"/>
      <c r="AG48" s="3"/>
      <c r="AH48" s="6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63"/>
      <c r="BC48" s="63"/>
      <c r="BD48" s="63"/>
      <c r="BE48" s="63"/>
      <c r="BF48" s="63"/>
      <c r="BG48" s="3"/>
      <c r="BH48" s="3"/>
      <c r="BI48" s="3"/>
      <c r="BJ48" s="3"/>
      <c r="BK48" s="3"/>
      <c r="BL48" s="3"/>
      <c r="BM48" s="3"/>
      <c r="BN48" s="3"/>
    </row>
    <row r="49" spans="1:66" ht="12.75" x14ac:dyDescent="0.2">
      <c r="A49" s="64" t="s">
        <v>2</v>
      </c>
      <c r="B49" s="6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3"/>
      <c r="AG49" s="3"/>
      <c r="AH49" s="6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63"/>
      <c r="BC49" s="63"/>
      <c r="BD49" s="63"/>
      <c r="BE49" s="63"/>
      <c r="BF49" s="63"/>
      <c r="BG49" s="3"/>
      <c r="BH49" s="3"/>
      <c r="BI49" s="3"/>
      <c r="BJ49" s="3"/>
      <c r="BK49" s="3"/>
      <c r="BL49" s="3"/>
      <c r="BM49" s="3"/>
      <c r="BN49" s="3"/>
    </row>
    <row r="50" spans="1:66" ht="12.75" x14ac:dyDescent="0.2">
      <c r="A50" s="64" t="s">
        <v>2</v>
      </c>
      <c r="B50" s="6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3"/>
      <c r="AG50" s="3"/>
      <c r="AH50" s="6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63"/>
      <c r="BC50" s="63"/>
      <c r="BD50" s="63"/>
      <c r="BE50" s="63"/>
      <c r="BF50" s="63"/>
      <c r="BG50" s="3"/>
      <c r="BH50" s="3"/>
      <c r="BI50" s="3"/>
      <c r="BJ50" s="3"/>
      <c r="BK50" s="3"/>
      <c r="BL50" s="3"/>
      <c r="BM50" s="3"/>
      <c r="BN50" s="3"/>
    </row>
    <row r="51" spans="1:66" ht="12.75" x14ac:dyDescent="0.2">
      <c r="A51" s="64" t="s">
        <v>2</v>
      </c>
      <c r="B51" s="6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3"/>
      <c r="AG51" s="3"/>
      <c r="AH51" s="6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63"/>
      <c r="BC51" s="63"/>
      <c r="BD51" s="63"/>
      <c r="BE51" s="63"/>
      <c r="BF51" s="63"/>
      <c r="BG51" s="3"/>
      <c r="BH51" s="3"/>
      <c r="BI51" s="3"/>
      <c r="BJ51" s="3"/>
      <c r="BK51" s="3"/>
      <c r="BL51" s="3"/>
      <c r="BM51" s="3"/>
      <c r="BN51" s="3"/>
    </row>
    <row r="52" spans="1:66" ht="12.75" x14ac:dyDescent="0.2">
      <c r="A52" s="64" t="s">
        <v>2</v>
      </c>
      <c r="B52" s="6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3"/>
      <c r="AG52" s="3"/>
      <c r="AH52" s="6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63"/>
      <c r="BC52" s="63"/>
      <c r="BD52" s="63"/>
      <c r="BE52" s="63"/>
      <c r="BF52" s="63"/>
      <c r="BG52" s="3"/>
      <c r="BH52" s="3"/>
      <c r="BI52" s="3"/>
      <c r="BJ52" s="3"/>
      <c r="BK52" s="3"/>
      <c r="BL52" s="3"/>
      <c r="BM52" s="3"/>
      <c r="BN52" s="3"/>
    </row>
    <row r="53" spans="1:66" ht="12.75" x14ac:dyDescent="0.2">
      <c r="A53" s="64" t="s">
        <v>2</v>
      </c>
      <c r="B53" s="6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3"/>
      <c r="AG53" s="3"/>
      <c r="AH53" s="6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63"/>
      <c r="BC53" s="63"/>
      <c r="BD53" s="63"/>
      <c r="BE53" s="63"/>
      <c r="BF53" s="63"/>
      <c r="BG53" s="3"/>
      <c r="BH53" s="3"/>
      <c r="BI53" s="3"/>
      <c r="BJ53" s="3"/>
      <c r="BK53" s="3"/>
      <c r="BL53" s="3"/>
      <c r="BM53" s="3"/>
      <c r="BN53" s="3"/>
    </row>
    <row r="54" spans="1:66" ht="12.75" x14ac:dyDescent="0.2">
      <c r="A54" s="64" t="s">
        <v>2</v>
      </c>
      <c r="B54" s="6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3"/>
      <c r="AG54" s="3"/>
      <c r="AH54" s="6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63"/>
      <c r="BC54" s="63"/>
      <c r="BD54" s="63"/>
      <c r="BE54" s="63"/>
      <c r="BF54" s="63"/>
      <c r="BG54" s="3"/>
      <c r="BH54" s="3"/>
      <c r="BI54" s="3"/>
      <c r="BJ54" s="3"/>
      <c r="BK54" s="3"/>
      <c r="BL54" s="3"/>
      <c r="BM54" s="3"/>
      <c r="BN54" s="3"/>
    </row>
    <row r="55" spans="1:66" ht="12.75" x14ac:dyDescent="0.2">
      <c r="A55" s="64" t="s">
        <v>2</v>
      </c>
      <c r="B55" s="6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3"/>
      <c r="AG55" s="3"/>
      <c r="AH55" s="6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63"/>
      <c r="BC55" s="63"/>
      <c r="BD55" s="63"/>
      <c r="BE55" s="63"/>
      <c r="BF55" s="63"/>
      <c r="BG55" s="3"/>
      <c r="BH55" s="3"/>
      <c r="BI55" s="3"/>
      <c r="BJ55" s="3"/>
      <c r="BK55" s="3"/>
      <c r="BL55" s="3"/>
      <c r="BM55" s="3"/>
      <c r="BN55" s="3"/>
    </row>
    <row r="56" spans="1:66" ht="12.75" x14ac:dyDescent="0.2">
      <c r="A56" s="64" t="s">
        <v>2</v>
      </c>
      <c r="B56" s="6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3"/>
      <c r="AG56" s="3"/>
      <c r="AH56" s="6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63"/>
      <c r="BC56" s="63"/>
      <c r="BD56" s="63"/>
      <c r="BE56" s="63"/>
      <c r="BF56" s="63"/>
      <c r="BG56" s="3"/>
      <c r="BH56" s="3"/>
      <c r="BI56" s="3"/>
      <c r="BJ56" s="3"/>
      <c r="BK56" s="3"/>
      <c r="BL56" s="3"/>
      <c r="BM56" s="3"/>
      <c r="BN56" s="3"/>
    </row>
    <row r="57" spans="1:66" ht="12.75" x14ac:dyDescent="0.2">
      <c r="A57" s="64" t="s">
        <v>2</v>
      </c>
      <c r="B57" s="6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3"/>
      <c r="AG57" s="3"/>
      <c r="AH57" s="6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63"/>
      <c r="BC57" s="63"/>
      <c r="BD57" s="63"/>
      <c r="BE57" s="63"/>
      <c r="BF57" s="63"/>
      <c r="BG57" s="3"/>
      <c r="BH57" s="3"/>
      <c r="BI57" s="3"/>
      <c r="BJ57" s="3"/>
      <c r="BK57" s="3"/>
      <c r="BL57" s="3"/>
      <c r="BM57" s="3"/>
      <c r="BN57" s="3"/>
    </row>
    <row r="58" spans="1:66" ht="12.75" x14ac:dyDescent="0.2">
      <c r="A58" s="64" t="s">
        <v>2</v>
      </c>
      <c r="B58" s="6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3"/>
      <c r="AG58" s="3"/>
      <c r="AH58" s="6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63"/>
      <c r="BC58" s="63"/>
      <c r="BD58" s="63"/>
      <c r="BE58" s="63"/>
      <c r="BF58" s="63"/>
      <c r="BG58" s="3"/>
      <c r="BH58" s="3"/>
      <c r="BI58" s="3"/>
      <c r="BJ58" s="3"/>
      <c r="BK58" s="3"/>
      <c r="BL58" s="3"/>
      <c r="BM58" s="3"/>
      <c r="BN58" s="3"/>
    </row>
    <row r="59" spans="1:66" ht="12.75" x14ac:dyDescent="0.2">
      <c r="A59" s="64" t="s">
        <v>2</v>
      </c>
      <c r="B59" s="6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3"/>
      <c r="AG59" s="3"/>
      <c r="AH59" s="6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63"/>
      <c r="BC59" s="63"/>
      <c r="BD59" s="63"/>
      <c r="BE59" s="63"/>
      <c r="BF59" s="63"/>
      <c r="BG59" s="3"/>
      <c r="BH59" s="3"/>
      <c r="BI59" s="3"/>
      <c r="BJ59" s="3"/>
      <c r="BK59" s="3"/>
      <c r="BL59" s="3"/>
      <c r="BM59" s="3"/>
      <c r="BN59" s="3"/>
    </row>
    <row r="60" spans="1:66" ht="12.75" x14ac:dyDescent="0.2">
      <c r="A60" s="64" t="s">
        <v>2</v>
      </c>
      <c r="B60" s="6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3"/>
      <c r="AG60" s="3"/>
      <c r="AH60" s="6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63"/>
      <c r="BC60" s="63"/>
      <c r="BD60" s="63"/>
      <c r="BE60" s="63"/>
      <c r="BF60" s="63"/>
      <c r="BG60" s="3"/>
      <c r="BH60" s="3"/>
      <c r="BI60" s="3"/>
      <c r="BJ60" s="3"/>
      <c r="BK60" s="3"/>
      <c r="BL60" s="3"/>
      <c r="BM60" s="3"/>
      <c r="BN60" s="3"/>
    </row>
    <row r="61" spans="1:66" ht="12.75" x14ac:dyDescent="0.2">
      <c r="A61" s="64" t="s">
        <v>2</v>
      </c>
      <c r="B61" s="6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3"/>
      <c r="AG61" s="3"/>
      <c r="AH61" s="6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63"/>
      <c r="BC61" s="63"/>
      <c r="BD61" s="63"/>
      <c r="BE61" s="63"/>
      <c r="BF61" s="63"/>
      <c r="BG61" s="3"/>
      <c r="BH61" s="3"/>
      <c r="BI61" s="3"/>
      <c r="BJ61" s="3"/>
      <c r="BK61" s="3"/>
      <c r="BL61" s="3"/>
      <c r="BM61" s="3"/>
      <c r="BN61" s="3"/>
    </row>
    <row r="62" spans="1:66" ht="12.75" x14ac:dyDescent="0.2">
      <c r="A62" s="64" t="s">
        <v>2</v>
      </c>
      <c r="B62" s="6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3"/>
      <c r="AG62" s="3"/>
      <c r="AH62" s="6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63"/>
      <c r="BC62" s="63"/>
      <c r="BD62" s="63"/>
      <c r="BE62" s="63"/>
      <c r="BF62" s="63"/>
      <c r="BG62" s="3"/>
      <c r="BH62" s="3"/>
      <c r="BI62" s="3"/>
      <c r="BJ62" s="3"/>
      <c r="BK62" s="3"/>
      <c r="BL62" s="3"/>
      <c r="BM62" s="3"/>
      <c r="BN62" s="3"/>
    </row>
    <row r="63" spans="1:66" ht="12.75" x14ac:dyDescent="0.2">
      <c r="A63" s="64" t="s">
        <v>2</v>
      </c>
      <c r="B63" s="6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3"/>
      <c r="AG63" s="3"/>
      <c r="AH63" s="6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63"/>
      <c r="BC63" s="63"/>
      <c r="BD63" s="63"/>
      <c r="BE63" s="63"/>
      <c r="BF63" s="63"/>
      <c r="BG63" s="3"/>
      <c r="BH63" s="3"/>
      <c r="BI63" s="3"/>
      <c r="BJ63" s="3"/>
      <c r="BK63" s="3"/>
      <c r="BL63" s="3"/>
      <c r="BM63" s="3"/>
      <c r="BN63" s="3"/>
    </row>
    <row r="64" spans="1:66" ht="12.75" x14ac:dyDescent="0.2">
      <c r="A64" s="64" t="s">
        <v>2</v>
      </c>
      <c r="B64" s="6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3"/>
      <c r="AG64" s="3"/>
      <c r="AH64" s="6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63"/>
      <c r="BC64" s="63"/>
      <c r="BD64" s="63"/>
      <c r="BE64" s="63"/>
      <c r="BF64" s="63"/>
      <c r="BG64" s="3"/>
      <c r="BH64" s="3"/>
      <c r="BI64" s="3"/>
      <c r="BJ64" s="3"/>
      <c r="BK64" s="3"/>
      <c r="BL64" s="3"/>
      <c r="BM64" s="3"/>
      <c r="BN64" s="3"/>
    </row>
    <row r="65" spans="1:66" ht="12.75" x14ac:dyDescent="0.2">
      <c r="A65" s="64" t="s">
        <v>2</v>
      </c>
      <c r="B65" s="6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3"/>
      <c r="AG65" s="3"/>
      <c r="AH65" s="6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63"/>
      <c r="BC65" s="63"/>
      <c r="BD65" s="63"/>
      <c r="BE65" s="63"/>
      <c r="BF65" s="63"/>
      <c r="BG65" s="3"/>
      <c r="BH65" s="3"/>
      <c r="BI65" s="3"/>
      <c r="BJ65" s="3"/>
      <c r="BK65" s="3"/>
      <c r="BL65" s="3"/>
      <c r="BM65" s="3"/>
      <c r="BN65" s="3"/>
    </row>
    <row r="66" spans="1:66" ht="12.75" x14ac:dyDescent="0.2">
      <c r="A66" s="64" t="s">
        <v>2</v>
      </c>
      <c r="B66" s="6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3"/>
      <c r="AG66" s="3"/>
      <c r="AH66" s="6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63"/>
      <c r="BC66" s="63"/>
      <c r="BD66" s="63"/>
      <c r="BE66" s="63"/>
      <c r="BF66" s="63"/>
      <c r="BG66" s="3"/>
      <c r="BH66" s="3"/>
      <c r="BI66" s="3"/>
      <c r="BJ66" s="3"/>
      <c r="BK66" s="3"/>
      <c r="BL66" s="3"/>
      <c r="BM66" s="3"/>
      <c r="BN66" s="3"/>
    </row>
    <row r="67" spans="1:66" ht="12.75" x14ac:dyDescent="0.2">
      <c r="A67" s="64" t="s">
        <v>2</v>
      </c>
      <c r="B67" s="6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3"/>
      <c r="AG67" s="3"/>
      <c r="AH67" s="8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82"/>
      <c r="BC67" s="82"/>
      <c r="BD67" s="82"/>
      <c r="BE67" s="82"/>
      <c r="BF67" s="82"/>
      <c r="BG67" s="4"/>
      <c r="BH67" s="4"/>
      <c r="BI67" s="4"/>
      <c r="BJ67" s="4"/>
      <c r="BK67" s="3"/>
      <c r="BL67" s="3"/>
      <c r="BM67" s="3"/>
      <c r="BN67" s="3"/>
    </row>
    <row r="68" spans="1:66" ht="12.75" x14ac:dyDescent="0.2">
      <c r="A68" s="64" t="s">
        <v>2</v>
      </c>
      <c r="B68" s="65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3"/>
      <c r="AG68" s="3"/>
      <c r="AH68" s="8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82"/>
      <c r="BC68" s="82"/>
      <c r="BD68" s="82"/>
      <c r="BE68" s="82"/>
      <c r="BF68" s="82"/>
      <c r="BG68" s="4"/>
      <c r="BH68" s="4"/>
      <c r="BI68" s="4"/>
      <c r="BJ68" s="4"/>
      <c r="BK68" s="3"/>
      <c r="BL68" s="3"/>
      <c r="BM68" s="3"/>
      <c r="BN68" s="3"/>
    </row>
    <row r="69" spans="1:66" ht="12.75" x14ac:dyDescent="0.2">
      <c r="A69" s="64" t="s">
        <v>2</v>
      </c>
      <c r="B69" s="6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3"/>
      <c r="AG69" s="3"/>
      <c r="AH69" s="8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82"/>
      <c r="BC69" s="82"/>
      <c r="BD69" s="82"/>
      <c r="BE69" s="82"/>
      <c r="BF69" s="82"/>
      <c r="BG69" s="4"/>
      <c r="BH69" s="4"/>
      <c r="BI69" s="4"/>
      <c r="BJ69" s="4"/>
      <c r="BK69" s="3"/>
      <c r="BL69" s="3"/>
      <c r="BM69" s="3"/>
      <c r="BN69" s="3"/>
    </row>
    <row r="70" spans="1:66" ht="12.75" x14ac:dyDescent="0.2">
      <c r="A70" s="64" t="s">
        <v>2</v>
      </c>
      <c r="B70" s="65"/>
      <c r="C70" s="4"/>
      <c r="D70" s="4"/>
      <c r="E70" s="4"/>
      <c r="F70" s="4"/>
      <c r="G70" s="4"/>
      <c r="H70" s="3"/>
      <c r="I70" s="3"/>
      <c r="J70" s="3"/>
      <c r="K70" s="3"/>
      <c r="L70" s="3"/>
      <c r="M70" s="3"/>
      <c r="N70" s="3"/>
      <c r="O70" s="4"/>
      <c r="P70" s="4"/>
      <c r="Q70" s="4"/>
      <c r="R70" s="4"/>
      <c r="S70" s="4"/>
      <c r="T70" s="4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4"/>
      <c r="AG70" s="3"/>
      <c r="AH70" s="82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82"/>
      <c r="BC70" s="82"/>
      <c r="BD70" s="82"/>
      <c r="BE70" s="82"/>
      <c r="BF70" s="82"/>
      <c r="BG70" s="4"/>
      <c r="BH70" s="4"/>
      <c r="BI70" s="4"/>
      <c r="BJ70" s="4"/>
    </row>
    <row r="71" spans="1:66" ht="12.75" x14ac:dyDescent="0.2">
      <c r="A71" s="64" t="s">
        <v>2</v>
      </c>
      <c r="B71" s="65"/>
      <c r="C71" s="4"/>
      <c r="D71" s="4"/>
      <c r="E71" s="4"/>
      <c r="F71" s="4"/>
      <c r="G71" s="4"/>
      <c r="H71" s="3"/>
      <c r="I71" s="3"/>
      <c r="J71" s="3"/>
      <c r="K71" s="3"/>
      <c r="L71" s="3"/>
      <c r="M71" s="3"/>
      <c r="N71" s="3"/>
      <c r="O71" s="4"/>
      <c r="P71" s="4"/>
      <c r="Q71" s="4"/>
      <c r="R71" s="4"/>
      <c r="S71" s="4"/>
      <c r="T71" s="4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4"/>
      <c r="AG71" s="3"/>
      <c r="AH71" s="82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82"/>
      <c r="BC71" s="82"/>
      <c r="BD71" s="82"/>
      <c r="BE71" s="82"/>
      <c r="BF71" s="82"/>
      <c r="BG71" s="4"/>
      <c r="BH71" s="4"/>
      <c r="BI71" s="4"/>
      <c r="BJ71" s="4"/>
    </row>
    <row r="72" spans="1:66" ht="12.75" x14ac:dyDescent="0.2">
      <c r="A72" s="64" t="s">
        <v>2</v>
      </c>
      <c r="B72" s="65"/>
      <c r="C72" s="4"/>
      <c r="D72" s="4"/>
      <c r="E72" s="4"/>
      <c r="F72" s="4"/>
      <c r="G72" s="4"/>
      <c r="H72" s="3"/>
      <c r="I72" s="3"/>
      <c r="J72" s="3"/>
      <c r="K72" s="3"/>
      <c r="L72" s="3"/>
      <c r="M72" s="3"/>
      <c r="N72" s="3"/>
      <c r="O72" s="4"/>
      <c r="P72" s="4"/>
      <c r="Q72" s="4"/>
      <c r="R72" s="4"/>
      <c r="S72" s="4"/>
      <c r="T72" s="4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4"/>
      <c r="AG72" s="3"/>
      <c r="AH72" s="82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82"/>
      <c r="BC72" s="82"/>
      <c r="BD72" s="82"/>
      <c r="BE72" s="82"/>
      <c r="BF72" s="82"/>
      <c r="BG72" s="4"/>
      <c r="BH72" s="4"/>
      <c r="BI72" s="4"/>
      <c r="BJ72" s="4"/>
    </row>
    <row r="73" spans="1:66" ht="12.75" x14ac:dyDescent="0.2">
      <c r="A73" s="64" t="s">
        <v>2</v>
      </c>
      <c r="B73" s="65"/>
      <c r="C73" s="4"/>
      <c r="D73" s="4"/>
      <c r="E73" s="4"/>
      <c r="F73" s="4"/>
      <c r="G73" s="4"/>
      <c r="H73" s="3"/>
      <c r="I73" s="3"/>
      <c r="J73" s="3"/>
      <c r="K73" s="3"/>
      <c r="L73" s="3"/>
      <c r="M73" s="3"/>
      <c r="N73" s="3"/>
      <c r="O73" s="4"/>
      <c r="P73" s="4"/>
      <c r="Q73" s="4"/>
      <c r="R73" s="4"/>
      <c r="S73" s="4"/>
      <c r="T73" s="4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4"/>
      <c r="AG73" s="3"/>
      <c r="AH73" s="82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82"/>
      <c r="BC73" s="82"/>
      <c r="BD73" s="82"/>
      <c r="BE73" s="82"/>
      <c r="BF73" s="82"/>
      <c r="BG73" s="4"/>
      <c r="BH73" s="4"/>
      <c r="BI73" s="4"/>
      <c r="BJ73" s="4"/>
    </row>
    <row r="74" spans="1:66" ht="12.75" x14ac:dyDescent="0.2">
      <c r="A74" s="64" t="s">
        <v>2</v>
      </c>
      <c r="B74" s="65"/>
      <c r="C74" s="4"/>
      <c r="D74" s="4"/>
      <c r="E74" s="4"/>
      <c r="F74" s="4"/>
      <c r="G74" s="4"/>
      <c r="H74" s="3"/>
      <c r="I74" s="3"/>
      <c r="J74" s="3"/>
      <c r="K74" s="3"/>
      <c r="L74" s="3"/>
      <c r="M74" s="3"/>
      <c r="N74" s="3"/>
      <c r="O74" s="4"/>
      <c r="P74" s="4"/>
      <c r="Q74" s="4"/>
      <c r="R74" s="4"/>
      <c r="S74" s="4"/>
      <c r="T74" s="4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4"/>
      <c r="AG74" s="3"/>
      <c r="AH74" s="82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82"/>
      <c r="BC74" s="82"/>
      <c r="BD74" s="82"/>
      <c r="BE74" s="82"/>
      <c r="BF74" s="82"/>
      <c r="BG74" s="4"/>
      <c r="BH74" s="4"/>
      <c r="BI74" s="4"/>
      <c r="BJ74" s="4"/>
    </row>
    <row r="75" spans="1:66" ht="12.75" x14ac:dyDescent="0.2">
      <c r="A75" s="64" t="s">
        <v>2</v>
      </c>
      <c r="B75" s="65"/>
      <c r="C75" s="4"/>
      <c r="D75" s="4"/>
      <c r="E75" s="4"/>
      <c r="F75" s="4"/>
      <c r="G75" s="4"/>
      <c r="H75" s="3"/>
      <c r="I75" s="3"/>
      <c r="J75" s="3"/>
      <c r="K75" s="3"/>
      <c r="L75" s="3"/>
      <c r="M75" s="3"/>
      <c r="N75" s="3"/>
      <c r="O75" s="4"/>
      <c r="P75" s="4"/>
      <c r="Q75" s="4"/>
      <c r="R75" s="4"/>
      <c r="S75" s="4"/>
      <c r="T75" s="4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4"/>
      <c r="AG75" s="3"/>
      <c r="AH75" s="82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82"/>
      <c r="BC75" s="82"/>
      <c r="BD75" s="82"/>
      <c r="BE75" s="82"/>
      <c r="BF75" s="82"/>
      <c r="BG75" s="4"/>
      <c r="BH75" s="4"/>
      <c r="BI75" s="4"/>
      <c r="BJ75" s="4"/>
    </row>
    <row r="76" spans="1:66" ht="12.75" x14ac:dyDescent="0.2">
      <c r="A76" s="64" t="s">
        <v>2</v>
      </c>
      <c r="B76" s="65"/>
      <c r="C76" s="4"/>
      <c r="D76" s="4"/>
      <c r="E76" s="4"/>
      <c r="F76" s="4"/>
      <c r="G76" s="4"/>
      <c r="H76" s="3"/>
      <c r="I76" s="3"/>
      <c r="J76" s="3"/>
      <c r="K76" s="3"/>
      <c r="L76" s="3"/>
      <c r="M76" s="3"/>
      <c r="N76" s="3"/>
      <c r="O76" s="4"/>
      <c r="P76" s="4"/>
      <c r="Q76" s="4"/>
      <c r="R76" s="4"/>
      <c r="S76" s="4"/>
      <c r="T76" s="4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4"/>
      <c r="AG76" s="3"/>
      <c r="AH76" s="82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82"/>
      <c r="BC76" s="82"/>
      <c r="BD76" s="82"/>
      <c r="BE76" s="82"/>
      <c r="BF76" s="82"/>
      <c r="BG76" s="4"/>
      <c r="BH76" s="4"/>
      <c r="BI76" s="4"/>
      <c r="BJ76" s="4"/>
    </row>
    <row r="77" spans="1:66" ht="12.75" x14ac:dyDescent="0.2">
      <c r="A77" s="64" t="s">
        <v>2</v>
      </c>
      <c r="B77" s="65"/>
      <c r="C77" s="4"/>
      <c r="D77" s="4"/>
      <c r="E77" s="4"/>
      <c r="F77" s="4"/>
      <c r="G77" s="4"/>
      <c r="H77" s="3"/>
      <c r="I77" s="3"/>
      <c r="J77" s="3"/>
      <c r="K77" s="3"/>
      <c r="L77" s="3"/>
      <c r="M77" s="3"/>
      <c r="N77" s="3"/>
      <c r="O77" s="4"/>
      <c r="P77" s="4"/>
      <c r="Q77" s="4"/>
      <c r="R77" s="4"/>
      <c r="S77" s="4"/>
      <c r="T77" s="4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4"/>
      <c r="AG77" s="3"/>
      <c r="AH77" s="82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82"/>
      <c r="BC77" s="82"/>
      <c r="BD77" s="82"/>
      <c r="BE77" s="82"/>
      <c r="BF77" s="82"/>
      <c r="BG77" s="4"/>
      <c r="BH77" s="4"/>
      <c r="BI77" s="4"/>
      <c r="BJ77" s="4"/>
    </row>
    <row r="78" spans="1:66" ht="12.75" x14ac:dyDescent="0.2">
      <c r="A78" s="64" t="s">
        <v>2</v>
      </c>
      <c r="B78" s="65"/>
      <c r="C78" s="4"/>
      <c r="D78" s="4"/>
      <c r="E78" s="4"/>
      <c r="F78" s="4"/>
      <c r="G78" s="4"/>
      <c r="H78" s="3"/>
      <c r="I78" s="3"/>
      <c r="J78" s="3"/>
      <c r="K78" s="3"/>
      <c r="L78" s="3"/>
      <c r="M78" s="3"/>
      <c r="N78" s="3"/>
      <c r="O78" s="4"/>
      <c r="P78" s="4"/>
      <c r="Q78" s="4"/>
      <c r="R78" s="4"/>
      <c r="S78" s="4"/>
      <c r="T78" s="4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4"/>
      <c r="AG78" s="3"/>
      <c r="AH78" s="82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82"/>
      <c r="BC78" s="82"/>
      <c r="BD78" s="82"/>
      <c r="BE78" s="82"/>
      <c r="BF78" s="82"/>
      <c r="BG78" s="4"/>
      <c r="BH78" s="4"/>
      <c r="BI78" s="4"/>
      <c r="BJ78" s="4"/>
    </row>
    <row r="79" spans="1:66" ht="12.75" x14ac:dyDescent="0.2">
      <c r="A79" s="64" t="s">
        <v>2</v>
      </c>
      <c r="B79" s="65"/>
      <c r="C79" s="4"/>
      <c r="D79" s="4"/>
      <c r="E79" s="4"/>
      <c r="F79" s="4"/>
      <c r="G79" s="4"/>
      <c r="H79" s="3"/>
      <c r="I79" s="3"/>
      <c r="J79" s="3"/>
      <c r="K79" s="3"/>
      <c r="L79" s="3"/>
      <c r="M79" s="3"/>
      <c r="N79" s="3"/>
      <c r="O79" s="4"/>
      <c r="P79" s="4"/>
      <c r="Q79" s="4"/>
      <c r="R79" s="4"/>
      <c r="S79" s="4"/>
      <c r="T79" s="4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4"/>
      <c r="AG79" s="3"/>
      <c r="AH79" s="82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82"/>
      <c r="BC79" s="82"/>
      <c r="BD79" s="82"/>
      <c r="BE79" s="82"/>
      <c r="BF79" s="82"/>
      <c r="BG79" s="4"/>
      <c r="BH79" s="4"/>
      <c r="BI79" s="4"/>
      <c r="BJ79" s="4"/>
    </row>
    <row r="80" spans="1:66" ht="12.75" x14ac:dyDescent="0.2">
      <c r="A80" s="64" t="s">
        <v>2</v>
      </c>
      <c r="B80" s="65"/>
      <c r="C80" s="4"/>
      <c r="D80" s="4"/>
      <c r="E80" s="4"/>
      <c r="F80" s="4"/>
      <c r="G80" s="4"/>
      <c r="H80" s="3"/>
      <c r="I80" s="3"/>
      <c r="J80" s="3"/>
      <c r="K80" s="3"/>
      <c r="L80" s="3"/>
      <c r="M80" s="3"/>
      <c r="N80" s="3"/>
      <c r="O80" s="4"/>
      <c r="P80" s="4"/>
      <c r="Q80" s="4"/>
      <c r="R80" s="4"/>
      <c r="S80" s="4"/>
      <c r="T80" s="4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4"/>
      <c r="AG80" s="3"/>
      <c r="AH80" s="82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82"/>
      <c r="BC80" s="82"/>
      <c r="BD80" s="82"/>
      <c r="BE80" s="82"/>
      <c r="BF80" s="82"/>
      <c r="BG80" s="4"/>
      <c r="BH80" s="4"/>
      <c r="BI80" s="4"/>
      <c r="BJ80" s="4"/>
    </row>
    <row r="81" spans="1:62" ht="12.75" x14ac:dyDescent="0.2">
      <c r="A81" s="64" t="s">
        <v>2</v>
      </c>
      <c r="B81" s="65"/>
      <c r="C81" s="4"/>
      <c r="D81" s="4"/>
      <c r="E81" s="4"/>
      <c r="F81" s="4"/>
      <c r="G81" s="4"/>
      <c r="H81" s="3"/>
      <c r="I81" s="3"/>
      <c r="J81" s="3"/>
      <c r="K81" s="3"/>
      <c r="L81" s="3"/>
      <c r="M81" s="3"/>
      <c r="N81" s="3"/>
      <c r="O81" s="4"/>
      <c r="P81" s="4"/>
      <c r="Q81" s="4"/>
      <c r="R81" s="4"/>
      <c r="S81" s="4"/>
      <c r="T81" s="4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4"/>
      <c r="AG81" s="3"/>
      <c r="AH81" s="82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82"/>
      <c r="BC81" s="82"/>
      <c r="BD81" s="82"/>
      <c r="BE81" s="82"/>
      <c r="BF81" s="82"/>
      <c r="BG81" s="4"/>
      <c r="BH81" s="4"/>
      <c r="BI81" s="4"/>
      <c r="BJ81" s="4"/>
    </row>
    <row r="82" spans="1:62" ht="12.75" x14ac:dyDescent="0.2">
      <c r="A82" s="64" t="s">
        <v>2</v>
      </c>
      <c r="B82" s="65"/>
      <c r="C82" s="4"/>
      <c r="D82" s="4"/>
      <c r="E82" s="4"/>
      <c r="F82" s="4"/>
      <c r="G82" s="4"/>
      <c r="H82" s="3"/>
      <c r="I82" s="3"/>
      <c r="J82" s="3"/>
      <c r="K82" s="3"/>
      <c r="L82" s="3"/>
      <c r="M82" s="3"/>
      <c r="N82" s="3"/>
      <c r="O82" s="4"/>
      <c r="P82" s="4"/>
      <c r="Q82" s="4"/>
      <c r="R82" s="4"/>
      <c r="S82" s="4"/>
      <c r="T82" s="4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4"/>
      <c r="AG82" s="3"/>
      <c r="AH82" s="82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82"/>
      <c r="BC82" s="82"/>
      <c r="BD82" s="82"/>
      <c r="BE82" s="82"/>
      <c r="BF82" s="82"/>
      <c r="BG82" s="4"/>
      <c r="BH82" s="4"/>
      <c r="BI82" s="4"/>
      <c r="BJ82" s="4"/>
    </row>
    <row r="83" spans="1:62" ht="12.75" x14ac:dyDescent="0.2">
      <c r="A83" s="64" t="s">
        <v>2</v>
      </c>
      <c r="B83" s="65"/>
      <c r="C83" s="4"/>
      <c r="D83" s="4"/>
      <c r="E83" s="4"/>
      <c r="F83" s="4"/>
      <c r="G83" s="4"/>
      <c r="H83" s="3"/>
      <c r="I83" s="3"/>
      <c r="J83" s="3"/>
      <c r="K83" s="3"/>
      <c r="L83" s="3"/>
      <c r="M83" s="3"/>
      <c r="N83" s="3"/>
      <c r="O83" s="4"/>
      <c r="P83" s="4"/>
      <c r="Q83" s="4"/>
      <c r="R83" s="4"/>
      <c r="S83" s="4"/>
      <c r="T83" s="4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4"/>
      <c r="AG83" s="3"/>
      <c r="AH83" s="82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82"/>
      <c r="BC83" s="82"/>
      <c r="BD83" s="82"/>
      <c r="BE83" s="82"/>
      <c r="BF83" s="82"/>
      <c r="BG83" s="4"/>
      <c r="BH83" s="4"/>
      <c r="BI83" s="4"/>
      <c r="BJ83" s="4"/>
    </row>
    <row r="84" spans="1:62" ht="12.75" x14ac:dyDescent="0.2">
      <c r="A84" s="64" t="s">
        <v>2</v>
      </c>
      <c r="B84" s="65"/>
      <c r="C84" s="4"/>
      <c r="D84" s="4"/>
      <c r="E84" s="4"/>
      <c r="F84" s="4"/>
      <c r="G84" s="4"/>
      <c r="H84" s="3"/>
      <c r="I84" s="3"/>
      <c r="J84" s="3"/>
      <c r="K84" s="3"/>
      <c r="L84" s="3"/>
      <c r="M84" s="3"/>
      <c r="N84" s="3"/>
      <c r="O84" s="4"/>
      <c r="P84" s="4"/>
      <c r="Q84" s="4"/>
      <c r="R84" s="4"/>
      <c r="S84" s="4"/>
      <c r="T84" s="4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4"/>
      <c r="AG84" s="3"/>
      <c r="AH84" s="82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82"/>
      <c r="BC84" s="82"/>
      <c r="BD84" s="82"/>
      <c r="BE84" s="82"/>
      <c r="BF84" s="82"/>
      <c r="BG84" s="4"/>
      <c r="BH84" s="4"/>
      <c r="BI84" s="4"/>
      <c r="BJ84" s="4"/>
    </row>
    <row r="85" spans="1:62" ht="12.75" x14ac:dyDescent="0.2">
      <c r="A85" s="64" t="s">
        <v>2</v>
      </c>
      <c r="B85" s="65"/>
      <c r="C85" s="4"/>
      <c r="D85" s="4"/>
      <c r="E85" s="4"/>
      <c r="F85" s="4"/>
      <c r="G85" s="4"/>
      <c r="H85" s="3"/>
      <c r="I85" s="3"/>
      <c r="J85" s="3"/>
      <c r="K85" s="3"/>
      <c r="L85" s="3"/>
      <c r="M85" s="3"/>
      <c r="N85" s="3"/>
      <c r="O85" s="4"/>
      <c r="P85" s="4"/>
      <c r="Q85" s="4"/>
      <c r="R85" s="4"/>
      <c r="S85" s="4"/>
      <c r="T85" s="4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4"/>
      <c r="AG85" s="3"/>
      <c r="AH85" s="82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82"/>
      <c r="BC85" s="82"/>
      <c r="BD85" s="82"/>
      <c r="BE85" s="82"/>
      <c r="BF85" s="82"/>
      <c r="BG85" s="4"/>
      <c r="BH85" s="4"/>
      <c r="BI85" s="4"/>
      <c r="BJ85" s="4"/>
    </row>
    <row r="86" spans="1:62" ht="12.75" x14ac:dyDescent="0.2">
      <c r="A86" s="64" t="s">
        <v>2</v>
      </c>
      <c r="B86" s="65"/>
      <c r="C86" s="4"/>
      <c r="D86" s="4"/>
      <c r="E86" s="4"/>
      <c r="F86" s="4"/>
      <c r="G86" s="4"/>
      <c r="H86" s="3"/>
      <c r="I86" s="3"/>
      <c r="J86" s="3"/>
      <c r="K86" s="3"/>
      <c r="L86" s="3"/>
      <c r="M86" s="3"/>
      <c r="N86" s="3"/>
      <c r="O86" s="4"/>
      <c r="P86" s="4"/>
      <c r="Q86" s="4"/>
      <c r="R86" s="4"/>
      <c r="S86" s="4"/>
      <c r="T86" s="4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4"/>
      <c r="AG86" s="3"/>
      <c r="AH86" s="82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82"/>
      <c r="BC86" s="82"/>
      <c r="BD86" s="82"/>
      <c r="BE86" s="82"/>
      <c r="BF86" s="82"/>
      <c r="BG86" s="4"/>
      <c r="BH86" s="4"/>
      <c r="BI86" s="4"/>
      <c r="BJ86" s="4"/>
    </row>
    <row r="87" spans="1:62" ht="12.75" x14ac:dyDescent="0.2">
      <c r="A87" s="64" t="s">
        <v>2</v>
      </c>
      <c r="B87" s="65"/>
      <c r="C87" s="4"/>
      <c r="D87" s="4"/>
      <c r="E87" s="4"/>
      <c r="F87" s="4"/>
      <c r="G87" s="4"/>
      <c r="H87" s="3"/>
      <c r="I87" s="3"/>
      <c r="J87" s="3"/>
      <c r="K87" s="3"/>
      <c r="L87" s="3"/>
      <c r="M87" s="3"/>
      <c r="N87" s="3"/>
      <c r="O87" s="4"/>
      <c r="P87" s="4"/>
      <c r="Q87" s="4"/>
      <c r="R87" s="4"/>
      <c r="S87" s="4"/>
      <c r="T87" s="4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4"/>
      <c r="AG87" s="3"/>
      <c r="AH87" s="82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82"/>
      <c r="BC87" s="82"/>
      <c r="BD87" s="82"/>
      <c r="BE87" s="82"/>
      <c r="BF87" s="82"/>
      <c r="BG87" s="4"/>
      <c r="BH87" s="4"/>
      <c r="BI87" s="4"/>
      <c r="BJ87" s="4"/>
    </row>
    <row r="88" spans="1:62" ht="12.75" x14ac:dyDescent="0.2">
      <c r="A88" s="64" t="s">
        <v>2</v>
      </c>
      <c r="B88" s="65"/>
      <c r="C88" s="4"/>
      <c r="D88" s="4"/>
      <c r="E88" s="4"/>
      <c r="F88" s="4"/>
      <c r="G88" s="4"/>
      <c r="H88" s="3"/>
      <c r="I88" s="3"/>
      <c r="J88" s="3"/>
      <c r="K88" s="3"/>
      <c r="L88" s="3"/>
      <c r="M88" s="3"/>
      <c r="N88" s="3"/>
      <c r="O88" s="4"/>
      <c r="P88" s="4"/>
      <c r="Q88" s="4"/>
      <c r="R88" s="4"/>
      <c r="S88" s="4"/>
      <c r="T88" s="4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4"/>
      <c r="AG88" s="3"/>
      <c r="AH88" s="82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82"/>
      <c r="BC88" s="82"/>
      <c r="BD88" s="82"/>
      <c r="BE88" s="82"/>
      <c r="BF88" s="82"/>
      <c r="BG88" s="4"/>
      <c r="BH88" s="4"/>
      <c r="BI88" s="4"/>
      <c r="BJ88" s="4"/>
    </row>
    <row r="89" spans="1:62" ht="12.75" x14ac:dyDescent="0.2">
      <c r="A89" s="64" t="s">
        <v>2</v>
      </c>
      <c r="B89" s="65"/>
      <c r="C89" s="4"/>
      <c r="D89" s="4"/>
      <c r="E89" s="4"/>
      <c r="F89" s="4"/>
      <c r="G89" s="4"/>
      <c r="H89" s="3"/>
      <c r="I89" s="3"/>
      <c r="J89" s="3"/>
      <c r="K89" s="3"/>
      <c r="L89" s="3"/>
      <c r="M89" s="3"/>
      <c r="N89" s="3"/>
      <c r="O89" s="4"/>
      <c r="P89" s="4"/>
      <c r="Q89" s="4"/>
      <c r="R89" s="4"/>
      <c r="S89" s="4"/>
      <c r="T89" s="4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4"/>
      <c r="AG89" s="3"/>
      <c r="AH89" s="82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82"/>
      <c r="BC89" s="82"/>
      <c r="BD89" s="82"/>
      <c r="BE89" s="82"/>
      <c r="BF89" s="82"/>
      <c r="BG89" s="4"/>
      <c r="BH89" s="4"/>
      <c r="BI89" s="4"/>
      <c r="BJ89" s="4"/>
    </row>
    <row r="90" spans="1:62" ht="12.75" x14ac:dyDescent="0.2">
      <c r="A90" s="64" t="s">
        <v>2</v>
      </c>
      <c r="B90" s="65"/>
      <c r="C90" s="4"/>
      <c r="D90" s="4"/>
      <c r="E90" s="4"/>
      <c r="F90" s="4"/>
      <c r="G90" s="4"/>
      <c r="H90" s="3"/>
      <c r="I90" s="3"/>
      <c r="J90" s="3"/>
      <c r="K90" s="3"/>
      <c r="L90" s="3"/>
      <c r="M90" s="3"/>
      <c r="N90" s="3"/>
      <c r="O90" s="4"/>
      <c r="P90" s="4"/>
      <c r="Q90" s="4"/>
      <c r="R90" s="4"/>
      <c r="S90" s="4"/>
      <c r="T90" s="4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4"/>
      <c r="AG90" s="3"/>
      <c r="AH90" s="82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82"/>
      <c r="BC90" s="82"/>
      <c r="BD90" s="82"/>
      <c r="BE90" s="82"/>
      <c r="BF90" s="82"/>
      <c r="BG90" s="4"/>
      <c r="BH90" s="4"/>
      <c r="BI90" s="4"/>
      <c r="BJ90" s="4"/>
    </row>
    <row r="91" spans="1:62" ht="12.75" x14ac:dyDescent="0.2">
      <c r="A91" s="64" t="s">
        <v>2</v>
      </c>
      <c r="B91" s="65"/>
      <c r="C91" s="4"/>
      <c r="D91" s="4"/>
      <c r="E91" s="4"/>
      <c r="F91" s="4"/>
      <c r="G91" s="4"/>
      <c r="H91" s="3"/>
      <c r="I91" s="3"/>
      <c r="J91" s="3"/>
      <c r="K91" s="3"/>
      <c r="L91" s="3"/>
      <c r="M91" s="3"/>
      <c r="N91" s="3"/>
      <c r="O91" s="4"/>
      <c r="P91" s="4"/>
      <c r="Q91" s="4"/>
      <c r="R91" s="4"/>
      <c r="S91" s="4"/>
      <c r="T91" s="4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4"/>
      <c r="AG91" s="3"/>
      <c r="AH91" s="82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82"/>
      <c r="BC91" s="82"/>
      <c r="BD91" s="82"/>
      <c r="BE91" s="82"/>
      <c r="BF91" s="82"/>
      <c r="BG91" s="4"/>
      <c r="BH91" s="4"/>
      <c r="BI91" s="4"/>
      <c r="BJ91" s="4"/>
    </row>
    <row r="92" spans="1:62" ht="12.75" x14ac:dyDescent="0.2">
      <c r="A92" s="64" t="s">
        <v>2</v>
      </c>
      <c r="B92" s="65"/>
      <c r="C92" s="4"/>
      <c r="D92" s="4"/>
      <c r="E92" s="4"/>
      <c r="F92" s="4"/>
      <c r="G92" s="4"/>
      <c r="H92" s="3"/>
      <c r="I92" s="3"/>
      <c r="J92" s="3"/>
      <c r="K92" s="3"/>
      <c r="L92" s="3"/>
      <c r="M92" s="3"/>
      <c r="N92" s="3"/>
      <c r="O92" s="4"/>
      <c r="P92" s="4"/>
      <c r="Q92" s="4"/>
      <c r="R92" s="4"/>
      <c r="S92" s="4"/>
      <c r="T92" s="4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4"/>
      <c r="AG92" s="3"/>
      <c r="AH92" s="82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82"/>
      <c r="BC92" s="82"/>
      <c r="BD92" s="82"/>
      <c r="BE92" s="82"/>
      <c r="BF92" s="82"/>
      <c r="BG92" s="4"/>
      <c r="BH92" s="4"/>
      <c r="BI92" s="4"/>
      <c r="BJ92" s="4"/>
    </row>
    <row r="93" spans="1:62" ht="12.75" x14ac:dyDescent="0.2">
      <c r="A93" s="64" t="s">
        <v>2</v>
      </c>
      <c r="B93" s="65"/>
      <c r="C93" s="4"/>
      <c r="D93" s="4"/>
      <c r="E93" s="4"/>
      <c r="F93" s="4"/>
      <c r="G93" s="4"/>
      <c r="H93" s="3"/>
      <c r="I93" s="3"/>
      <c r="J93" s="3"/>
      <c r="K93" s="3"/>
      <c r="L93" s="3"/>
      <c r="M93" s="3"/>
      <c r="N93" s="3"/>
      <c r="O93" s="4"/>
      <c r="P93" s="4"/>
      <c r="Q93" s="4"/>
      <c r="R93" s="4"/>
      <c r="S93" s="4"/>
      <c r="T93" s="4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4"/>
      <c r="AG93" s="3"/>
      <c r="AH93" s="82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82"/>
      <c r="BC93" s="82"/>
      <c r="BD93" s="82"/>
      <c r="BE93" s="82"/>
      <c r="BF93" s="82"/>
      <c r="BG93" s="4"/>
      <c r="BH93" s="4"/>
      <c r="BI93" s="4"/>
      <c r="BJ93" s="4"/>
    </row>
    <row r="94" spans="1:62" ht="12.75" x14ac:dyDescent="0.2">
      <c r="A94" s="64" t="s">
        <v>2</v>
      </c>
      <c r="B94" s="65"/>
      <c r="C94" s="4"/>
      <c r="D94" s="4"/>
      <c r="E94" s="4"/>
      <c r="F94" s="4"/>
      <c r="G94" s="4"/>
      <c r="H94" s="3"/>
      <c r="I94" s="3"/>
      <c r="J94" s="3"/>
      <c r="K94" s="3"/>
      <c r="L94" s="3"/>
      <c r="M94" s="3"/>
      <c r="N94" s="3"/>
      <c r="O94" s="4"/>
      <c r="P94" s="4"/>
      <c r="Q94" s="4"/>
      <c r="R94" s="4"/>
      <c r="S94" s="4"/>
      <c r="T94" s="4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4"/>
      <c r="AG94" s="3"/>
      <c r="AH94" s="82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82"/>
      <c r="BC94" s="82"/>
      <c r="BD94" s="82"/>
      <c r="BE94" s="82"/>
      <c r="BF94" s="82"/>
      <c r="BG94" s="4"/>
      <c r="BH94" s="4"/>
      <c r="BI94" s="4"/>
      <c r="BJ94" s="4"/>
    </row>
    <row r="95" spans="1:62" ht="12.75" x14ac:dyDescent="0.2">
      <c r="A95" s="64" t="s">
        <v>2</v>
      </c>
      <c r="B95" s="65"/>
      <c r="C95" s="4"/>
      <c r="D95" s="4"/>
      <c r="E95" s="4"/>
      <c r="F95" s="4"/>
      <c r="G95" s="4"/>
      <c r="H95" s="3"/>
      <c r="I95" s="3"/>
      <c r="J95" s="3"/>
      <c r="K95" s="3"/>
      <c r="L95" s="3"/>
      <c r="M95" s="3"/>
      <c r="N95" s="3"/>
      <c r="O95" s="4"/>
      <c r="P95" s="4"/>
      <c r="Q95" s="4"/>
      <c r="R95" s="4"/>
      <c r="S95" s="4"/>
      <c r="T95" s="4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4"/>
      <c r="AG95" s="3"/>
      <c r="AH95" s="82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82"/>
      <c r="BC95" s="82"/>
      <c r="BD95" s="82"/>
      <c r="BE95" s="82"/>
      <c r="BF95" s="82"/>
      <c r="BG95" s="4"/>
      <c r="BH95" s="4"/>
      <c r="BI95" s="4"/>
      <c r="BJ95" s="4"/>
    </row>
    <row r="96" spans="1:62" ht="12.75" x14ac:dyDescent="0.2">
      <c r="A96" s="64" t="s">
        <v>2</v>
      </c>
      <c r="B96" s="65"/>
      <c r="C96" s="4"/>
      <c r="D96" s="4"/>
      <c r="E96" s="4"/>
      <c r="F96" s="4"/>
      <c r="G96" s="4"/>
      <c r="H96" s="3"/>
      <c r="I96" s="3"/>
      <c r="J96" s="3"/>
      <c r="K96" s="3"/>
      <c r="L96" s="3"/>
      <c r="M96" s="3"/>
      <c r="N96" s="3"/>
      <c r="O96" s="4"/>
      <c r="P96" s="4"/>
      <c r="Q96" s="4"/>
      <c r="R96" s="4"/>
      <c r="S96" s="4"/>
      <c r="T96" s="4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4"/>
      <c r="AG96" s="3"/>
      <c r="AH96" s="82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82"/>
      <c r="BC96" s="82"/>
      <c r="BD96" s="82"/>
      <c r="BE96" s="82"/>
      <c r="BF96" s="82"/>
      <c r="BG96" s="4"/>
      <c r="BH96" s="4"/>
      <c r="BI96" s="4"/>
      <c r="BJ96" s="4"/>
    </row>
    <row r="97" spans="1:62" ht="12.75" x14ac:dyDescent="0.2">
      <c r="A97" s="64" t="s">
        <v>2</v>
      </c>
      <c r="B97" s="65"/>
      <c r="C97" s="4"/>
      <c r="D97" s="4"/>
      <c r="E97" s="4"/>
      <c r="F97" s="4"/>
      <c r="G97" s="4"/>
      <c r="H97" s="3"/>
      <c r="I97" s="3"/>
      <c r="J97" s="3"/>
      <c r="K97" s="3"/>
      <c r="L97" s="3"/>
      <c r="M97" s="3"/>
      <c r="N97" s="3"/>
      <c r="O97" s="4"/>
      <c r="P97" s="4"/>
      <c r="Q97" s="4"/>
      <c r="R97" s="4"/>
      <c r="S97" s="4"/>
      <c r="T97" s="4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4"/>
      <c r="AG97" s="3"/>
      <c r="AH97" s="82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82"/>
      <c r="BC97" s="82"/>
      <c r="BD97" s="82"/>
      <c r="BE97" s="82"/>
      <c r="BF97" s="82"/>
      <c r="BG97" s="4"/>
      <c r="BH97" s="4"/>
      <c r="BI97" s="4"/>
      <c r="BJ97" s="4"/>
    </row>
    <row r="98" spans="1:62" ht="12.75" x14ac:dyDescent="0.2">
      <c r="A98" s="64" t="s">
        <v>2</v>
      </c>
      <c r="B98" s="65"/>
      <c r="C98" s="4"/>
      <c r="D98" s="4"/>
      <c r="E98" s="4"/>
      <c r="F98" s="4"/>
      <c r="G98" s="4"/>
      <c r="H98" s="3"/>
      <c r="I98" s="3"/>
      <c r="J98" s="3"/>
      <c r="K98" s="3"/>
      <c r="L98" s="3"/>
      <c r="M98" s="3"/>
      <c r="N98" s="3"/>
      <c r="O98" s="4"/>
      <c r="P98" s="4"/>
      <c r="Q98" s="4"/>
      <c r="R98" s="4"/>
      <c r="S98" s="4"/>
      <c r="T98" s="4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4"/>
      <c r="AG98" s="3"/>
      <c r="AH98" s="82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82"/>
      <c r="BC98" s="82"/>
      <c r="BD98" s="82"/>
      <c r="BE98" s="82"/>
      <c r="BF98" s="82"/>
      <c r="BG98" s="4"/>
      <c r="BH98" s="4"/>
      <c r="BI98" s="4"/>
      <c r="BJ98" s="4"/>
    </row>
    <row r="99" spans="1:62" ht="12.75" x14ac:dyDescent="0.2">
      <c r="A99" s="64" t="s">
        <v>2</v>
      </c>
      <c r="B99" s="65"/>
      <c r="C99" s="4"/>
      <c r="D99" s="4"/>
      <c r="E99" s="4"/>
      <c r="F99" s="4"/>
      <c r="G99" s="4"/>
      <c r="H99" s="3"/>
      <c r="I99" s="3"/>
      <c r="J99" s="3"/>
      <c r="K99" s="3"/>
      <c r="L99" s="3"/>
      <c r="M99" s="3"/>
      <c r="N99" s="3"/>
      <c r="O99" s="4"/>
      <c r="P99" s="4"/>
      <c r="Q99" s="4"/>
      <c r="R99" s="4"/>
      <c r="S99" s="4"/>
      <c r="T99" s="4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4"/>
      <c r="AG99" s="3"/>
      <c r="AH99" s="82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82"/>
      <c r="BC99" s="82"/>
      <c r="BD99" s="82"/>
      <c r="BE99" s="82"/>
      <c r="BF99" s="82"/>
      <c r="BG99" s="4"/>
      <c r="BH99" s="4"/>
      <c r="BI99" s="4"/>
      <c r="BJ99" s="4"/>
    </row>
    <row r="100" spans="1:62" ht="12.75" x14ac:dyDescent="0.2">
      <c r="A100" s="64" t="s">
        <v>2</v>
      </c>
      <c r="B100" s="65"/>
      <c r="C100" s="4"/>
      <c r="D100" s="4"/>
      <c r="E100" s="4"/>
      <c r="F100" s="4"/>
      <c r="G100" s="4"/>
      <c r="H100" s="3"/>
      <c r="I100" s="3"/>
      <c r="J100" s="3"/>
      <c r="K100" s="3"/>
      <c r="L100" s="3"/>
      <c r="M100" s="3"/>
      <c r="N100" s="3"/>
      <c r="O100" s="4"/>
      <c r="P100" s="4"/>
      <c r="Q100" s="4"/>
      <c r="R100" s="4"/>
      <c r="S100" s="4"/>
      <c r="T100" s="4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4"/>
      <c r="AG100" s="3"/>
      <c r="AH100" s="82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82"/>
      <c r="BC100" s="82"/>
      <c r="BD100" s="82"/>
      <c r="BE100" s="82"/>
      <c r="BF100" s="82"/>
      <c r="BG100" s="4"/>
      <c r="BH100" s="4"/>
      <c r="BI100" s="4"/>
      <c r="BJ100" s="4"/>
    </row>
    <row r="101" spans="1:62" ht="12.75" x14ac:dyDescent="0.2">
      <c r="A101" s="64" t="s">
        <v>2</v>
      </c>
      <c r="B101" s="65"/>
      <c r="C101" s="4"/>
      <c r="D101" s="4"/>
      <c r="E101" s="4"/>
      <c r="F101" s="4"/>
      <c r="G101" s="4"/>
      <c r="H101" s="3"/>
      <c r="I101" s="3"/>
      <c r="J101" s="3"/>
      <c r="K101" s="3"/>
      <c r="L101" s="3"/>
      <c r="M101" s="3"/>
      <c r="N101" s="3"/>
      <c r="O101" s="4"/>
      <c r="P101" s="4"/>
      <c r="Q101" s="4"/>
      <c r="R101" s="4"/>
      <c r="S101" s="4"/>
      <c r="T101" s="4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4"/>
      <c r="AG101" s="3"/>
      <c r="AH101" s="82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82"/>
      <c r="BC101" s="82"/>
      <c r="BD101" s="82"/>
      <c r="BE101" s="82"/>
      <c r="BF101" s="82"/>
      <c r="BG101" s="4"/>
      <c r="BH101" s="4"/>
      <c r="BI101" s="4"/>
      <c r="BJ101" s="4"/>
    </row>
    <row r="102" spans="1:62" ht="12.75" x14ac:dyDescent="0.2">
      <c r="A102" s="64" t="s">
        <v>2</v>
      </c>
      <c r="B102" s="65"/>
      <c r="C102" s="4"/>
      <c r="D102" s="4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4"/>
      <c r="P102" s="4"/>
      <c r="Q102" s="4"/>
      <c r="R102" s="4"/>
      <c r="S102" s="4"/>
      <c r="T102" s="4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4"/>
      <c r="AG102" s="3"/>
      <c r="AH102" s="82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82"/>
      <c r="BC102" s="82"/>
      <c r="BD102" s="82"/>
      <c r="BE102" s="82"/>
      <c r="BF102" s="82"/>
      <c r="BG102" s="4"/>
      <c r="BH102" s="4"/>
      <c r="BI102" s="4"/>
      <c r="BJ102" s="4"/>
    </row>
    <row r="103" spans="1:62" ht="12.75" x14ac:dyDescent="0.2">
      <c r="A103" s="64" t="s">
        <v>2</v>
      </c>
      <c r="B103" s="65"/>
      <c r="C103" s="4"/>
      <c r="D103" s="4"/>
      <c r="E103" s="4"/>
      <c r="F103" s="4"/>
      <c r="G103" s="4"/>
      <c r="H103" s="3"/>
      <c r="I103" s="3"/>
      <c r="J103" s="3"/>
      <c r="K103" s="3"/>
      <c r="L103" s="3"/>
      <c r="M103" s="3"/>
      <c r="N103" s="3"/>
      <c r="O103" s="4"/>
      <c r="P103" s="4"/>
      <c r="Q103" s="4"/>
      <c r="R103" s="4"/>
      <c r="S103" s="4"/>
      <c r="T103" s="4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4"/>
      <c r="AG103" s="3"/>
      <c r="AH103" s="82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82"/>
      <c r="BC103" s="82"/>
      <c r="BD103" s="82"/>
      <c r="BE103" s="82"/>
      <c r="BF103" s="82"/>
      <c r="BG103" s="4"/>
      <c r="BH103" s="4"/>
      <c r="BI103" s="4"/>
      <c r="BJ103" s="4"/>
    </row>
    <row r="104" spans="1:62" ht="12.75" x14ac:dyDescent="0.2">
      <c r="A104" s="64" t="s">
        <v>2</v>
      </c>
      <c r="B104" s="85"/>
      <c r="C104" s="4"/>
      <c r="D104" s="4"/>
      <c r="E104" s="4"/>
      <c r="F104" s="4"/>
      <c r="G104" s="4"/>
      <c r="H104" s="3"/>
      <c r="I104" s="3"/>
      <c r="J104" s="3"/>
      <c r="K104" s="3"/>
      <c r="L104" s="3"/>
      <c r="M104" s="3"/>
      <c r="N104" s="3"/>
      <c r="O104" s="4"/>
      <c r="P104" s="4"/>
      <c r="Q104" s="4"/>
      <c r="R104" s="4"/>
      <c r="S104" s="4"/>
      <c r="T104" s="4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4"/>
      <c r="AG104" s="3"/>
      <c r="AH104" s="82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82"/>
      <c r="BC104" s="82"/>
      <c r="BD104" s="82"/>
      <c r="BE104" s="82"/>
      <c r="BF104" s="82"/>
      <c r="BG104" s="4"/>
      <c r="BH104" s="4"/>
      <c r="BI104" s="4"/>
      <c r="BJ104" s="4"/>
    </row>
    <row r="105" spans="1:62" ht="12.75" x14ac:dyDescent="0.2">
      <c r="A105" s="64" t="s">
        <v>2</v>
      </c>
      <c r="B105" s="85"/>
      <c r="C105" s="4"/>
      <c r="D105" s="4"/>
      <c r="E105" s="4"/>
      <c r="F105" s="4"/>
      <c r="G105" s="4"/>
      <c r="H105" s="3"/>
      <c r="I105" s="3"/>
      <c r="J105" s="3"/>
      <c r="K105" s="3"/>
      <c r="L105" s="3"/>
      <c r="M105" s="3"/>
      <c r="N105" s="3"/>
      <c r="O105" s="4"/>
      <c r="P105" s="4"/>
      <c r="Q105" s="4"/>
      <c r="R105" s="4"/>
      <c r="S105" s="4"/>
      <c r="T105" s="4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4"/>
      <c r="AG105" s="3"/>
      <c r="AH105" s="82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82"/>
      <c r="BC105" s="82"/>
      <c r="BD105" s="82"/>
      <c r="BE105" s="82"/>
      <c r="BF105" s="82"/>
      <c r="BG105" s="4"/>
      <c r="BH105" s="4"/>
      <c r="BI105" s="4"/>
      <c r="BJ105" s="4"/>
    </row>
    <row r="106" spans="1:62" ht="12.75" x14ac:dyDescent="0.2">
      <c r="A106" s="64" t="s">
        <v>2</v>
      </c>
      <c r="B106" s="85"/>
      <c r="C106" s="4"/>
      <c r="D106" s="4"/>
      <c r="E106" s="4"/>
      <c r="F106" s="4"/>
      <c r="G106" s="4"/>
      <c r="H106" s="3"/>
      <c r="I106" s="3"/>
      <c r="J106" s="3"/>
      <c r="K106" s="3"/>
      <c r="L106" s="3"/>
      <c r="M106" s="3"/>
      <c r="N106" s="3"/>
      <c r="O106" s="4"/>
      <c r="P106" s="4"/>
      <c r="Q106" s="4"/>
      <c r="R106" s="4"/>
      <c r="S106" s="4"/>
      <c r="T106" s="4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4"/>
      <c r="AG106" s="3"/>
      <c r="AH106" s="82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82"/>
      <c r="BC106" s="82"/>
      <c r="BD106" s="82"/>
      <c r="BE106" s="82"/>
      <c r="BF106" s="82"/>
      <c r="BG106" s="4"/>
      <c r="BH106" s="4"/>
      <c r="BI106" s="4"/>
      <c r="BJ106" s="4"/>
    </row>
    <row r="107" spans="1:62" ht="12.75" x14ac:dyDescent="0.2">
      <c r="A107" s="64" t="s">
        <v>2</v>
      </c>
      <c r="B107" s="85"/>
      <c r="C107" s="4"/>
      <c r="D107" s="4"/>
      <c r="E107" s="4"/>
      <c r="F107" s="4"/>
      <c r="G107" s="4"/>
      <c r="H107" s="3"/>
      <c r="I107" s="3"/>
      <c r="J107" s="3"/>
      <c r="K107" s="3"/>
      <c r="L107" s="3"/>
      <c r="M107" s="3"/>
      <c r="N107" s="3"/>
      <c r="O107" s="4"/>
      <c r="P107" s="4"/>
      <c r="Q107" s="4"/>
      <c r="R107" s="4"/>
      <c r="S107" s="4"/>
      <c r="T107" s="4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4"/>
      <c r="AG107" s="3"/>
      <c r="AH107" s="82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82"/>
      <c r="BC107" s="82"/>
      <c r="BD107" s="82"/>
      <c r="BE107" s="82"/>
      <c r="BF107" s="82"/>
      <c r="BG107" s="4"/>
      <c r="BH107" s="4"/>
      <c r="BI107" s="4"/>
      <c r="BJ107" s="4"/>
    </row>
    <row r="108" spans="1:62" ht="12.75" x14ac:dyDescent="0.2">
      <c r="A108" s="64" t="s">
        <v>2</v>
      </c>
      <c r="B108" s="85"/>
      <c r="C108" s="4"/>
      <c r="D108" s="4"/>
      <c r="E108" s="4"/>
      <c r="F108" s="4"/>
      <c r="G108" s="4"/>
      <c r="H108" s="3"/>
      <c r="I108" s="3"/>
      <c r="J108" s="3"/>
      <c r="K108" s="3"/>
      <c r="L108" s="3"/>
      <c r="M108" s="3"/>
      <c r="N108" s="3"/>
      <c r="O108" s="4"/>
      <c r="P108" s="4"/>
      <c r="Q108" s="4"/>
      <c r="R108" s="4"/>
      <c r="S108" s="4"/>
      <c r="T108" s="4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4"/>
      <c r="AG108" s="3"/>
      <c r="AH108" s="82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82"/>
      <c r="BC108" s="82"/>
      <c r="BD108" s="82"/>
      <c r="BE108" s="82"/>
      <c r="BF108" s="82"/>
      <c r="BG108" s="4"/>
      <c r="BH108" s="4"/>
      <c r="BI108" s="4"/>
      <c r="BJ108" s="4"/>
    </row>
    <row r="109" spans="1:62" ht="12.75" x14ac:dyDescent="0.2">
      <c r="A109" s="64" t="s">
        <v>2</v>
      </c>
      <c r="B109" s="85"/>
      <c r="C109" s="4"/>
      <c r="D109" s="4"/>
      <c r="E109" s="4"/>
      <c r="F109" s="4"/>
      <c r="G109" s="4"/>
      <c r="H109" s="3"/>
      <c r="I109" s="3"/>
      <c r="J109" s="3"/>
      <c r="K109" s="3"/>
      <c r="L109" s="3"/>
      <c r="M109" s="3"/>
      <c r="N109" s="3"/>
      <c r="O109" s="4"/>
      <c r="P109" s="4"/>
      <c r="Q109" s="4"/>
      <c r="R109" s="4"/>
      <c r="S109" s="4"/>
      <c r="T109" s="4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4"/>
      <c r="AG109" s="3"/>
      <c r="AH109" s="82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82"/>
      <c r="BC109" s="82"/>
      <c r="BD109" s="82"/>
      <c r="BE109" s="82"/>
      <c r="BF109" s="82"/>
      <c r="BG109" s="4"/>
      <c r="BH109" s="4"/>
      <c r="BI109" s="4"/>
      <c r="BJ109" s="4"/>
    </row>
    <row r="110" spans="1:62" ht="12.75" x14ac:dyDescent="0.2">
      <c r="A110" s="64" t="s">
        <v>2</v>
      </c>
      <c r="B110" s="85"/>
      <c r="C110" s="4"/>
      <c r="D110" s="4"/>
      <c r="E110" s="4"/>
      <c r="F110" s="4"/>
      <c r="G110" s="4"/>
      <c r="H110" s="3"/>
      <c r="I110" s="3"/>
      <c r="J110" s="3"/>
      <c r="K110" s="3"/>
      <c r="L110" s="3"/>
      <c r="M110" s="3"/>
      <c r="N110" s="3"/>
      <c r="O110" s="4"/>
      <c r="P110" s="4"/>
      <c r="Q110" s="4"/>
      <c r="R110" s="4"/>
      <c r="S110" s="4"/>
      <c r="T110" s="4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4"/>
      <c r="AG110" s="3"/>
      <c r="AH110" s="82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82"/>
      <c r="BC110" s="82"/>
      <c r="BD110" s="82"/>
      <c r="BE110" s="82"/>
      <c r="BF110" s="82"/>
      <c r="BG110" s="4"/>
      <c r="BH110" s="4"/>
      <c r="BI110" s="4"/>
      <c r="BJ110" s="4"/>
    </row>
    <row r="111" spans="1:62" ht="12.75" x14ac:dyDescent="0.2">
      <c r="A111" s="64" t="s">
        <v>2</v>
      </c>
      <c r="B111" s="85"/>
      <c r="C111" s="4"/>
      <c r="D111" s="4"/>
      <c r="E111" s="4"/>
      <c r="F111" s="4"/>
      <c r="G111" s="4"/>
      <c r="H111" s="3"/>
      <c r="I111" s="3"/>
      <c r="J111" s="3"/>
      <c r="K111" s="3"/>
      <c r="L111" s="3"/>
      <c r="M111" s="3"/>
      <c r="N111" s="3"/>
      <c r="O111" s="4"/>
      <c r="P111" s="4"/>
      <c r="Q111" s="4"/>
      <c r="R111" s="4"/>
      <c r="S111" s="4"/>
      <c r="T111" s="4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4"/>
      <c r="AG111" s="3"/>
      <c r="AH111" s="82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82"/>
      <c r="BC111" s="82"/>
      <c r="BD111" s="82"/>
      <c r="BE111" s="82"/>
      <c r="BF111" s="82"/>
      <c r="BG111" s="4"/>
      <c r="BH111" s="4"/>
      <c r="BI111" s="4"/>
      <c r="BJ111" s="4"/>
    </row>
    <row r="112" spans="1:62" ht="12.75" x14ac:dyDescent="0.2">
      <c r="A112" s="64" t="s">
        <v>2</v>
      </c>
      <c r="B112" s="85"/>
      <c r="C112" s="4"/>
      <c r="D112" s="4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4"/>
      <c r="P112" s="4"/>
      <c r="Q112" s="4"/>
      <c r="R112" s="4"/>
      <c r="S112" s="4"/>
      <c r="T112" s="4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4"/>
      <c r="AG112" s="3"/>
      <c r="AH112" s="82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82"/>
      <c r="BC112" s="82"/>
      <c r="BD112" s="82"/>
      <c r="BE112" s="82"/>
      <c r="BF112" s="82"/>
      <c r="BG112" s="4"/>
      <c r="BH112" s="4"/>
      <c r="BI112" s="4"/>
      <c r="BJ112" s="4"/>
    </row>
    <row r="113" spans="1:62" ht="12.75" x14ac:dyDescent="0.2">
      <c r="A113" s="64" t="s">
        <v>2</v>
      </c>
      <c r="B113" s="85"/>
      <c r="C113" s="4"/>
      <c r="D113" s="4"/>
      <c r="E113" s="4"/>
      <c r="F113" s="4"/>
      <c r="G113" s="4"/>
      <c r="H113" s="3"/>
      <c r="I113" s="3"/>
      <c r="J113" s="3"/>
      <c r="K113" s="3"/>
      <c r="L113" s="3"/>
      <c r="M113" s="3"/>
      <c r="N113" s="3"/>
      <c r="O113" s="4"/>
      <c r="P113" s="4"/>
      <c r="Q113" s="4"/>
      <c r="R113" s="4"/>
      <c r="S113" s="4"/>
      <c r="T113" s="4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4"/>
      <c r="AG113" s="3"/>
      <c r="AH113" s="82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82"/>
      <c r="BC113" s="82"/>
      <c r="BD113" s="82"/>
      <c r="BE113" s="82"/>
      <c r="BF113" s="82"/>
      <c r="BG113" s="4"/>
      <c r="BH113" s="4"/>
      <c r="BI113" s="4"/>
      <c r="BJ113" s="4"/>
    </row>
    <row r="114" spans="1:62" ht="12.75" x14ac:dyDescent="0.2">
      <c r="A114" s="64" t="s">
        <v>2</v>
      </c>
      <c r="B114" s="85"/>
      <c r="C114" s="4"/>
      <c r="D114" s="4"/>
      <c r="E114" s="4"/>
      <c r="F114" s="4"/>
      <c r="G114" s="4"/>
      <c r="H114" s="3"/>
      <c r="I114" s="3"/>
      <c r="J114" s="3"/>
      <c r="K114" s="3"/>
      <c r="L114" s="3"/>
      <c r="M114" s="3"/>
      <c r="N114" s="3"/>
      <c r="O114" s="4"/>
      <c r="P114" s="4"/>
      <c r="Q114" s="4"/>
      <c r="R114" s="4"/>
      <c r="S114" s="4"/>
      <c r="T114" s="4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4"/>
      <c r="AG114" s="3"/>
      <c r="AH114" s="82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82"/>
      <c r="BC114" s="82"/>
      <c r="BD114" s="82"/>
      <c r="BE114" s="82"/>
      <c r="BF114" s="82"/>
      <c r="BG114" s="4"/>
      <c r="BH114" s="4"/>
      <c r="BI114" s="4"/>
      <c r="BJ114" s="4"/>
    </row>
    <row r="115" spans="1:62" ht="12.75" x14ac:dyDescent="0.2">
      <c r="A115" s="64" t="s">
        <v>2</v>
      </c>
      <c r="B115" s="85"/>
      <c r="C115" s="4"/>
      <c r="D115" s="4"/>
      <c r="E115" s="4"/>
      <c r="F115" s="4"/>
      <c r="G115" s="4"/>
      <c r="H115" s="3"/>
      <c r="I115" s="3"/>
      <c r="J115" s="3"/>
      <c r="K115" s="3"/>
      <c r="L115" s="3"/>
      <c r="M115" s="3"/>
      <c r="N115" s="3"/>
      <c r="O115" s="4"/>
      <c r="P115" s="4"/>
      <c r="Q115" s="4"/>
      <c r="R115" s="4"/>
      <c r="S115" s="4"/>
      <c r="T115" s="4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4"/>
      <c r="AG115" s="3"/>
      <c r="AH115" s="82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82"/>
      <c r="BC115" s="82"/>
      <c r="BD115" s="82"/>
      <c r="BE115" s="82"/>
      <c r="BF115" s="82"/>
      <c r="BG115" s="4"/>
      <c r="BH115" s="4"/>
      <c r="BI115" s="4"/>
      <c r="BJ115" s="4"/>
    </row>
    <row r="116" spans="1:62" ht="12.75" x14ac:dyDescent="0.2">
      <c r="A116" s="64" t="s">
        <v>2</v>
      </c>
      <c r="B116" s="85"/>
      <c r="C116" s="4"/>
      <c r="D116" s="4"/>
      <c r="E116" s="4"/>
      <c r="F116" s="4"/>
      <c r="G116" s="4"/>
      <c r="H116" s="3"/>
      <c r="I116" s="3"/>
      <c r="J116" s="3"/>
      <c r="K116" s="3"/>
      <c r="L116" s="3"/>
      <c r="M116" s="3"/>
      <c r="N116" s="3"/>
      <c r="O116" s="4"/>
      <c r="P116" s="4"/>
      <c r="Q116" s="4"/>
      <c r="R116" s="4"/>
      <c r="S116" s="4"/>
      <c r="T116" s="4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4"/>
      <c r="AG116" s="3"/>
      <c r="AH116" s="82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82"/>
      <c r="BC116" s="82"/>
      <c r="BD116" s="82"/>
      <c r="BE116" s="82"/>
      <c r="BF116" s="82"/>
      <c r="BG116" s="4"/>
      <c r="BH116" s="4"/>
      <c r="BI116" s="4"/>
      <c r="BJ116" s="4"/>
    </row>
    <row r="117" spans="1:62" ht="12.75" x14ac:dyDescent="0.2">
      <c r="A117" s="64" t="s">
        <v>2</v>
      </c>
      <c r="B117" s="85"/>
      <c r="C117" s="4"/>
      <c r="D117" s="4"/>
      <c r="E117" s="4"/>
      <c r="F117" s="4"/>
      <c r="G117" s="4"/>
      <c r="H117" s="3"/>
      <c r="I117" s="3"/>
      <c r="J117" s="3"/>
      <c r="K117" s="3"/>
      <c r="L117" s="3"/>
      <c r="M117" s="3"/>
      <c r="N117" s="3"/>
      <c r="O117" s="4"/>
      <c r="P117" s="4"/>
      <c r="Q117" s="4"/>
      <c r="R117" s="4"/>
      <c r="S117" s="4"/>
      <c r="T117" s="4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4"/>
      <c r="AG117" s="3"/>
      <c r="AH117" s="82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82"/>
      <c r="BC117" s="82"/>
      <c r="BD117" s="82"/>
      <c r="BE117" s="82"/>
      <c r="BF117" s="82"/>
      <c r="BG117" s="4"/>
      <c r="BH117" s="4"/>
      <c r="BI117" s="4"/>
      <c r="BJ117" s="4"/>
    </row>
    <row r="118" spans="1:62" ht="12.75" x14ac:dyDescent="0.2">
      <c r="A118" s="64" t="s">
        <v>2</v>
      </c>
      <c r="B118" s="85"/>
      <c r="C118" s="4"/>
      <c r="D118" s="4"/>
      <c r="E118" s="4"/>
      <c r="F118" s="4"/>
      <c r="G118" s="4"/>
      <c r="H118" s="3"/>
      <c r="I118" s="3"/>
      <c r="J118" s="3"/>
      <c r="K118" s="3"/>
      <c r="L118" s="3"/>
      <c r="M118" s="3"/>
      <c r="N118" s="3"/>
      <c r="O118" s="4"/>
      <c r="P118" s="4"/>
      <c r="Q118" s="4"/>
      <c r="R118" s="4"/>
      <c r="S118" s="4"/>
      <c r="T118" s="4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4"/>
      <c r="AG118" s="3"/>
      <c r="AH118" s="82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82"/>
      <c r="BC118" s="82"/>
      <c r="BD118" s="82"/>
      <c r="BE118" s="82"/>
      <c r="BF118" s="82"/>
      <c r="BG118" s="4"/>
      <c r="BH118" s="4"/>
      <c r="BI118" s="4"/>
      <c r="BJ118" s="4"/>
    </row>
    <row r="119" spans="1:62" ht="12.75" x14ac:dyDescent="0.2">
      <c r="A119" s="64" t="s">
        <v>2</v>
      </c>
      <c r="B119" s="85"/>
      <c r="C119" s="4"/>
      <c r="D119" s="4"/>
      <c r="E119" s="4"/>
      <c r="F119" s="4"/>
      <c r="G119" s="4"/>
      <c r="H119" s="3"/>
      <c r="I119" s="3"/>
      <c r="J119" s="3"/>
      <c r="K119" s="3"/>
      <c r="L119" s="3"/>
      <c r="M119" s="3"/>
      <c r="N119" s="3"/>
      <c r="O119" s="4"/>
      <c r="P119" s="4"/>
      <c r="Q119" s="4"/>
      <c r="R119" s="4"/>
      <c r="S119" s="4"/>
      <c r="T119" s="4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4"/>
      <c r="AG119" s="3"/>
      <c r="AH119" s="82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82"/>
      <c r="BC119" s="82"/>
      <c r="BD119" s="82"/>
      <c r="BE119" s="82"/>
      <c r="BF119" s="82"/>
      <c r="BG119" s="4"/>
      <c r="BH119" s="4"/>
      <c r="BI119" s="4"/>
      <c r="BJ119" s="4"/>
    </row>
    <row r="120" spans="1:62" ht="12.75" x14ac:dyDescent="0.2">
      <c r="A120" s="64" t="s">
        <v>2</v>
      </c>
      <c r="B120" s="85"/>
      <c r="C120" s="4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4"/>
      <c r="P120" s="4"/>
      <c r="Q120" s="4"/>
      <c r="R120" s="4"/>
      <c r="S120" s="4"/>
      <c r="T120" s="4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4"/>
      <c r="AG120" s="3"/>
      <c r="AH120" s="82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82"/>
      <c r="BC120" s="82"/>
      <c r="BD120" s="82"/>
      <c r="BE120" s="82"/>
      <c r="BF120" s="82"/>
      <c r="BG120" s="4"/>
      <c r="BH120" s="4"/>
      <c r="BI120" s="4"/>
      <c r="BJ120" s="4"/>
    </row>
    <row r="121" spans="1:62" ht="12.75" x14ac:dyDescent="0.2">
      <c r="A121" s="64" t="s">
        <v>2</v>
      </c>
      <c r="B121" s="85"/>
      <c r="C121" s="4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4"/>
      <c r="P121" s="4"/>
      <c r="Q121" s="4"/>
      <c r="R121" s="4"/>
      <c r="S121" s="4"/>
      <c r="T121" s="4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4"/>
      <c r="AG121" s="3"/>
      <c r="AH121" s="82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82"/>
      <c r="BC121" s="82"/>
      <c r="BD121" s="82"/>
      <c r="BE121" s="82"/>
      <c r="BF121" s="82"/>
      <c r="BG121" s="4"/>
      <c r="BH121" s="4"/>
      <c r="BI121" s="4"/>
      <c r="BJ121" s="4"/>
    </row>
    <row r="122" spans="1:62" ht="12.75" x14ac:dyDescent="0.2">
      <c r="A122" s="64" t="s">
        <v>2</v>
      </c>
      <c r="B122" s="85"/>
      <c r="C122" s="4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4"/>
      <c r="P122" s="4"/>
      <c r="Q122" s="4"/>
      <c r="R122" s="4"/>
      <c r="S122" s="4"/>
      <c r="T122" s="4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4"/>
      <c r="AG122" s="3"/>
      <c r="AH122" s="82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82"/>
      <c r="BC122" s="82"/>
      <c r="BD122" s="82"/>
      <c r="BE122" s="82"/>
      <c r="BF122" s="82"/>
      <c r="BG122" s="4"/>
      <c r="BH122" s="4"/>
      <c r="BI122" s="4"/>
      <c r="BJ122" s="4"/>
    </row>
    <row r="123" spans="1:62" ht="12.75" x14ac:dyDescent="0.2">
      <c r="A123" s="64" t="s">
        <v>2</v>
      </c>
      <c r="B123" s="85"/>
      <c r="C123" s="4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4"/>
      <c r="P123" s="4"/>
      <c r="Q123" s="4"/>
      <c r="R123" s="4"/>
      <c r="S123" s="4"/>
      <c r="T123" s="4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4"/>
      <c r="AG123" s="3"/>
      <c r="AH123" s="82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82"/>
      <c r="BC123" s="82"/>
      <c r="BD123" s="82"/>
      <c r="BE123" s="82"/>
      <c r="BF123" s="82"/>
      <c r="BG123" s="4"/>
      <c r="BH123" s="4"/>
      <c r="BI123" s="4"/>
      <c r="BJ123" s="4"/>
    </row>
    <row r="124" spans="1:62" ht="12.75" x14ac:dyDescent="0.2">
      <c r="A124" s="64" t="s">
        <v>2</v>
      </c>
      <c r="B124" s="85"/>
      <c r="C124" s="4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4"/>
      <c r="P124" s="4"/>
      <c r="Q124" s="4"/>
      <c r="R124" s="4"/>
      <c r="S124" s="4"/>
      <c r="T124" s="4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4"/>
      <c r="AG124" s="3"/>
      <c r="AH124" s="82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82"/>
      <c r="BC124" s="82"/>
      <c r="BD124" s="82"/>
      <c r="BE124" s="82"/>
      <c r="BF124" s="82"/>
      <c r="BG124" s="4"/>
      <c r="BH124" s="4"/>
      <c r="BI124" s="4"/>
      <c r="BJ124" s="4"/>
    </row>
    <row r="125" spans="1:62" ht="12.75" x14ac:dyDescent="0.2">
      <c r="A125" s="64" t="s">
        <v>2</v>
      </c>
      <c r="B125" s="85"/>
      <c r="C125" s="4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4"/>
      <c r="P125" s="4"/>
      <c r="Q125" s="4"/>
      <c r="R125" s="4"/>
      <c r="S125" s="4"/>
      <c r="T125" s="4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4"/>
      <c r="AG125" s="3"/>
      <c r="AH125" s="82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82"/>
      <c r="BC125" s="82"/>
      <c r="BD125" s="82"/>
      <c r="BE125" s="82"/>
      <c r="BF125" s="82"/>
      <c r="BG125" s="4"/>
      <c r="BH125" s="4"/>
      <c r="BI125" s="4"/>
      <c r="BJ125" s="4"/>
    </row>
    <row r="126" spans="1:62" ht="12.75" x14ac:dyDescent="0.2">
      <c r="A126" s="64" t="s">
        <v>2</v>
      </c>
      <c r="B126" s="85"/>
      <c r="C126" s="4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4"/>
      <c r="P126" s="4"/>
      <c r="Q126" s="4"/>
      <c r="R126" s="4"/>
      <c r="S126" s="4"/>
      <c r="T126" s="4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4"/>
      <c r="AG126" s="3"/>
      <c r="AH126" s="82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82"/>
      <c r="BC126" s="82"/>
      <c r="BD126" s="82"/>
      <c r="BE126" s="82"/>
      <c r="BF126" s="82"/>
      <c r="BG126" s="4"/>
      <c r="BH126" s="4"/>
      <c r="BI126" s="4"/>
      <c r="BJ126" s="4"/>
    </row>
    <row r="127" spans="1:62" ht="12.75" x14ac:dyDescent="0.2">
      <c r="A127" s="64" t="s">
        <v>2</v>
      </c>
      <c r="B127" s="85"/>
      <c r="C127" s="4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4"/>
      <c r="P127" s="4"/>
      <c r="Q127" s="4"/>
      <c r="R127" s="4"/>
      <c r="S127" s="4"/>
      <c r="T127" s="4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4"/>
      <c r="AG127" s="3"/>
      <c r="AH127" s="82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82"/>
      <c r="BC127" s="82"/>
      <c r="BD127" s="82"/>
      <c r="BE127" s="82"/>
      <c r="BF127" s="82"/>
      <c r="BG127" s="4"/>
      <c r="BH127" s="4"/>
      <c r="BI127" s="4"/>
      <c r="BJ127" s="4"/>
    </row>
    <row r="128" spans="1:62" ht="12.75" x14ac:dyDescent="0.2">
      <c r="A128" s="64" t="s">
        <v>2</v>
      </c>
      <c r="B128" s="85"/>
      <c r="C128" s="4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4"/>
      <c r="P128" s="4"/>
      <c r="Q128" s="4"/>
      <c r="R128" s="4"/>
      <c r="S128" s="4"/>
      <c r="T128" s="4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4"/>
      <c r="AG128" s="3"/>
      <c r="AH128" s="82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82"/>
      <c r="BC128" s="82"/>
      <c r="BD128" s="82"/>
      <c r="BE128" s="82"/>
      <c r="BF128" s="82"/>
      <c r="BG128" s="4"/>
      <c r="BH128" s="4"/>
      <c r="BI128" s="4"/>
      <c r="BJ128" s="4"/>
    </row>
    <row r="129" spans="1:62" ht="12.75" x14ac:dyDescent="0.2">
      <c r="A129" s="64" t="s">
        <v>2</v>
      </c>
      <c r="B129" s="85"/>
      <c r="C129" s="4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4"/>
      <c r="P129" s="4"/>
      <c r="Q129" s="4"/>
      <c r="R129" s="4"/>
      <c r="S129" s="4"/>
      <c r="T129" s="4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4"/>
      <c r="AG129" s="3"/>
      <c r="AH129" s="82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82"/>
      <c r="BC129" s="82"/>
      <c r="BD129" s="82"/>
      <c r="BE129" s="82"/>
      <c r="BF129" s="82"/>
      <c r="BG129" s="4"/>
      <c r="BH129" s="4"/>
      <c r="BI129" s="4"/>
      <c r="BJ129" s="4"/>
    </row>
    <row r="130" spans="1:62" ht="12.75" x14ac:dyDescent="0.2">
      <c r="A130" s="64" t="s">
        <v>2</v>
      </c>
      <c r="B130" s="85"/>
      <c r="C130" s="4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4"/>
      <c r="P130" s="4"/>
      <c r="Q130" s="4"/>
      <c r="R130" s="4"/>
      <c r="S130" s="4"/>
      <c r="T130" s="4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4"/>
      <c r="AG130" s="3"/>
      <c r="AH130" s="82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82"/>
      <c r="BC130" s="82"/>
      <c r="BD130" s="82"/>
      <c r="BE130" s="82"/>
      <c r="BF130" s="82"/>
      <c r="BG130" s="4"/>
      <c r="BH130" s="4"/>
      <c r="BI130" s="4"/>
      <c r="BJ130" s="4"/>
    </row>
    <row r="131" spans="1:62" ht="12.75" x14ac:dyDescent="0.2">
      <c r="A131" s="64" t="s">
        <v>2</v>
      </c>
      <c r="B131" s="85"/>
      <c r="C131" s="4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4"/>
      <c r="P131" s="4"/>
      <c r="Q131" s="4"/>
      <c r="R131" s="4"/>
      <c r="S131" s="4"/>
      <c r="T131" s="4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4"/>
      <c r="AG131" s="3"/>
      <c r="AH131" s="82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82"/>
      <c r="BC131" s="82"/>
      <c r="BD131" s="82"/>
      <c r="BE131" s="82"/>
      <c r="BF131" s="82"/>
      <c r="BG131" s="4"/>
      <c r="BH131" s="4"/>
      <c r="BI131" s="4"/>
      <c r="BJ131" s="4"/>
    </row>
    <row r="132" spans="1:62" ht="12.75" x14ac:dyDescent="0.2">
      <c r="A132" s="64" t="s">
        <v>2</v>
      </c>
      <c r="B132" s="85"/>
      <c r="C132" s="4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4"/>
      <c r="P132" s="4"/>
      <c r="Q132" s="4"/>
      <c r="R132" s="4"/>
      <c r="S132" s="4"/>
      <c r="T132" s="4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4"/>
      <c r="AG132" s="3"/>
      <c r="AH132" s="82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82"/>
      <c r="BC132" s="82"/>
      <c r="BD132" s="82"/>
      <c r="BE132" s="82"/>
      <c r="BF132" s="82"/>
      <c r="BG132" s="4"/>
      <c r="BH132" s="4"/>
      <c r="BI132" s="4"/>
      <c r="BJ132" s="4"/>
    </row>
    <row r="133" spans="1:62" ht="12.75" x14ac:dyDescent="0.2">
      <c r="A133" s="64" t="s">
        <v>2</v>
      </c>
      <c r="B133" s="85"/>
      <c r="C133" s="4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4"/>
      <c r="P133" s="4"/>
      <c r="Q133" s="4"/>
      <c r="R133" s="4"/>
      <c r="S133" s="4"/>
      <c r="T133" s="4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4"/>
      <c r="AG133" s="3"/>
      <c r="AH133" s="82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82"/>
      <c r="BC133" s="82"/>
      <c r="BD133" s="82"/>
      <c r="BE133" s="82"/>
      <c r="BF133" s="82"/>
      <c r="BG133" s="4"/>
      <c r="BH133" s="4"/>
      <c r="BI133" s="4"/>
      <c r="BJ133" s="4"/>
    </row>
    <row r="134" spans="1:62" ht="12.75" x14ac:dyDescent="0.2">
      <c r="A134" s="64" t="s">
        <v>2</v>
      </c>
      <c r="B134" s="85"/>
      <c r="C134" s="4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4"/>
      <c r="P134" s="4"/>
      <c r="Q134" s="4"/>
      <c r="R134" s="4"/>
      <c r="S134" s="4"/>
      <c r="T134" s="4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4"/>
      <c r="AG134" s="3"/>
      <c r="AH134" s="82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82"/>
      <c r="BC134" s="82"/>
      <c r="BD134" s="82"/>
      <c r="BE134" s="82"/>
      <c r="BF134" s="82"/>
      <c r="BG134" s="4"/>
      <c r="BH134" s="4"/>
      <c r="BI134" s="4"/>
      <c r="BJ134" s="4"/>
    </row>
    <row r="135" spans="1:62" ht="12.75" x14ac:dyDescent="0.2">
      <c r="A135" s="64" t="s">
        <v>2</v>
      </c>
      <c r="B135" s="85"/>
      <c r="C135" s="4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4"/>
      <c r="P135" s="4"/>
      <c r="Q135" s="4"/>
      <c r="R135" s="4"/>
      <c r="S135" s="4"/>
      <c r="T135" s="4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4"/>
      <c r="AG135" s="3"/>
      <c r="AH135" s="82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82"/>
      <c r="BC135" s="82"/>
      <c r="BD135" s="82"/>
      <c r="BE135" s="82"/>
      <c r="BF135" s="82"/>
      <c r="BG135" s="4"/>
      <c r="BH135" s="4"/>
      <c r="BI135" s="4"/>
      <c r="BJ135" s="4"/>
    </row>
    <row r="136" spans="1:62" ht="12.75" x14ac:dyDescent="0.2">
      <c r="A136" s="64" t="s">
        <v>2</v>
      </c>
      <c r="B136" s="85"/>
      <c r="C136" s="4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4"/>
      <c r="P136" s="4"/>
      <c r="Q136" s="4"/>
      <c r="R136" s="4"/>
      <c r="S136" s="4"/>
      <c r="T136" s="4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4"/>
      <c r="AG136" s="3"/>
      <c r="AH136" s="82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82"/>
      <c r="BC136" s="82"/>
      <c r="BD136" s="82"/>
      <c r="BE136" s="82"/>
      <c r="BF136" s="82"/>
      <c r="BG136" s="4"/>
      <c r="BH136" s="4"/>
      <c r="BI136" s="4"/>
      <c r="BJ136" s="4"/>
    </row>
    <row r="137" spans="1:62" ht="12.75" x14ac:dyDescent="0.2">
      <c r="A137" s="64" t="s">
        <v>2</v>
      </c>
      <c r="B137" s="85"/>
      <c r="C137" s="4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4"/>
      <c r="P137" s="4"/>
      <c r="Q137" s="4"/>
      <c r="R137" s="4"/>
      <c r="S137" s="4"/>
      <c r="T137" s="4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4"/>
      <c r="AG137" s="3"/>
      <c r="AH137" s="82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82"/>
      <c r="BC137" s="82"/>
      <c r="BD137" s="82"/>
      <c r="BE137" s="82"/>
      <c r="BF137" s="82"/>
      <c r="BG137" s="4"/>
      <c r="BH137" s="4"/>
      <c r="BI137" s="4"/>
      <c r="BJ137" s="4"/>
    </row>
    <row r="138" spans="1:62" ht="12.75" x14ac:dyDescent="0.2">
      <c r="A138" s="64" t="s">
        <v>2</v>
      </c>
      <c r="B138" s="85"/>
      <c r="C138" s="4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4"/>
      <c r="P138" s="4"/>
      <c r="Q138" s="4"/>
      <c r="R138" s="4"/>
      <c r="S138" s="4"/>
      <c r="T138" s="4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4"/>
      <c r="AG138" s="3"/>
      <c r="AH138" s="82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82"/>
      <c r="BC138" s="82"/>
      <c r="BD138" s="82"/>
      <c r="BE138" s="82"/>
      <c r="BF138" s="82"/>
      <c r="BG138" s="4"/>
      <c r="BH138" s="4"/>
      <c r="BI138" s="4"/>
      <c r="BJ138" s="4"/>
    </row>
    <row r="139" spans="1:62" ht="12.75" x14ac:dyDescent="0.2">
      <c r="A139" s="64" t="s">
        <v>2</v>
      </c>
      <c r="B139" s="85"/>
      <c r="C139" s="4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4"/>
      <c r="P139" s="4"/>
      <c r="Q139" s="4"/>
      <c r="R139" s="4"/>
      <c r="S139" s="4"/>
      <c r="T139" s="4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4"/>
      <c r="AG139" s="3"/>
      <c r="AH139" s="82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82"/>
      <c r="BC139" s="82"/>
      <c r="BD139" s="82"/>
      <c r="BE139" s="82"/>
      <c r="BF139" s="82"/>
      <c r="BG139" s="4"/>
      <c r="BH139" s="4"/>
      <c r="BI139" s="4"/>
      <c r="BJ139" s="4"/>
    </row>
    <row r="140" spans="1:62" ht="12.75" x14ac:dyDescent="0.2">
      <c r="A140" s="64" t="s">
        <v>2</v>
      </c>
      <c r="B140" s="85"/>
      <c r="C140" s="4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4"/>
      <c r="P140" s="4"/>
      <c r="Q140" s="4"/>
      <c r="R140" s="4"/>
      <c r="S140" s="4"/>
      <c r="T140" s="4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4"/>
      <c r="AG140" s="3"/>
      <c r="AH140" s="82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82"/>
      <c r="BC140" s="82"/>
      <c r="BD140" s="82"/>
      <c r="BE140" s="82"/>
      <c r="BF140" s="82"/>
      <c r="BG140" s="4"/>
      <c r="BH140" s="4"/>
      <c r="BI140" s="4"/>
      <c r="BJ140" s="4"/>
    </row>
    <row r="141" spans="1:62" ht="12.75" x14ac:dyDescent="0.2">
      <c r="A141" s="64" t="s">
        <v>2</v>
      </c>
      <c r="B141" s="85"/>
      <c r="C141" s="4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4"/>
      <c r="P141" s="4"/>
      <c r="Q141" s="4"/>
      <c r="R141" s="4"/>
      <c r="S141" s="4"/>
      <c r="T141" s="4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4"/>
      <c r="AG141" s="3"/>
      <c r="AH141" s="82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82"/>
      <c r="BC141" s="82"/>
      <c r="BD141" s="82"/>
      <c r="BE141" s="82"/>
      <c r="BF141" s="82"/>
      <c r="BG141" s="4"/>
      <c r="BH141" s="4"/>
      <c r="BI141" s="4"/>
      <c r="BJ141" s="4"/>
    </row>
    <row r="142" spans="1:62" ht="12.75" x14ac:dyDescent="0.2">
      <c r="A142" s="64" t="s">
        <v>2</v>
      </c>
      <c r="B142" s="85"/>
      <c r="C142" s="4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4"/>
      <c r="P142" s="4"/>
      <c r="Q142" s="4"/>
      <c r="R142" s="4"/>
      <c r="S142" s="4"/>
      <c r="T142" s="4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4"/>
      <c r="AG142" s="3"/>
      <c r="AH142" s="82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82"/>
      <c r="BC142" s="82"/>
      <c r="BD142" s="82"/>
      <c r="BE142" s="82"/>
      <c r="BF142" s="82"/>
      <c r="BG142" s="4"/>
      <c r="BH142" s="4"/>
      <c r="BI142" s="4"/>
      <c r="BJ142" s="4"/>
    </row>
    <row r="143" spans="1:62" ht="12.75" x14ac:dyDescent="0.2">
      <c r="A143" s="64" t="s">
        <v>2</v>
      </c>
      <c r="B143" s="85"/>
      <c r="C143" s="4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4"/>
      <c r="P143" s="4"/>
      <c r="Q143" s="4"/>
      <c r="R143" s="4"/>
      <c r="S143" s="4"/>
      <c r="T143" s="4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4"/>
      <c r="AG143" s="3"/>
      <c r="AH143" s="82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82"/>
      <c r="BC143" s="82"/>
      <c r="BD143" s="82"/>
      <c r="BE143" s="82"/>
      <c r="BF143" s="82"/>
      <c r="BG143" s="4"/>
      <c r="BH143" s="4"/>
      <c r="BI143" s="4"/>
      <c r="BJ143" s="4"/>
    </row>
    <row r="144" spans="1:62" ht="12.75" x14ac:dyDescent="0.2">
      <c r="A144" s="64" t="s">
        <v>2</v>
      </c>
      <c r="B144" s="85"/>
      <c r="C144" s="4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4"/>
      <c r="P144" s="4"/>
      <c r="Q144" s="4"/>
      <c r="R144" s="4"/>
      <c r="S144" s="4"/>
      <c r="T144" s="4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4"/>
      <c r="AG144" s="3"/>
      <c r="AH144" s="82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82"/>
      <c r="BC144" s="82"/>
      <c r="BD144" s="82"/>
      <c r="BE144" s="82"/>
      <c r="BF144" s="82"/>
      <c r="BG144" s="4"/>
      <c r="BH144" s="4"/>
      <c r="BI144" s="4"/>
      <c r="BJ144" s="4"/>
    </row>
    <row r="145" spans="1:62" ht="12.75" x14ac:dyDescent="0.2">
      <c r="A145" s="64" t="s">
        <v>2</v>
      </c>
      <c r="B145" s="85"/>
      <c r="C145" s="4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4"/>
      <c r="P145" s="4"/>
      <c r="Q145" s="4"/>
      <c r="R145" s="4"/>
      <c r="S145" s="4"/>
      <c r="T145" s="4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4"/>
      <c r="AG145" s="3"/>
      <c r="AH145" s="82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82"/>
      <c r="BC145" s="82"/>
      <c r="BD145" s="82"/>
      <c r="BE145" s="82"/>
      <c r="BF145" s="82"/>
      <c r="BG145" s="4"/>
      <c r="BH145" s="4"/>
      <c r="BI145" s="4"/>
      <c r="BJ145" s="4"/>
    </row>
    <row r="146" spans="1:62" ht="12.75" x14ac:dyDescent="0.2">
      <c r="A146" s="64" t="s">
        <v>2</v>
      </c>
      <c r="B146" s="85"/>
      <c r="C146" s="4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4"/>
      <c r="P146" s="4"/>
      <c r="Q146" s="4"/>
      <c r="R146" s="4"/>
      <c r="S146" s="4"/>
      <c r="T146" s="4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4"/>
      <c r="AG146" s="3"/>
      <c r="AH146" s="82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82"/>
      <c r="BC146" s="82"/>
      <c r="BD146" s="82"/>
      <c r="BE146" s="82"/>
      <c r="BF146" s="82"/>
      <c r="BG146" s="4"/>
      <c r="BH146" s="4"/>
      <c r="BI146" s="4"/>
      <c r="BJ146" s="4"/>
    </row>
    <row r="147" spans="1:62" ht="12.75" x14ac:dyDescent="0.2">
      <c r="A147" s="64" t="s">
        <v>2</v>
      </c>
      <c r="B147" s="85"/>
      <c r="C147" s="4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4"/>
      <c r="P147" s="4"/>
      <c r="Q147" s="4"/>
      <c r="R147" s="4"/>
      <c r="S147" s="4"/>
      <c r="T147" s="4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4"/>
      <c r="AG147" s="3"/>
      <c r="AH147" s="82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82"/>
      <c r="BC147" s="82"/>
      <c r="BD147" s="82"/>
      <c r="BE147" s="82"/>
      <c r="BF147" s="82"/>
      <c r="BG147" s="4"/>
      <c r="BH147" s="4"/>
      <c r="BI147" s="4"/>
      <c r="BJ147" s="4"/>
    </row>
    <row r="148" spans="1:62" ht="12.75" x14ac:dyDescent="0.2">
      <c r="A148" s="64" t="s">
        <v>2</v>
      </c>
      <c r="B148" s="85"/>
      <c r="C148" s="4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4"/>
      <c r="P148" s="4"/>
      <c r="Q148" s="4"/>
      <c r="R148" s="4"/>
      <c r="S148" s="4"/>
      <c r="T148" s="4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4"/>
      <c r="AG148" s="3"/>
      <c r="AH148" s="82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82"/>
      <c r="BC148" s="82"/>
      <c r="BD148" s="82"/>
      <c r="BE148" s="82"/>
      <c r="BF148" s="82"/>
      <c r="BG148" s="4"/>
      <c r="BH148" s="4"/>
      <c r="BI148" s="4"/>
      <c r="BJ148" s="4"/>
    </row>
    <row r="149" spans="1:62" ht="12.75" x14ac:dyDescent="0.2">
      <c r="A149" s="64" t="s">
        <v>2</v>
      </c>
      <c r="B149" s="85"/>
      <c r="C149" s="4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4"/>
      <c r="P149" s="4"/>
      <c r="Q149" s="4"/>
      <c r="R149" s="4"/>
      <c r="S149" s="4"/>
      <c r="T149" s="4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4"/>
      <c r="AG149" s="3"/>
      <c r="AH149" s="82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82"/>
      <c r="BC149" s="82"/>
      <c r="BD149" s="82"/>
      <c r="BE149" s="82"/>
      <c r="BF149" s="82"/>
      <c r="BG149" s="4"/>
      <c r="BH149" s="4"/>
      <c r="BI149" s="4"/>
      <c r="BJ149" s="4"/>
    </row>
    <row r="150" spans="1:62" ht="12.75" x14ac:dyDescent="0.2">
      <c r="A150" s="64" t="s">
        <v>2</v>
      </c>
      <c r="B150" s="85"/>
      <c r="C150" s="4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4"/>
      <c r="P150" s="4"/>
      <c r="Q150" s="4"/>
      <c r="R150" s="4"/>
      <c r="S150" s="4"/>
      <c r="T150" s="4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4"/>
      <c r="AG150" s="3"/>
      <c r="AH150" s="82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82"/>
      <c r="BC150" s="82"/>
      <c r="BD150" s="82"/>
      <c r="BE150" s="82"/>
      <c r="BF150" s="82"/>
      <c r="BG150" s="4"/>
      <c r="BH150" s="4"/>
      <c r="BI150" s="4"/>
      <c r="BJ150" s="4"/>
    </row>
    <row r="151" spans="1:62" ht="12.75" x14ac:dyDescent="0.2">
      <c r="A151" s="64" t="s">
        <v>2</v>
      </c>
      <c r="B151" s="85"/>
      <c r="C151" s="4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4"/>
      <c r="P151" s="4"/>
      <c r="Q151" s="4"/>
      <c r="R151" s="4"/>
      <c r="S151" s="4"/>
      <c r="T151" s="4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4"/>
      <c r="AG151" s="3"/>
      <c r="AH151" s="82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82"/>
      <c r="BC151" s="82"/>
      <c r="BD151" s="82"/>
      <c r="BE151" s="82"/>
      <c r="BF151" s="82"/>
      <c r="BG151" s="4"/>
      <c r="BH151" s="4"/>
      <c r="BI151" s="4"/>
      <c r="BJ151" s="4"/>
    </row>
    <row r="152" spans="1:62" ht="12.75" x14ac:dyDescent="0.2">
      <c r="A152" s="64" t="s">
        <v>2</v>
      </c>
      <c r="B152" s="85"/>
      <c r="C152" s="4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4"/>
      <c r="P152" s="4"/>
      <c r="Q152" s="4"/>
      <c r="R152" s="4"/>
      <c r="S152" s="4"/>
      <c r="T152" s="4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4"/>
      <c r="AG152" s="3"/>
      <c r="AH152" s="82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82"/>
      <c r="BC152" s="82"/>
      <c r="BD152" s="82"/>
      <c r="BE152" s="82"/>
      <c r="BF152" s="82"/>
      <c r="BG152" s="4"/>
      <c r="BH152" s="4"/>
      <c r="BI152" s="4"/>
      <c r="BJ152" s="4"/>
    </row>
    <row r="153" spans="1:62" ht="12.75" x14ac:dyDescent="0.2">
      <c r="A153" s="64" t="s">
        <v>2</v>
      </c>
      <c r="B153" s="85"/>
      <c r="C153" s="4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4"/>
      <c r="P153" s="4"/>
      <c r="Q153" s="4"/>
      <c r="R153" s="4"/>
      <c r="S153" s="4"/>
      <c r="T153" s="4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4"/>
      <c r="AG153" s="3"/>
      <c r="AH153" s="82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82"/>
      <c r="BC153" s="82"/>
      <c r="BD153" s="82"/>
      <c r="BE153" s="82"/>
      <c r="BF153" s="82"/>
      <c r="BG153" s="4"/>
      <c r="BH153" s="4"/>
      <c r="BI153" s="4"/>
      <c r="BJ153" s="4"/>
    </row>
    <row r="154" spans="1:62" ht="12.75" x14ac:dyDescent="0.2">
      <c r="A154" s="64" t="s">
        <v>2</v>
      </c>
      <c r="B154" s="88"/>
      <c r="C154" s="4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4"/>
      <c r="P154" s="4"/>
      <c r="Q154" s="4"/>
      <c r="R154" s="4"/>
      <c r="S154" s="4"/>
      <c r="T154" s="4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4"/>
      <c r="AG154" s="3"/>
      <c r="AH154" s="82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82"/>
      <c r="BC154" s="82"/>
      <c r="BD154" s="82"/>
      <c r="BE154" s="82"/>
      <c r="BF154" s="82"/>
      <c r="BG154" s="4"/>
      <c r="BH154" s="4"/>
      <c r="BI154" s="4"/>
      <c r="BJ154" s="4"/>
    </row>
    <row r="155" spans="1:62" ht="12.75" x14ac:dyDescent="0.2">
      <c r="A155" s="64" t="s">
        <v>2</v>
      </c>
      <c r="B155" s="88"/>
      <c r="C155" s="4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4"/>
      <c r="P155" s="4"/>
      <c r="Q155" s="4"/>
      <c r="R155" s="4"/>
      <c r="S155" s="4"/>
      <c r="T155" s="4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4"/>
      <c r="AG155" s="3"/>
      <c r="AH155" s="82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82"/>
      <c r="BC155" s="82"/>
      <c r="BD155" s="82"/>
      <c r="BE155" s="82"/>
      <c r="BF155" s="82"/>
      <c r="BG155" s="4"/>
      <c r="BH155" s="4"/>
      <c r="BI155" s="4"/>
      <c r="BJ155" s="4"/>
    </row>
    <row r="156" spans="1:62" ht="12.75" x14ac:dyDescent="0.2">
      <c r="A156" s="64" t="s">
        <v>2</v>
      </c>
      <c r="B156" s="88"/>
      <c r="C156" s="4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4"/>
      <c r="P156" s="4"/>
      <c r="Q156" s="4"/>
      <c r="R156" s="4"/>
      <c r="S156" s="4"/>
      <c r="T156" s="4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4"/>
      <c r="AG156" s="3"/>
      <c r="AH156" s="82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82"/>
      <c r="BC156" s="82"/>
      <c r="BD156" s="82"/>
      <c r="BE156" s="82"/>
      <c r="BF156" s="82"/>
      <c r="BG156" s="4"/>
      <c r="BH156" s="4"/>
      <c r="BI156" s="4"/>
      <c r="BJ156" s="4"/>
    </row>
    <row r="157" spans="1:62" ht="12.75" x14ac:dyDescent="0.2">
      <c r="A157" s="64" t="s">
        <v>2</v>
      </c>
      <c r="B157" s="88"/>
      <c r="C157" s="4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4"/>
      <c r="P157" s="4"/>
      <c r="Q157" s="4"/>
      <c r="R157" s="4"/>
      <c r="S157" s="4"/>
      <c r="T157" s="4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4"/>
      <c r="AG157" s="3"/>
      <c r="AH157" s="82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82"/>
      <c r="BC157" s="82"/>
      <c r="BD157" s="82"/>
      <c r="BE157" s="82"/>
      <c r="BF157" s="82"/>
      <c r="BG157" s="4"/>
      <c r="BH157" s="4"/>
      <c r="BI157" s="4"/>
      <c r="BJ157" s="4"/>
    </row>
    <row r="158" spans="1:62" ht="12.75" x14ac:dyDescent="0.2">
      <c r="A158" s="64" t="s">
        <v>2</v>
      </c>
      <c r="B158" s="88"/>
      <c r="C158" s="4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4"/>
      <c r="P158" s="4"/>
      <c r="Q158" s="4"/>
      <c r="R158" s="4"/>
      <c r="S158" s="4"/>
      <c r="T158" s="4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4"/>
      <c r="AG158" s="3"/>
      <c r="AH158" s="82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82"/>
      <c r="BC158" s="82"/>
      <c r="BD158" s="82"/>
      <c r="BE158" s="82"/>
      <c r="BF158" s="82"/>
      <c r="BG158" s="4"/>
      <c r="BH158" s="4"/>
      <c r="BI158" s="4"/>
      <c r="BJ158" s="4"/>
    </row>
    <row r="159" spans="1:62" ht="12.75" x14ac:dyDescent="0.2">
      <c r="A159" s="64" t="s">
        <v>2</v>
      </c>
      <c r="B159" s="88"/>
      <c r="C159" s="4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4"/>
      <c r="P159" s="4"/>
      <c r="Q159" s="4"/>
      <c r="R159" s="4"/>
      <c r="S159" s="4"/>
      <c r="T159" s="4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4"/>
      <c r="AG159" s="3"/>
      <c r="AH159" s="82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82"/>
      <c r="BC159" s="82"/>
      <c r="BD159" s="82"/>
      <c r="BE159" s="82"/>
      <c r="BF159" s="82"/>
      <c r="BG159" s="4"/>
      <c r="BH159" s="4"/>
      <c r="BI159" s="4"/>
      <c r="BJ159" s="4"/>
    </row>
    <row r="160" spans="1:62" ht="12.75" x14ac:dyDescent="0.2">
      <c r="A160" s="64" t="s">
        <v>2</v>
      </c>
      <c r="B160" s="88"/>
      <c r="C160" s="4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4"/>
      <c r="P160" s="4"/>
      <c r="Q160" s="4"/>
      <c r="R160" s="4"/>
      <c r="S160" s="4"/>
      <c r="T160" s="4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4"/>
      <c r="AG160" s="3"/>
      <c r="AH160" s="82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82"/>
      <c r="BC160" s="82"/>
      <c r="BD160" s="82"/>
      <c r="BE160" s="82"/>
      <c r="BF160" s="82"/>
      <c r="BG160" s="4"/>
      <c r="BH160" s="4"/>
      <c r="BI160" s="4"/>
      <c r="BJ160" s="4"/>
    </row>
    <row r="161" spans="1:62" ht="12.75" x14ac:dyDescent="0.2">
      <c r="A161" s="64" t="s">
        <v>2</v>
      </c>
      <c r="B161" s="88"/>
      <c r="C161" s="4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4"/>
      <c r="P161" s="4"/>
      <c r="Q161" s="4"/>
      <c r="R161" s="4"/>
      <c r="S161" s="4"/>
      <c r="T161" s="4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4"/>
      <c r="AG161" s="3"/>
      <c r="AH161" s="82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82"/>
      <c r="BC161" s="82"/>
      <c r="BD161" s="82"/>
      <c r="BE161" s="82"/>
      <c r="BF161" s="82"/>
      <c r="BG161" s="4"/>
      <c r="BH161" s="4"/>
      <c r="BI161" s="4"/>
      <c r="BJ161" s="4"/>
    </row>
    <row r="162" spans="1:62" ht="12.75" x14ac:dyDescent="0.2">
      <c r="A162" s="64" t="s">
        <v>2</v>
      </c>
      <c r="B162" s="88"/>
      <c r="C162" s="4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4"/>
      <c r="P162" s="4"/>
      <c r="Q162" s="4"/>
      <c r="R162" s="4"/>
      <c r="S162" s="4"/>
      <c r="T162" s="4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4"/>
      <c r="AG162" s="3"/>
      <c r="AH162" s="82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82"/>
      <c r="BC162" s="82"/>
      <c r="BD162" s="82"/>
      <c r="BE162" s="82"/>
      <c r="BF162" s="82"/>
      <c r="BG162" s="4"/>
      <c r="BH162" s="4"/>
      <c r="BI162" s="4"/>
      <c r="BJ162" s="4"/>
    </row>
    <row r="163" spans="1:62" ht="12.75" x14ac:dyDescent="0.2">
      <c r="A163" s="64" t="s">
        <v>2</v>
      </c>
      <c r="B163" s="88"/>
      <c r="C163" s="4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4"/>
      <c r="P163" s="4"/>
      <c r="Q163" s="4"/>
      <c r="R163" s="4"/>
      <c r="S163" s="4"/>
      <c r="T163" s="4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4"/>
      <c r="AG163" s="3"/>
      <c r="AH163" s="82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82"/>
      <c r="BC163" s="82"/>
      <c r="BD163" s="82"/>
      <c r="BE163" s="82"/>
      <c r="BF163" s="82"/>
      <c r="BG163" s="4"/>
      <c r="BH163" s="4"/>
      <c r="BI163" s="4"/>
      <c r="BJ163" s="4"/>
    </row>
    <row r="164" spans="1:62" ht="12.75" x14ac:dyDescent="0.2">
      <c r="A164" s="64" t="s">
        <v>2</v>
      </c>
      <c r="B164" s="88"/>
      <c r="C164" s="4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4"/>
      <c r="P164" s="4"/>
      <c r="Q164" s="4"/>
      <c r="R164" s="4"/>
      <c r="S164" s="4"/>
      <c r="T164" s="4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4"/>
      <c r="AG164" s="3"/>
      <c r="AH164" s="82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82"/>
      <c r="BC164" s="82"/>
      <c r="BD164" s="82"/>
      <c r="BE164" s="82"/>
      <c r="BF164" s="82"/>
      <c r="BG164" s="4"/>
      <c r="BH164" s="4"/>
      <c r="BI164" s="4"/>
      <c r="BJ164" s="4"/>
    </row>
    <row r="165" spans="1:62" ht="12.75" x14ac:dyDescent="0.2">
      <c r="A165" s="64" t="s">
        <v>2</v>
      </c>
      <c r="B165" s="88"/>
      <c r="C165" s="4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4"/>
      <c r="P165" s="4"/>
      <c r="Q165" s="4"/>
      <c r="R165" s="4"/>
      <c r="S165" s="4"/>
      <c r="T165" s="4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4"/>
      <c r="AG165" s="3"/>
      <c r="AH165" s="82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82"/>
      <c r="BC165" s="82"/>
      <c r="BD165" s="82"/>
      <c r="BE165" s="82"/>
      <c r="BF165" s="82"/>
      <c r="BG165" s="4"/>
      <c r="BH165" s="4"/>
      <c r="BI165" s="4"/>
      <c r="BJ165" s="4"/>
    </row>
    <row r="166" spans="1:62" ht="12.75" x14ac:dyDescent="0.2">
      <c r="A166" s="64" t="s">
        <v>2</v>
      </c>
      <c r="B166" s="88"/>
      <c r="C166" s="4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4"/>
      <c r="P166" s="4"/>
      <c r="Q166" s="4"/>
      <c r="R166" s="4"/>
      <c r="S166" s="4"/>
      <c r="T166" s="4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4"/>
      <c r="AG166" s="3"/>
      <c r="AH166" s="82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82"/>
      <c r="BC166" s="82"/>
      <c r="BD166" s="82"/>
      <c r="BE166" s="82"/>
      <c r="BF166" s="82"/>
      <c r="BG166" s="4"/>
      <c r="BH166" s="4"/>
      <c r="BI166" s="4"/>
      <c r="BJ166" s="4"/>
    </row>
    <row r="167" spans="1:62" ht="12.75" x14ac:dyDescent="0.2">
      <c r="A167" s="64" t="s">
        <v>2</v>
      </c>
      <c r="B167" s="88"/>
      <c r="C167" s="4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4"/>
      <c r="P167" s="4"/>
      <c r="Q167" s="4"/>
      <c r="R167" s="4"/>
      <c r="S167" s="4"/>
      <c r="T167" s="4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4"/>
      <c r="AG167" s="3"/>
      <c r="AH167" s="82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82"/>
      <c r="BC167" s="82"/>
      <c r="BD167" s="82"/>
      <c r="BE167" s="82"/>
      <c r="BF167" s="82"/>
      <c r="BG167" s="4"/>
      <c r="BH167" s="4"/>
      <c r="BI167" s="4"/>
      <c r="BJ167" s="4"/>
    </row>
    <row r="168" spans="1:62" ht="12.75" x14ac:dyDescent="0.2">
      <c r="A168" s="64" t="s">
        <v>2</v>
      </c>
      <c r="B168" s="88"/>
      <c r="C168" s="4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4"/>
      <c r="P168" s="4"/>
      <c r="Q168" s="4"/>
      <c r="R168" s="4"/>
      <c r="S168" s="4"/>
      <c r="T168" s="4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4"/>
      <c r="AG168" s="3"/>
      <c r="AH168" s="82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82"/>
      <c r="BC168" s="82"/>
      <c r="BD168" s="82"/>
      <c r="BE168" s="82"/>
      <c r="BF168" s="82"/>
      <c r="BG168" s="4"/>
      <c r="BH168" s="4"/>
      <c r="BI168" s="4"/>
      <c r="BJ168" s="4"/>
    </row>
    <row r="169" spans="1:62" ht="12.75" x14ac:dyDescent="0.2">
      <c r="A169" s="64" t="s">
        <v>2</v>
      </c>
      <c r="B169" s="88"/>
      <c r="C169" s="4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4"/>
      <c r="P169" s="4"/>
      <c r="Q169" s="4"/>
      <c r="R169" s="4"/>
      <c r="S169" s="4"/>
      <c r="T169" s="4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4"/>
      <c r="AG169" s="3"/>
      <c r="AH169" s="82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82"/>
      <c r="BC169" s="82"/>
      <c r="BD169" s="82"/>
      <c r="BE169" s="82"/>
      <c r="BF169" s="82"/>
      <c r="BG169" s="4"/>
      <c r="BH169" s="4"/>
      <c r="BI169" s="4"/>
      <c r="BJ169" s="4"/>
    </row>
    <row r="170" spans="1:62" ht="12.75" x14ac:dyDescent="0.2">
      <c r="A170" s="64" t="s">
        <v>2</v>
      </c>
      <c r="B170" s="88"/>
      <c r="C170" s="4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4"/>
      <c r="P170" s="4"/>
      <c r="Q170" s="4"/>
      <c r="R170" s="4"/>
      <c r="S170" s="4"/>
      <c r="T170" s="4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4"/>
      <c r="AG170" s="3"/>
      <c r="AH170" s="82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82"/>
      <c r="BC170" s="82"/>
      <c r="BD170" s="82"/>
      <c r="BE170" s="82"/>
      <c r="BF170" s="82"/>
      <c r="BG170" s="4"/>
      <c r="BH170" s="4"/>
      <c r="BI170" s="4"/>
      <c r="BJ170" s="4"/>
    </row>
    <row r="171" spans="1:62" ht="12.75" x14ac:dyDescent="0.2">
      <c r="A171" s="64" t="s">
        <v>2</v>
      </c>
      <c r="B171" s="88"/>
      <c r="C171" s="4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4"/>
      <c r="P171" s="4"/>
      <c r="Q171" s="4"/>
      <c r="R171" s="4"/>
      <c r="S171" s="4"/>
      <c r="T171" s="4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4"/>
      <c r="AG171" s="3"/>
      <c r="AH171" s="82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82"/>
      <c r="BC171" s="82"/>
      <c r="BD171" s="82"/>
      <c r="BE171" s="82"/>
      <c r="BF171" s="82"/>
      <c r="BG171" s="4"/>
      <c r="BH171" s="4"/>
      <c r="BI171" s="4"/>
      <c r="BJ171" s="4"/>
    </row>
    <row r="172" spans="1:62" ht="12.75" x14ac:dyDescent="0.2">
      <c r="A172" s="64" t="s">
        <v>2</v>
      </c>
      <c r="B172" s="88"/>
      <c r="C172" s="4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4"/>
      <c r="P172" s="4"/>
      <c r="Q172" s="4"/>
      <c r="R172" s="4"/>
      <c r="S172" s="4"/>
      <c r="T172" s="4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4"/>
      <c r="AG172" s="3"/>
      <c r="AH172" s="82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82"/>
      <c r="BC172" s="82"/>
      <c r="BD172" s="82"/>
      <c r="BE172" s="82"/>
      <c r="BF172" s="82"/>
      <c r="BG172" s="4"/>
      <c r="BH172" s="4"/>
      <c r="BI172" s="4"/>
      <c r="BJ172" s="4"/>
    </row>
    <row r="173" spans="1:62" ht="12.75" x14ac:dyDescent="0.2">
      <c r="A173" s="64" t="s">
        <v>2</v>
      </c>
      <c r="B173" s="88"/>
      <c r="C173" s="4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4"/>
      <c r="P173" s="4"/>
      <c r="Q173" s="4"/>
      <c r="R173" s="4"/>
      <c r="S173" s="4"/>
      <c r="T173" s="4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4"/>
      <c r="AG173" s="3"/>
      <c r="AH173" s="82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82"/>
      <c r="BC173" s="82"/>
      <c r="BD173" s="82"/>
      <c r="BE173" s="82"/>
      <c r="BF173" s="82"/>
      <c r="BG173" s="4"/>
      <c r="BH173" s="4"/>
      <c r="BI173" s="4"/>
      <c r="BJ173" s="4"/>
    </row>
    <row r="174" spans="1:62" ht="12.75" x14ac:dyDescent="0.2">
      <c r="A174" s="64" t="s">
        <v>2</v>
      </c>
      <c r="B174" s="85"/>
      <c r="C174" s="4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4"/>
      <c r="P174" s="4"/>
      <c r="Q174" s="4"/>
      <c r="R174" s="4"/>
      <c r="S174" s="4"/>
      <c r="T174" s="4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4"/>
      <c r="AG174" s="3"/>
      <c r="AH174" s="82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82"/>
      <c r="BC174" s="82"/>
      <c r="BD174" s="82"/>
      <c r="BE174" s="82"/>
      <c r="BF174" s="82"/>
      <c r="BG174" s="4"/>
      <c r="BH174" s="4"/>
      <c r="BI174" s="4"/>
      <c r="BJ174" s="4"/>
    </row>
    <row r="175" spans="1:62" ht="12.75" x14ac:dyDescent="0.2">
      <c r="A175" s="64" t="s">
        <v>2</v>
      </c>
      <c r="B175" s="85"/>
      <c r="C175" s="4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4"/>
      <c r="P175" s="4"/>
      <c r="Q175" s="4"/>
      <c r="R175" s="4"/>
      <c r="S175" s="4"/>
      <c r="T175" s="4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4"/>
      <c r="AG175" s="3"/>
      <c r="AH175" s="82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82"/>
      <c r="BC175" s="82"/>
      <c r="BD175" s="82"/>
      <c r="BE175" s="82"/>
      <c r="BF175" s="82"/>
      <c r="BG175" s="4"/>
      <c r="BH175" s="4"/>
      <c r="BI175" s="4"/>
      <c r="BJ175" s="4"/>
    </row>
    <row r="176" spans="1:62" ht="12.75" x14ac:dyDescent="0.2">
      <c r="A176" s="64" t="s">
        <v>2</v>
      </c>
      <c r="B176" s="85"/>
      <c r="C176" s="4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4"/>
      <c r="P176" s="4"/>
      <c r="Q176" s="4"/>
      <c r="R176" s="4"/>
      <c r="S176" s="4"/>
      <c r="T176" s="4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4"/>
      <c r="AG176" s="3"/>
      <c r="AH176" s="82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82"/>
      <c r="BC176" s="82"/>
      <c r="BD176" s="82"/>
      <c r="BE176" s="82"/>
      <c r="BF176" s="82"/>
      <c r="BG176" s="4"/>
      <c r="BH176" s="4"/>
      <c r="BI176" s="4"/>
      <c r="BJ176" s="4"/>
    </row>
    <row r="177" spans="1:62" ht="12.75" x14ac:dyDescent="0.2">
      <c r="A177" s="64" t="s">
        <v>2</v>
      </c>
      <c r="B177" s="85"/>
      <c r="C177" s="4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4"/>
      <c r="P177" s="4"/>
      <c r="Q177" s="4"/>
      <c r="R177" s="4"/>
      <c r="S177" s="4"/>
      <c r="T177" s="4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4"/>
      <c r="AG177" s="3"/>
      <c r="AH177" s="82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82"/>
      <c r="BC177" s="82"/>
      <c r="BD177" s="82"/>
      <c r="BE177" s="82"/>
      <c r="BF177" s="82"/>
      <c r="BG177" s="4"/>
      <c r="BH177" s="4"/>
      <c r="BI177" s="4"/>
      <c r="BJ177" s="4"/>
    </row>
    <row r="178" spans="1:62" ht="12.75" x14ac:dyDescent="0.2">
      <c r="A178" s="64" t="s">
        <v>2</v>
      </c>
      <c r="B178" s="85"/>
      <c r="C178" s="4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4"/>
      <c r="P178" s="4"/>
      <c r="Q178" s="4"/>
      <c r="R178" s="4"/>
      <c r="S178" s="4"/>
      <c r="T178" s="4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4"/>
      <c r="AG178" s="3"/>
      <c r="AH178" s="82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82"/>
      <c r="BC178" s="82"/>
      <c r="BD178" s="82"/>
      <c r="BE178" s="82"/>
      <c r="BF178" s="82"/>
      <c r="BG178" s="4"/>
      <c r="BH178" s="4"/>
      <c r="BI178" s="4"/>
      <c r="BJ178" s="4"/>
    </row>
    <row r="179" spans="1:62" ht="12.75" x14ac:dyDescent="0.2">
      <c r="A179" s="64" t="s">
        <v>2</v>
      </c>
      <c r="B179" s="85"/>
      <c r="C179" s="4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4"/>
      <c r="P179" s="4"/>
      <c r="Q179" s="4"/>
      <c r="R179" s="4"/>
      <c r="S179" s="4"/>
      <c r="T179" s="4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4"/>
      <c r="AG179" s="3"/>
      <c r="AH179" s="82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82"/>
      <c r="BC179" s="82"/>
      <c r="BD179" s="82"/>
      <c r="BE179" s="82"/>
      <c r="BF179" s="82"/>
      <c r="BG179" s="4"/>
      <c r="BH179" s="4"/>
      <c r="BI179" s="4"/>
      <c r="BJ179" s="4"/>
    </row>
    <row r="180" spans="1:62" ht="12.75" x14ac:dyDescent="0.2">
      <c r="A180" s="64" t="s">
        <v>2</v>
      </c>
      <c r="B180" s="85"/>
      <c r="C180" s="4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4"/>
      <c r="P180" s="4"/>
      <c r="Q180" s="4"/>
      <c r="R180" s="4"/>
      <c r="S180" s="4"/>
      <c r="T180" s="4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4"/>
      <c r="AG180" s="3"/>
      <c r="AH180" s="82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82"/>
      <c r="BC180" s="82"/>
      <c r="BD180" s="82"/>
      <c r="BE180" s="82"/>
      <c r="BF180" s="82"/>
      <c r="BG180" s="4"/>
      <c r="BH180" s="4"/>
      <c r="BI180" s="4"/>
      <c r="BJ180" s="4"/>
    </row>
    <row r="181" spans="1:62" ht="12.75" x14ac:dyDescent="0.2">
      <c r="A181" s="64" t="s">
        <v>2</v>
      </c>
      <c r="B181" s="85"/>
      <c r="C181" s="4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4"/>
      <c r="P181" s="4"/>
      <c r="Q181" s="4"/>
      <c r="R181" s="4"/>
      <c r="S181" s="4"/>
      <c r="T181" s="4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4"/>
      <c r="AG181" s="3"/>
      <c r="AH181" s="82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82"/>
      <c r="BC181" s="82"/>
      <c r="BD181" s="82"/>
      <c r="BE181" s="82"/>
      <c r="BF181" s="82"/>
      <c r="BG181" s="4"/>
      <c r="BH181" s="4"/>
      <c r="BI181" s="4"/>
      <c r="BJ181" s="4"/>
    </row>
    <row r="182" spans="1:62" ht="12.75" x14ac:dyDescent="0.2">
      <c r="A182" s="64" t="s">
        <v>2</v>
      </c>
      <c r="B182" s="85"/>
      <c r="C182" s="4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4"/>
      <c r="P182" s="4"/>
      <c r="Q182" s="4"/>
      <c r="R182" s="4"/>
      <c r="S182" s="4"/>
      <c r="T182" s="4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4"/>
      <c r="AG182" s="3"/>
      <c r="AH182" s="82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82"/>
      <c r="BC182" s="82"/>
      <c r="BD182" s="82"/>
      <c r="BE182" s="82"/>
      <c r="BF182" s="82"/>
      <c r="BG182" s="4"/>
      <c r="BH182" s="4"/>
      <c r="BI182" s="4"/>
      <c r="BJ182" s="4"/>
    </row>
    <row r="183" spans="1:62" ht="12.75" x14ac:dyDescent="0.2">
      <c r="A183" s="64" t="s">
        <v>2</v>
      </c>
      <c r="B183" s="88"/>
      <c r="C183" s="4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4"/>
      <c r="P183" s="4"/>
      <c r="Q183" s="4"/>
      <c r="R183" s="4"/>
      <c r="S183" s="4"/>
      <c r="T183" s="4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4"/>
      <c r="AG183" s="3"/>
      <c r="AH183" s="82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82"/>
      <c r="BC183" s="82"/>
      <c r="BD183" s="82"/>
      <c r="BE183" s="82"/>
      <c r="BF183" s="82"/>
      <c r="BG183" s="4"/>
      <c r="BH183" s="4"/>
      <c r="BI183" s="4"/>
      <c r="BJ183" s="4"/>
    </row>
    <row r="184" spans="1:62" ht="12.75" x14ac:dyDescent="0.2">
      <c r="A184" s="64" t="s">
        <v>2</v>
      </c>
      <c r="B184" s="88"/>
      <c r="C184" s="4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4"/>
      <c r="P184" s="4"/>
      <c r="Q184" s="4"/>
      <c r="R184" s="4"/>
      <c r="S184" s="4"/>
      <c r="T184" s="4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4"/>
      <c r="AG184" s="3"/>
      <c r="AH184" s="82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82"/>
      <c r="BC184" s="82"/>
      <c r="BD184" s="82"/>
      <c r="BE184" s="82"/>
      <c r="BF184" s="82"/>
      <c r="BG184" s="4"/>
      <c r="BH184" s="4"/>
      <c r="BI184" s="4"/>
      <c r="BJ184" s="4"/>
    </row>
    <row r="185" spans="1:62" ht="12.75" x14ac:dyDescent="0.2">
      <c r="A185" s="64" t="s">
        <v>2</v>
      </c>
      <c r="B185" s="88"/>
      <c r="C185" s="4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4"/>
      <c r="P185" s="4"/>
      <c r="Q185" s="4"/>
      <c r="R185" s="4"/>
      <c r="S185" s="4"/>
      <c r="T185" s="4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4"/>
      <c r="AG185" s="3"/>
      <c r="AH185" s="82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82"/>
      <c r="BC185" s="82"/>
      <c r="BD185" s="82"/>
      <c r="BE185" s="82"/>
      <c r="BF185" s="82"/>
      <c r="BG185" s="4"/>
      <c r="BH185" s="4"/>
      <c r="BI185" s="4"/>
      <c r="BJ185" s="4"/>
    </row>
    <row r="186" spans="1:62" ht="12.75" x14ac:dyDescent="0.2">
      <c r="A186" s="64" t="s">
        <v>2</v>
      </c>
      <c r="B186" s="88"/>
      <c r="C186" s="4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4"/>
      <c r="P186" s="4"/>
      <c r="Q186" s="4"/>
      <c r="R186" s="4"/>
      <c r="S186" s="4"/>
      <c r="T186" s="4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4"/>
      <c r="AG186" s="3"/>
      <c r="AH186" s="82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82"/>
      <c r="BC186" s="82"/>
      <c r="BD186" s="82"/>
      <c r="BE186" s="82"/>
      <c r="BF186" s="82"/>
      <c r="BG186" s="4"/>
      <c r="BH186" s="4"/>
      <c r="BI186" s="4"/>
      <c r="BJ186" s="4"/>
    </row>
    <row r="187" spans="1:62" ht="12.75" x14ac:dyDescent="0.2">
      <c r="A187" s="64" t="s">
        <v>2</v>
      </c>
      <c r="B187" s="88"/>
      <c r="C187" s="4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4"/>
      <c r="P187" s="4"/>
      <c r="Q187" s="4"/>
      <c r="R187" s="4"/>
      <c r="S187" s="4"/>
      <c r="T187" s="4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4"/>
      <c r="AG187" s="3"/>
      <c r="AH187" s="82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82"/>
      <c r="BC187" s="82"/>
      <c r="BD187" s="82"/>
      <c r="BE187" s="82"/>
      <c r="BF187" s="82"/>
      <c r="BG187" s="4"/>
      <c r="BH187" s="4"/>
      <c r="BI187" s="4"/>
      <c r="BJ187" s="4"/>
    </row>
    <row r="188" spans="1:62" ht="12.75" x14ac:dyDescent="0.2">
      <c r="A188" s="64" t="s">
        <v>2</v>
      </c>
      <c r="B188" s="88"/>
      <c r="C188" s="4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4"/>
      <c r="P188" s="4"/>
      <c r="Q188" s="4"/>
      <c r="R188" s="4"/>
      <c r="S188" s="4"/>
      <c r="T188" s="4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4"/>
      <c r="AG188" s="3"/>
      <c r="AH188" s="82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82"/>
      <c r="BC188" s="82"/>
      <c r="BD188" s="82"/>
      <c r="BE188" s="82"/>
      <c r="BF188" s="82"/>
      <c r="BG188" s="4"/>
      <c r="BH188" s="4"/>
      <c r="BI188" s="4"/>
      <c r="BJ188" s="4"/>
    </row>
    <row r="189" spans="1:62" ht="12.75" x14ac:dyDescent="0.2">
      <c r="A189" s="64" t="s">
        <v>2</v>
      </c>
      <c r="B189" s="88"/>
      <c r="C189" s="4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4"/>
      <c r="P189" s="4"/>
      <c r="Q189" s="4"/>
      <c r="R189" s="4"/>
      <c r="S189" s="4"/>
      <c r="T189" s="4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4"/>
      <c r="AG189" s="3"/>
      <c r="AH189" s="82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82"/>
      <c r="BC189" s="82"/>
      <c r="BD189" s="82"/>
      <c r="BE189" s="82"/>
      <c r="BF189" s="82"/>
      <c r="BG189" s="4"/>
      <c r="BH189" s="4"/>
      <c r="BI189" s="4"/>
      <c r="BJ189" s="4"/>
    </row>
    <row r="190" spans="1:62" ht="12.75" x14ac:dyDescent="0.2">
      <c r="A190" s="64" t="s">
        <v>2</v>
      </c>
      <c r="B190" s="88"/>
      <c r="C190" s="4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4"/>
      <c r="P190" s="4"/>
      <c r="Q190" s="4"/>
      <c r="R190" s="4"/>
      <c r="S190" s="4"/>
      <c r="T190" s="4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4"/>
      <c r="AG190" s="3"/>
      <c r="AH190" s="82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82"/>
      <c r="BC190" s="82"/>
      <c r="BD190" s="82"/>
      <c r="BE190" s="82"/>
      <c r="BF190" s="82"/>
      <c r="BG190" s="4"/>
      <c r="BH190" s="4"/>
      <c r="BI190" s="4"/>
      <c r="BJ190" s="4"/>
    </row>
    <row r="191" spans="1:62" ht="12.75" x14ac:dyDescent="0.2">
      <c r="A191" s="64" t="s">
        <v>2</v>
      </c>
      <c r="B191" s="88"/>
      <c r="C191" s="4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4"/>
      <c r="P191" s="4"/>
      <c r="Q191" s="4"/>
      <c r="R191" s="4"/>
      <c r="S191" s="4"/>
      <c r="T191" s="4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4"/>
      <c r="AG191" s="3"/>
      <c r="AH191" s="82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82"/>
      <c r="BC191" s="82"/>
      <c r="BD191" s="82"/>
      <c r="BE191" s="82"/>
      <c r="BF191" s="82"/>
      <c r="BG191" s="4"/>
      <c r="BH191" s="4"/>
      <c r="BI191" s="4"/>
      <c r="BJ191" s="4"/>
    </row>
    <row r="192" spans="1:62" ht="12.75" x14ac:dyDescent="0.2">
      <c r="A192" s="64" t="s">
        <v>2</v>
      </c>
      <c r="B192" s="88"/>
      <c r="C192" s="4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4"/>
      <c r="P192" s="4"/>
      <c r="Q192" s="4"/>
      <c r="R192" s="4"/>
      <c r="S192" s="4"/>
      <c r="T192" s="4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4"/>
      <c r="AG192" s="3"/>
      <c r="AH192" s="82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82"/>
      <c r="BC192" s="82"/>
      <c r="BD192" s="82"/>
      <c r="BE192" s="82"/>
      <c r="BF192" s="82"/>
      <c r="BG192" s="4"/>
      <c r="BH192" s="4"/>
      <c r="BI192" s="4"/>
      <c r="BJ192" s="4"/>
    </row>
    <row r="193" spans="1:62" ht="12.75" x14ac:dyDescent="0.2">
      <c r="A193" s="64" t="s">
        <v>2</v>
      </c>
      <c r="B193" s="88"/>
      <c r="C193" s="4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4"/>
      <c r="P193" s="4"/>
      <c r="Q193" s="4"/>
      <c r="R193" s="4"/>
      <c r="S193" s="4"/>
      <c r="T193" s="4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4"/>
      <c r="AG193" s="3"/>
      <c r="AH193" s="82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82"/>
      <c r="BC193" s="82"/>
      <c r="BD193" s="82"/>
      <c r="BE193" s="82"/>
      <c r="BF193" s="82"/>
      <c r="BG193" s="4"/>
      <c r="BH193" s="4"/>
      <c r="BI193" s="4"/>
      <c r="BJ193" s="4"/>
    </row>
    <row r="194" spans="1:62" ht="12.75" x14ac:dyDescent="0.2">
      <c r="A194" s="64" t="s">
        <v>2</v>
      </c>
      <c r="B194" s="88"/>
      <c r="C194" s="4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4"/>
      <c r="P194" s="4"/>
      <c r="Q194" s="4"/>
      <c r="R194" s="4"/>
      <c r="S194" s="4"/>
      <c r="T194" s="4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4"/>
      <c r="AG194" s="3"/>
      <c r="AH194" s="82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82"/>
      <c r="BC194" s="82"/>
      <c r="BD194" s="82"/>
      <c r="BE194" s="82"/>
      <c r="BF194" s="82"/>
      <c r="BG194" s="4"/>
      <c r="BH194" s="4"/>
      <c r="BI194" s="4"/>
      <c r="BJ194" s="4"/>
    </row>
    <row r="195" spans="1:62" ht="12.75" x14ac:dyDescent="0.2">
      <c r="A195" s="64" t="s">
        <v>2</v>
      </c>
      <c r="B195" s="88"/>
      <c r="C195" s="4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4"/>
      <c r="P195" s="4"/>
      <c r="Q195" s="4"/>
      <c r="R195" s="4"/>
      <c r="S195" s="4"/>
      <c r="T195" s="4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4"/>
      <c r="AG195" s="3"/>
      <c r="AH195" s="82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82"/>
      <c r="BC195" s="82"/>
      <c r="BD195" s="82"/>
      <c r="BE195" s="82"/>
      <c r="BF195" s="82"/>
      <c r="BG195" s="4"/>
      <c r="BH195" s="4"/>
      <c r="BI195" s="4"/>
      <c r="BJ195" s="4"/>
    </row>
    <row r="196" spans="1:62" ht="12.75" x14ac:dyDescent="0.2">
      <c r="A196" s="64" t="s">
        <v>2</v>
      </c>
      <c r="B196" s="88"/>
      <c r="C196" s="4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4"/>
      <c r="P196" s="4"/>
      <c r="Q196" s="4"/>
      <c r="R196" s="4"/>
      <c r="S196" s="4"/>
      <c r="T196" s="4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4"/>
      <c r="AG196" s="3"/>
      <c r="AH196" s="82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82"/>
      <c r="BC196" s="82"/>
      <c r="BD196" s="82"/>
      <c r="BE196" s="82"/>
      <c r="BF196" s="82"/>
      <c r="BG196" s="4"/>
      <c r="BH196" s="4"/>
      <c r="BI196" s="4"/>
      <c r="BJ196" s="4"/>
    </row>
    <row r="197" spans="1:62" ht="12.75" x14ac:dyDescent="0.2">
      <c r="A197" s="64" t="s">
        <v>2</v>
      </c>
      <c r="B197" s="88"/>
      <c r="C197" s="4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4"/>
      <c r="P197" s="4"/>
      <c r="Q197" s="4"/>
      <c r="R197" s="4"/>
      <c r="S197" s="4"/>
      <c r="T197" s="4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4"/>
      <c r="AG197" s="3"/>
      <c r="AH197" s="82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82"/>
      <c r="BC197" s="82"/>
      <c r="BD197" s="82"/>
      <c r="BE197" s="82"/>
      <c r="BF197" s="82"/>
      <c r="BG197" s="4"/>
      <c r="BH197" s="4"/>
      <c r="BI197" s="4"/>
      <c r="BJ197" s="4"/>
    </row>
    <row r="198" spans="1:62" ht="12.75" x14ac:dyDescent="0.2">
      <c r="A198" s="64" t="s">
        <v>2</v>
      </c>
      <c r="B198" s="88"/>
      <c r="C198" s="4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4"/>
      <c r="P198" s="4"/>
      <c r="Q198" s="4"/>
      <c r="R198" s="4"/>
      <c r="S198" s="4"/>
      <c r="T198" s="4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4"/>
      <c r="AG198" s="3"/>
      <c r="AH198" s="82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82"/>
      <c r="BC198" s="82"/>
      <c r="BD198" s="82"/>
      <c r="BE198" s="82"/>
      <c r="BF198" s="82"/>
      <c r="BG198" s="4"/>
      <c r="BH198" s="4"/>
      <c r="BI198" s="4"/>
      <c r="BJ198" s="4"/>
    </row>
    <row r="199" spans="1:62" ht="12.75" x14ac:dyDescent="0.2">
      <c r="A199" s="64" t="s">
        <v>2</v>
      </c>
      <c r="B199" s="88"/>
      <c r="C199" s="4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4"/>
      <c r="P199" s="4"/>
      <c r="Q199" s="4"/>
      <c r="R199" s="4"/>
      <c r="S199" s="4"/>
      <c r="T199" s="4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4"/>
      <c r="AG199" s="3"/>
      <c r="AH199" s="82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82"/>
      <c r="BC199" s="82"/>
      <c r="BD199" s="82"/>
      <c r="BE199" s="82"/>
      <c r="BF199" s="82"/>
      <c r="BG199" s="4"/>
      <c r="BH199" s="4"/>
      <c r="BI199" s="4"/>
      <c r="BJ199" s="4"/>
    </row>
    <row r="200" spans="1:62" ht="12.75" x14ac:dyDescent="0.2">
      <c r="A200" s="64" t="s">
        <v>2</v>
      </c>
      <c r="B200" s="88"/>
      <c r="C200" s="4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4"/>
      <c r="P200" s="4"/>
      <c r="Q200" s="4"/>
      <c r="R200" s="4"/>
      <c r="S200" s="4"/>
      <c r="T200" s="4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4"/>
      <c r="AG200" s="3"/>
      <c r="AH200" s="82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82"/>
      <c r="BC200" s="82"/>
      <c r="BD200" s="82"/>
      <c r="BE200" s="82"/>
      <c r="BF200" s="82"/>
      <c r="BG200" s="4"/>
      <c r="BH200" s="4"/>
      <c r="BI200" s="4"/>
      <c r="BJ200" s="4"/>
    </row>
    <row r="201" spans="1:62" ht="12.75" x14ac:dyDescent="0.2">
      <c r="A201" s="64" t="s">
        <v>2</v>
      </c>
      <c r="B201" s="88"/>
      <c r="C201" s="4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4"/>
      <c r="P201" s="4"/>
      <c r="Q201" s="4"/>
      <c r="R201" s="4"/>
      <c r="S201" s="4"/>
      <c r="T201" s="4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4"/>
      <c r="AG201" s="3"/>
      <c r="AH201" s="82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82"/>
      <c r="BC201" s="82"/>
      <c r="BD201" s="82"/>
      <c r="BE201" s="82"/>
      <c r="BF201" s="82"/>
      <c r="BG201" s="4"/>
      <c r="BH201" s="4"/>
      <c r="BI201" s="4"/>
      <c r="BJ201" s="4"/>
    </row>
    <row r="202" spans="1:62" ht="12.75" x14ac:dyDescent="0.2">
      <c r="A202" s="64" t="s">
        <v>2</v>
      </c>
      <c r="B202" s="88"/>
      <c r="C202" s="4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4"/>
      <c r="P202" s="4"/>
      <c r="Q202" s="4"/>
      <c r="R202" s="4"/>
      <c r="S202" s="4"/>
      <c r="T202" s="4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4"/>
      <c r="AG202" s="3"/>
      <c r="AH202" s="82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82"/>
      <c r="BC202" s="82"/>
      <c r="BD202" s="82"/>
      <c r="BE202" s="82"/>
      <c r="BF202" s="82"/>
      <c r="BG202" s="4"/>
      <c r="BH202" s="4"/>
      <c r="BI202" s="4"/>
      <c r="BJ202" s="4"/>
    </row>
    <row r="203" spans="1:62" ht="12.75" x14ac:dyDescent="0.2">
      <c r="A203" s="64" t="s">
        <v>2</v>
      </c>
      <c r="B203" s="88"/>
      <c r="C203" s="4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4"/>
      <c r="P203" s="4"/>
      <c r="Q203" s="4"/>
      <c r="R203" s="4"/>
      <c r="S203" s="4"/>
      <c r="T203" s="4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4"/>
      <c r="AG203" s="3"/>
      <c r="AH203" s="82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82"/>
      <c r="BC203" s="82"/>
      <c r="BD203" s="82"/>
      <c r="BE203" s="82"/>
      <c r="BF203" s="82"/>
      <c r="BG203" s="4"/>
      <c r="BH203" s="4"/>
      <c r="BI203" s="4"/>
      <c r="BJ203" s="4"/>
    </row>
    <row r="204" spans="1:62" ht="12.75" x14ac:dyDescent="0.2">
      <c r="A204" s="64" t="s">
        <v>2</v>
      </c>
      <c r="B204" s="88"/>
      <c r="C204" s="4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4"/>
      <c r="P204" s="4"/>
      <c r="Q204" s="4"/>
      <c r="R204" s="4"/>
      <c r="S204" s="4"/>
      <c r="T204" s="4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4"/>
      <c r="AG204" s="3"/>
      <c r="AH204" s="82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82"/>
      <c r="BC204" s="82"/>
      <c r="BD204" s="82"/>
      <c r="BE204" s="82"/>
      <c r="BF204" s="82"/>
      <c r="BG204" s="4"/>
      <c r="BH204" s="4"/>
      <c r="BI204" s="4"/>
      <c r="BJ204" s="4"/>
    </row>
    <row r="205" spans="1:62" ht="12.75" x14ac:dyDescent="0.2">
      <c r="A205" s="64" t="s">
        <v>2</v>
      </c>
      <c r="B205" s="88"/>
      <c r="C205" s="4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4"/>
      <c r="P205" s="4"/>
      <c r="Q205" s="4"/>
      <c r="R205" s="4"/>
      <c r="S205" s="4"/>
      <c r="T205" s="4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4"/>
      <c r="AG205" s="3"/>
      <c r="AH205" s="82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82"/>
      <c r="BC205" s="82"/>
      <c r="BD205" s="82"/>
      <c r="BE205" s="82"/>
      <c r="BF205" s="82"/>
      <c r="BG205" s="4"/>
      <c r="BH205" s="4"/>
      <c r="BI205" s="4"/>
      <c r="BJ205" s="4"/>
    </row>
    <row r="206" spans="1:62" ht="12.75" x14ac:dyDescent="0.2">
      <c r="A206" s="64" t="s">
        <v>2</v>
      </c>
      <c r="B206" s="88"/>
      <c r="C206" s="4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4"/>
      <c r="P206" s="4"/>
      <c r="Q206" s="4"/>
      <c r="R206" s="4"/>
      <c r="S206" s="4"/>
      <c r="T206" s="4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4"/>
      <c r="AG206" s="3"/>
      <c r="AH206" s="82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82"/>
      <c r="BC206" s="82"/>
      <c r="BD206" s="82"/>
      <c r="BE206" s="82"/>
      <c r="BF206" s="82"/>
      <c r="BG206" s="4"/>
      <c r="BH206" s="4"/>
      <c r="BI206" s="4"/>
      <c r="BJ206" s="4"/>
    </row>
    <row r="207" spans="1:62" ht="12.75" x14ac:dyDescent="0.2">
      <c r="A207" s="64" t="s">
        <v>2</v>
      </c>
      <c r="B207" s="88"/>
      <c r="C207" s="4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4"/>
      <c r="P207" s="4"/>
      <c r="Q207" s="4"/>
      <c r="R207" s="4"/>
      <c r="S207" s="4"/>
      <c r="T207" s="4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4"/>
      <c r="AG207" s="3"/>
      <c r="AH207" s="82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82"/>
      <c r="BC207" s="82"/>
      <c r="BD207" s="82"/>
      <c r="BE207" s="82"/>
      <c r="BF207" s="82"/>
      <c r="BG207" s="4"/>
      <c r="BH207" s="4"/>
      <c r="BI207" s="4"/>
      <c r="BJ207" s="4"/>
    </row>
    <row r="208" spans="1:62" ht="12.75" x14ac:dyDescent="0.2">
      <c r="A208" s="64" t="s">
        <v>2</v>
      </c>
      <c r="B208" s="88"/>
      <c r="C208" s="4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4"/>
      <c r="P208" s="4"/>
      <c r="Q208" s="4"/>
      <c r="R208" s="4"/>
      <c r="S208" s="4"/>
      <c r="T208" s="4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4"/>
      <c r="AG208" s="3"/>
      <c r="AH208" s="82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82"/>
      <c r="BC208" s="82"/>
      <c r="BD208" s="82"/>
      <c r="BE208" s="82"/>
      <c r="BF208" s="82"/>
      <c r="BG208" s="4"/>
      <c r="BH208" s="4"/>
      <c r="BI208" s="4"/>
      <c r="BJ208" s="4"/>
    </row>
    <row r="209" spans="1:62" ht="12.75" x14ac:dyDescent="0.2">
      <c r="A209" s="64" t="s">
        <v>2</v>
      </c>
      <c r="B209" s="88"/>
      <c r="C209" s="4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4"/>
      <c r="P209" s="4"/>
      <c r="Q209" s="4"/>
      <c r="R209" s="4"/>
      <c r="S209" s="4"/>
      <c r="T209" s="4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4"/>
      <c r="AG209" s="3"/>
      <c r="AH209" s="82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82"/>
      <c r="BC209" s="82"/>
      <c r="BD209" s="82"/>
      <c r="BE209" s="82"/>
      <c r="BF209" s="82"/>
      <c r="BG209" s="4"/>
      <c r="BH209" s="4"/>
      <c r="BI209" s="4"/>
      <c r="BJ209" s="4"/>
    </row>
    <row r="210" spans="1:62" ht="12.75" x14ac:dyDescent="0.2">
      <c r="A210" s="64" t="s">
        <v>2</v>
      </c>
      <c r="B210" s="88"/>
      <c r="C210" s="4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4"/>
      <c r="P210" s="4"/>
      <c r="Q210" s="4"/>
      <c r="R210" s="4"/>
      <c r="S210" s="4"/>
      <c r="T210" s="4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4"/>
      <c r="AG210" s="3"/>
      <c r="AH210" s="82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82"/>
      <c r="BC210" s="82"/>
      <c r="BD210" s="82"/>
      <c r="BE210" s="82"/>
      <c r="BF210" s="82"/>
      <c r="BG210" s="4"/>
      <c r="BH210" s="4"/>
      <c r="BI210" s="4"/>
      <c r="BJ210" s="4"/>
    </row>
    <row r="211" spans="1:62" ht="12.75" x14ac:dyDescent="0.2">
      <c r="A211" s="64" t="s">
        <v>2</v>
      </c>
      <c r="B211" s="88"/>
      <c r="C211" s="4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4"/>
      <c r="P211" s="4"/>
      <c r="Q211" s="4"/>
      <c r="R211" s="4"/>
      <c r="S211" s="4"/>
      <c r="T211" s="4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4"/>
      <c r="AG211" s="3"/>
      <c r="AH211" s="82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82"/>
      <c r="BC211" s="82"/>
      <c r="BD211" s="82"/>
      <c r="BE211" s="82"/>
      <c r="BF211" s="82"/>
      <c r="BG211" s="4"/>
      <c r="BH211" s="4"/>
      <c r="BI211" s="4"/>
      <c r="BJ211" s="4"/>
    </row>
    <row r="212" spans="1:62" ht="12.75" x14ac:dyDescent="0.2">
      <c r="A212" s="64" t="s">
        <v>2</v>
      </c>
      <c r="B212" s="88"/>
      <c r="C212" s="4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4"/>
      <c r="P212" s="4"/>
      <c r="Q212" s="4"/>
      <c r="R212" s="4"/>
      <c r="S212" s="4"/>
      <c r="T212" s="4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4"/>
      <c r="AG212" s="3"/>
      <c r="AH212" s="82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82"/>
      <c r="BC212" s="82"/>
      <c r="BD212" s="82"/>
      <c r="BE212" s="82"/>
      <c r="BF212" s="82"/>
      <c r="BG212" s="4"/>
      <c r="BH212" s="4"/>
      <c r="BI212" s="4"/>
      <c r="BJ212" s="4"/>
    </row>
    <row r="213" spans="1:62" ht="12.75" x14ac:dyDescent="0.2">
      <c r="A213" s="64" t="s">
        <v>2</v>
      </c>
      <c r="B213" s="85"/>
      <c r="C213" s="4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4"/>
      <c r="P213" s="4"/>
      <c r="Q213" s="4"/>
      <c r="R213" s="4"/>
      <c r="S213" s="4"/>
      <c r="T213" s="4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4"/>
      <c r="AG213" s="3"/>
      <c r="AH213" s="82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82"/>
      <c r="BC213" s="82"/>
      <c r="BD213" s="82"/>
      <c r="BE213" s="82"/>
      <c r="BF213" s="82"/>
      <c r="BG213" s="4"/>
      <c r="BH213" s="4"/>
      <c r="BI213" s="4"/>
      <c r="BJ213" s="4"/>
    </row>
    <row r="214" spans="1:62" ht="12.75" x14ac:dyDescent="0.2">
      <c r="A214" s="64" t="s">
        <v>2</v>
      </c>
      <c r="B214" s="85"/>
      <c r="C214" s="4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4"/>
      <c r="P214" s="4"/>
      <c r="Q214" s="4"/>
      <c r="R214" s="4"/>
      <c r="S214" s="4"/>
      <c r="T214" s="4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4"/>
      <c r="AG214" s="3"/>
      <c r="AH214" s="82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82"/>
      <c r="BC214" s="82"/>
      <c r="BD214" s="82"/>
      <c r="BE214" s="82"/>
      <c r="BF214" s="82"/>
      <c r="BG214" s="4"/>
      <c r="BH214" s="4"/>
      <c r="BI214" s="4"/>
      <c r="BJ214" s="4"/>
    </row>
    <row r="215" spans="1:62" ht="12.75" x14ac:dyDescent="0.2">
      <c r="A215" s="64" t="s">
        <v>2</v>
      </c>
      <c r="B215" s="85"/>
      <c r="C215" s="4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4"/>
      <c r="P215" s="4"/>
      <c r="Q215" s="4"/>
      <c r="R215" s="4"/>
      <c r="S215" s="4"/>
      <c r="T215" s="4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4"/>
      <c r="AG215" s="3"/>
      <c r="AH215" s="82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82"/>
      <c r="BC215" s="82"/>
      <c r="BD215" s="82"/>
      <c r="BE215" s="82"/>
      <c r="BF215" s="82"/>
      <c r="BG215" s="4"/>
      <c r="BH215" s="4"/>
      <c r="BI215" s="4"/>
      <c r="BJ215" s="4"/>
    </row>
    <row r="216" spans="1:62" ht="12.75" x14ac:dyDescent="0.2">
      <c r="A216" s="64" t="s">
        <v>2</v>
      </c>
      <c r="B216" s="85"/>
      <c r="C216" s="4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4"/>
      <c r="P216" s="4"/>
      <c r="Q216" s="4"/>
      <c r="R216" s="4"/>
      <c r="S216" s="4"/>
      <c r="T216" s="4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4"/>
      <c r="AG216" s="3"/>
      <c r="AH216" s="82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82"/>
      <c r="BC216" s="82"/>
      <c r="BD216" s="82"/>
      <c r="BE216" s="82"/>
      <c r="BF216" s="82"/>
      <c r="BG216" s="4"/>
      <c r="BH216" s="4"/>
      <c r="BI216" s="4"/>
      <c r="BJ216" s="4"/>
    </row>
    <row r="217" spans="1:62" ht="12.75" x14ac:dyDescent="0.2">
      <c r="A217" s="64" t="s">
        <v>2</v>
      </c>
      <c r="B217" s="85"/>
      <c r="C217" s="4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4"/>
      <c r="P217" s="4"/>
      <c r="Q217" s="4"/>
      <c r="R217" s="4"/>
      <c r="S217" s="4"/>
      <c r="T217" s="4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4"/>
      <c r="AG217" s="3"/>
      <c r="AH217" s="82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82"/>
      <c r="BC217" s="82"/>
      <c r="BD217" s="82"/>
      <c r="BE217" s="82"/>
      <c r="BF217" s="82"/>
      <c r="BG217" s="4"/>
      <c r="BH217" s="4"/>
      <c r="BI217" s="4"/>
      <c r="BJ217" s="4"/>
    </row>
    <row r="218" spans="1:62" ht="12.75" x14ac:dyDescent="0.2">
      <c r="A218" s="64" t="s">
        <v>2</v>
      </c>
      <c r="B218" s="85"/>
      <c r="C218" s="4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4"/>
      <c r="P218" s="4"/>
      <c r="Q218" s="4"/>
      <c r="R218" s="4"/>
      <c r="S218" s="4"/>
      <c r="T218" s="4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4"/>
      <c r="AG218" s="3"/>
      <c r="AH218" s="82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82"/>
      <c r="BC218" s="82"/>
      <c r="BD218" s="82"/>
      <c r="BE218" s="82"/>
      <c r="BF218" s="82"/>
      <c r="BG218" s="4"/>
      <c r="BH218" s="4"/>
      <c r="BI218" s="4"/>
      <c r="BJ218" s="4"/>
    </row>
    <row r="219" spans="1:62" ht="12.75" x14ac:dyDescent="0.2">
      <c r="A219" s="64" t="s">
        <v>2</v>
      </c>
      <c r="B219" s="85"/>
      <c r="C219" s="4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4"/>
      <c r="P219" s="4"/>
      <c r="Q219" s="4"/>
      <c r="R219" s="4"/>
      <c r="S219" s="4"/>
      <c r="T219" s="4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4"/>
      <c r="AG219" s="3"/>
      <c r="AH219" s="82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82"/>
      <c r="BC219" s="82"/>
      <c r="BD219" s="82"/>
      <c r="BE219" s="82"/>
      <c r="BF219" s="82"/>
      <c r="BG219" s="4"/>
      <c r="BH219" s="4"/>
      <c r="BI219" s="4"/>
      <c r="BJ219" s="4"/>
    </row>
    <row r="220" spans="1:62" ht="12.75" x14ac:dyDescent="0.2">
      <c r="A220" s="64" t="s">
        <v>2</v>
      </c>
      <c r="B220" s="85"/>
      <c r="C220" s="4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4"/>
      <c r="P220" s="4"/>
      <c r="Q220" s="4"/>
      <c r="R220" s="4"/>
      <c r="S220" s="4"/>
      <c r="T220" s="4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4"/>
      <c r="AG220" s="3"/>
      <c r="AH220" s="82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82"/>
      <c r="BC220" s="82"/>
      <c r="BD220" s="82"/>
      <c r="BE220" s="82"/>
      <c r="BF220" s="82"/>
      <c r="BG220" s="4"/>
      <c r="BH220" s="4"/>
      <c r="BI220" s="4"/>
      <c r="BJ220" s="4"/>
    </row>
    <row r="221" spans="1:62" ht="12.75" x14ac:dyDescent="0.2">
      <c r="A221" s="64" t="s">
        <v>2</v>
      </c>
      <c r="B221" s="85"/>
      <c r="C221" s="4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4"/>
      <c r="P221" s="4"/>
      <c r="Q221" s="4"/>
      <c r="R221" s="4"/>
      <c r="S221" s="4"/>
      <c r="T221" s="4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4"/>
      <c r="AG221" s="3"/>
      <c r="AH221" s="82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82"/>
      <c r="BC221" s="82"/>
      <c r="BD221" s="82"/>
      <c r="BE221" s="82"/>
      <c r="BF221" s="82"/>
      <c r="BG221" s="4"/>
      <c r="BH221" s="4"/>
      <c r="BI221" s="4"/>
      <c r="BJ221" s="4"/>
    </row>
    <row r="222" spans="1:62" ht="12.75" x14ac:dyDescent="0.2">
      <c r="A222" s="64" t="s">
        <v>2</v>
      </c>
      <c r="B222" s="85"/>
      <c r="C222" s="4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4"/>
      <c r="P222" s="4"/>
      <c r="Q222" s="4"/>
      <c r="R222" s="4"/>
      <c r="S222" s="4"/>
      <c r="T222" s="4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4"/>
      <c r="AG222" s="3"/>
      <c r="AH222" s="82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82"/>
      <c r="BC222" s="82"/>
      <c r="BD222" s="82"/>
      <c r="BE222" s="82"/>
      <c r="BF222" s="82"/>
      <c r="BG222" s="4"/>
      <c r="BH222" s="4"/>
      <c r="BI222" s="4"/>
      <c r="BJ222" s="4"/>
    </row>
    <row r="223" spans="1:62" ht="12.75" x14ac:dyDescent="0.2">
      <c r="A223" s="64" t="s">
        <v>2</v>
      </c>
      <c r="B223" s="85"/>
      <c r="C223" s="4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4"/>
      <c r="P223" s="4"/>
      <c r="Q223" s="4"/>
      <c r="R223" s="4"/>
      <c r="S223" s="4"/>
      <c r="T223" s="4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4"/>
      <c r="AG223" s="3"/>
      <c r="AH223" s="82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82"/>
      <c r="BC223" s="82"/>
      <c r="BD223" s="82"/>
      <c r="BE223" s="82"/>
      <c r="BF223" s="82"/>
      <c r="BG223" s="4"/>
      <c r="BH223" s="4"/>
      <c r="BI223" s="4"/>
      <c r="BJ223" s="4"/>
    </row>
    <row r="224" spans="1:62" ht="12.75" x14ac:dyDescent="0.2">
      <c r="A224" s="64" t="s">
        <v>2</v>
      </c>
      <c r="B224" s="85"/>
      <c r="C224" s="4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4"/>
      <c r="P224" s="4"/>
      <c r="Q224" s="4"/>
      <c r="R224" s="4"/>
      <c r="S224" s="4"/>
      <c r="T224" s="4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4"/>
      <c r="AG224" s="3"/>
      <c r="AH224" s="82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82"/>
      <c r="BC224" s="82"/>
      <c r="BD224" s="82"/>
      <c r="BE224" s="82"/>
      <c r="BF224" s="82"/>
      <c r="BG224" s="4"/>
      <c r="BH224" s="4"/>
      <c r="BI224" s="4"/>
      <c r="BJ224" s="4"/>
    </row>
    <row r="225" spans="1:62" ht="12.75" x14ac:dyDescent="0.2">
      <c r="A225" s="64" t="s">
        <v>2</v>
      </c>
      <c r="B225" s="85"/>
      <c r="C225" s="4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4"/>
      <c r="P225" s="4"/>
      <c r="Q225" s="4"/>
      <c r="R225" s="4"/>
      <c r="S225" s="4"/>
      <c r="T225" s="4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4"/>
      <c r="AG225" s="3"/>
      <c r="AH225" s="82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82"/>
      <c r="BC225" s="82"/>
      <c r="BD225" s="82"/>
      <c r="BE225" s="82"/>
      <c r="BF225" s="82"/>
      <c r="BG225" s="4"/>
      <c r="BH225" s="4"/>
      <c r="BI225" s="4"/>
      <c r="BJ225" s="4"/>
    </row>
    <row r="226" spans="1:62" ht="12.75" x14ac:dyDescent="0.2">
      <c r="A226" s="64" t="s">
        <v>2</v>
      </c>
      <c r="B226" s="85"/>
      <c r="C226" s="4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4"/>
      <c r="P226" s="4"/>
      <c r="Q226" s="4"/>
      <c r="R226" s="4"/>
      <c r="S226" s="4"/>
      <c r="T226" s="4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4"/>
      <c r="AG226" s="3"/>
      <c r="AH226" s="82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82"/>
      <c r="BC226" s="82"/>
      <c r="BD226" s="82"/>
      <c r="BE226" s="82"/>
      <c r="BF226" s="82"/>
      <c r="BG226" s="4"/>
      <c r="BH226" s="4"/>
      <c r="BI226" s="4"/>
      <c r="BJ226" s="4"/>
    </row>
    <row r="227" spans="1:62" ht="12.75" x14ac:dyDescent="0.2">
      <c r="A227" s="64" t="s">
        <v>2</v>
      </c>
      <c r="B227" s="85"/>
      <c r="C227" s="4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4"/>
      <c r="P227" s="4"/>
      <c r="Q227" s="4"/>
      <c r="R227" s="4"/>
      <c r="S227" s="4"/>
      <c r="T227" s="4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4"/>
      <c r="AG227" s="3"/>
      <c r="AH227" s="82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82"/>
      <c r="BC227" s="82"/>
      <c r="BD227" s="82"/>
      <c r="BE227" s="82"/>
      <c r="BF227" s="82"/>
      <c r="BG227" s="4"/>
      <c r="BH227" s="4"/>
      <c r="BI227" s="4"/>
      <c r="BJ227" s="4"/>
    </row>
    <row r="228" spans="1:62" ht="12.75" x14ac:dyDescent="0.2">
      <c r="A228" s="64" t="s">
        <v>2</v>
      </c>
      <c r="B228" s="85"/>
      <c r="C228" s="4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4"/>
      <c r="P228" s="4"/>
      <c r="Q228" s="4"/>
      <c r="R228" s="4"/>
      <c r="S228" s="4"/>
      <c r="T228" s="4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4"/>
      <c r="AG228" s="3"/>
      <c r="AH228" s="82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82"/>
      <c r="BC228" s="82"/>
      <c r="BD228" s="82"/>
      <c r="BE228" s="82"/>
      <c r="BF228" s="82"/>
      <c r="BG228" s="4"/>
      <c r="BH228" s="4"/>
      <c r="BI228" s="4"/>
      <c r="BJ228" s="4"/>
    </row>
    <row r="229" spans="1:62" ht="12.75" x14ac:dyDescent="0.2">
      <c r="A229" s="64" t="s">
        <v>2</v>
      </c>
      <c r="B229" s="85"/>
      <c r="C229" s="4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4"/>
      <c r="P229" s="4"/>
      <c r="Q229" s="4"/>
      <c r="R229" s="4"/>
      <c r="S229" s="4"/>
      <c r="T229" s="4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4"/>
      <c r="AG229" s="3"/>
      <c r="AH229" s="82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82"/>
      <c r="BC229" s="82"/>
      <c r="BD229" s="82"/>
      <c r="BE229" s="82"/>
      <c r="BF229" s="82"/>
      <c r="BG229" s="4"/>
      <c r="BH229" s="4"/>
      <c r="BI229" s="4"/>
      <c r="BJ229" s="4"/>
    </row>
    <row r="230" spans="1:62" ht="12.75" x14ac:dyDescent="0.2">
      <c r="A230" s="64" t="s">
        <v>2</v>
      </c>
      <c r="B230" s="85"/>
      <c r="C230" s="4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4"/>
      <c r="P230" s="4"/>
      <c r="Q230" s="4"/>
      <c r="R230" s="4"/>
      <c r="S230" s="4"/>
      <c r="T230" s="4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4"/>
      <c r="AG230" s="3"/>
      <c r="AH230" s="82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82"/>
      <c r="BC230" s="82"/>
      <c r="BD230" s="82"/>
      <c r="BE230" s="82"/>
      <c r="BF230" s="82"/>
      <c r="BG230" s="4"/>
      <c r="BH230" s="4"/>
      <c r="BI230" s="4"/>
      <c r="BJ230" s="4"/>
    </row>
    <row r="231" spans="1:62" ht="12.75" x14ac:dyDescent="0.2">
      <c r="A231" s="64" t="s">
        <v>2</v>
      </c>
      <c r="B231" s="85"/>
      <c r="C231" s="4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4"/>
      <c r="P231" s="4"/>
      <c r="Q231" s="4"/>
      <c r="R231" s="4"/>
      <c r="S231" s="4"/>
      <c r="T231" s="4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4"/>
      <c r="AG231" s="3"/>
      <c r="AH231" s="82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82"/>
      <c r="BC231" s="82"/>
      <c r="BD231" s="82"/>
      <c r="BE231" s="82"/>
      <c r="BF231" s="82"/>
      <c r="BG231" s="4"/>
      <c r="BH231" s="4"/>
      <c r="BI231" s="4"/>
      <c r="BJ231" s="4"/>
    </row>
    <row r="232" spans="1:62" ht="12.75" x14ac:dyDescent="0.2">
      <c r="A232" s="64" t="s">
        <v>2</v>
      </c>
      <c r="B232" s="85"/>
      <c r="C232" s="4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4"/>
      <c r="P232" s="4"/>
      <c r="Q232" s="4"/>
      <c r="R232" s="4"/>
      <c r="S232" s="4"/>
      <c r="T232" s="4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4"/>
      <c r="AG232" s="3"/>
      <c r="AH232" s="82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82"/>
      <c r="BC232" s="82"/>
      <c r="BD232" s="82"/>
      <c r="BE232" s="82"/>
      <c r="BF232" s="82"/>
      <c r="BG232" s="4"/>
      <c r="BH232" s="4"/>
      <c r="BI232" s="4"/>
      <c r="BJ232" s="4"/>
    </row>
    <row r="233" spans="1:62" ht="12.75" x14ac:dyDescent="0.2">
      <c r="A233" s="64" t="s">
        <v>2</v>
      </c>
      <c r="B233" s="85"/>
      <c r="C233" s="4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4"/>
      <c r="P233" s="4"/>
      <c r="Q233" s="4"/>
      <c r="R233" s="4"/>
      <c r="S233" s="4"/>
      <c r="T233" s="4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4"/>
      <c r="AG233" s="3"/>
      <c r="AH233" s="82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82"/>
      <c r="BC233" s="82"/>
      <c r="BD233" s="82"/>
      <c r="BE233" s="82"/>
      <c r="BF233" s="82"/>
      <c r="BG233" s="4"/>
      <c r="BH233" s="4"/>
      <c r="BI233" s="4"/>
      <c r="BJ233" s="4"/>
    </row>
    <row r="234" spans="1:62" ht="12.75" x14ac:dyDescent="0.2">
      <c r="A234" s="64" t="s">
        <v>2</v>
      </c>
      <c r="B234" s="85"/>
      <c r="C234" s="4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4"/>
      <c r="P234" s="4"/>
      <c r="Q234" s="4"/>
      <c r="R234" s="4"/>
      <c r="S234" s="4"/>
      <c r="T234" s="4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4"/>
      <c r="AG234" s="3"/>
      <c r="AH234" s="82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82"/>
      <c r="BC234" s="82"/>
      <c r="BD234" s="82"/>
      <c r="BE234" s="82"/>
      <c r="BF234" s="82"/>
      <c r="BG234" s="4"/>
      <c r="BH234" s="4"/>
      <c r="BI234" s="4"/>
      <c r="BJ234" s="4"/>
    </row>
    <row r="235" spans="1:62" ht="12.75" x14ac:dyDescent="0.2">
      <c r="A235" s="64" t="s">
        <v>2</v>
      </c>
      <c r="B235" s="85"/>
      <c r="C235" s="4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4"/>
      <c r="P235" s="4"/>
      <c r="Q235" s="4"/>
      <c r="R235" s="4"/>
      <c r="S235" s="4"/>
      <c r="T235" s="4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4"/>
      <c r="AG235" s="3"/>
      <c r="AH235" s="82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82"/>
      <c r="BC235" s="82"/>
      <c r="BD235" s="82"/>
      <c r="BE235" s="82"/>
      <c r="BF235" s="82"/>
      <c r="BG235" s="4"/>
      <c r="BH235" s="4"/>
      <c r="BI235" s="4"/>
      <c r="BJ235" s="4"/>
    </row>
    <row r="236" spans="1:62" ht="12.75" x14ac:dyDescent="0.2">
      <c r="A236" s="64" t="s">
        <v>2</v>
      </c>
      <c r="B236" s="85"/>
      <c r="C236" s="4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4"/>
      <c r="P236" s="4"/>
      <c r="Q236" s="4"/>
      <c r="R236" s="4"/>
      <c r="S236" s="4"/>
      <c r="T236" s="4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4"/>
      <c r="AG236" s="3"/>
      <c r="AH236" s="82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82"/>
      <c r="BC236" s="82"/>
      <c r="BD236" s="82"/>
      <c r="BE236" s="82"/>
      <c r="BF236" s="82"/>
      <c r="BG236" s="4"/>
      <c r="BH236" s="4"/>
      <c r="BI236" s="4"/>
      <c r="BJ236" s="4"/>
    </row>
    <row r="237" spans="1:62" ht="12.75" x14ac:dyDescent="0.2">
      <c r="A237" s="64" t="s">
        <v>2</v>
      </c>
      <c r="B237" s="85"/>
      <c r="C237" s="4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4"/>
      <c r="P237" s="4"/>
      <c r="Q237" s="4"/>
      <c r="R237" s="4"/>
      <c r="S237" s="4"/>
      <c r="T237" s="4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4"/>
      <c r="AG237" s="3"/>
      <c r="AH237" s="82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82"/>
      <c r="BC237" s="82"/>
      <c r="BD237" s="82"/>
      <c r="BE237" s="82"/>
      <c r="BF237" s="82"/>
      <c r="BG237" s="4"/>
      <c r="BH237" s="4"/>
      <c r="BI237" s="4"/>
      <c r="BJ237" s="4"/>
    </row>
    <row r="238" spans="1:62" ht="12.75" x14ac:dyDescent="0.2">
      <c r="A238" s="64" t="s">
        <v>2</v>
      </c>
      <c r="B238" s="85"/>
      <c r="C238" s="4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4"/>
      <c r="P238" s="4"/>
      <c r="Q238" s="4"/>
      <c r="R238" s="4"/>
      <c r="S238" s="4"/>
      <c r="T238" s="4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4"/>
      <c r="AG238" s="3"/>
      <c r="AH238" s="82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82"/>
      <c r="BC238" s="82"/>
      <c r="BD238" s="82"/>
      <c r="BE238" s="82"/>
      <c r="BF238" s="82"/>
      <c r="BG238" s="4"/>
      <c r="BH238" s="4"/>
      <c r="BI238" s="4"/>
      <c r="BJ238" s="4"/>
    </row>
    <row r="239" spans="1:62" ht="12.75" x14ac:dyDescent="0.2">
      <c r="A239" s="64" t="s">
        <v>2</v>
      </c>
      <c r="B239" s="85"/>
      <c r="C239" s="4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4"/>
      <c r="P239" s="4"/>
      <c r="Q239" s="4"/>
      <c r="R239" s="4"/>
      <c r="S239" s="4"/>
      <c r="T239" s="4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4"/>
      <c r="AG239" s="3"/>
      <c r="AH239" s="82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82"/>
      <c r="BC239" s="82"/>
      <c r="BD239" s="82"/>
      <c r="BE239" s="82"/>
      <c r="BF239" s="82"/>
      <c r="BG239" s="4"/>
      <c r="BH239" s="4"/>
      <c r="BI239" s="4"/>
      <c r="BJ239" s="4"/>
    </row>
    <row r="240" spans="1:62" ht="12.75" x14ac:dyDescent="0.2">
      <c r="A240" s="64" t="s">
        <v>2</v>
      </c>
      <c r="B240" s="85"/>
      <c r="C240" s="4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4"/>
      <c r="P240" s="4"/>
      <c r="Q240" s="4"/>
      <c r="R240" s="4"/>
      <c r="S240" s="4"/>
      <c r="T240" s="4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4"/>
      <c r="AG240" s="3"/>
      <c r="AH240" s="82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82"/>
      <c r="BC240" s="82"/>
      <c r="BD240" s="82"/>
      <c r="BE240" s="82"/>
      <c r="BF240" s="82"/>
      <c r="BG240" s="4"/>
      <c r="BH240" s="4"/>
      <c r="BI240" s="4"/>
      <c r="BJ240" s="4"/>
    </row>
    <row r="241" spans="1:62" ht="12.75" x14ac:dyDescent="0.2">
      <c r="A241" s="64" t="s">
        <v>2</v>
      </c>
      <c r="B241" s="85"/>
      <c r="C241" s="4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4"/>
      <c r="P241" s="4"/>
      <c r="Q241" s="4"/>
      <c r="R241" s="4"/>
      <c r="S241" s="4"/>
      <c r="T241" s="4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4"/>
      <c r="AG241" s="3"/>
      <c r="AH241" s="82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82"/>
      <c r="BC241" s="82"/>
      <c r="BD241" s="82"/>
      <c r="BE241" s="82"/>
      <c r="BF241" s="82"/>
      <c r="BG241" s="4"/>
      <c r="BH241" s="4"/>
      <c r="BI241" s="4"/>
      <c r="BJ241" s="4"/>
    </row>
    <row r="242" spans="1:62" ht="12.75" x14ac:dyDescent="0.2">
      <c r="A242" s="64" t="s">
        <v>2</v>
      </c>
      <c r="B242" s="85"/>
      <c r="C242" s="4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4"/>
      <c r="P242" s="4"/>
      <c r="Q242" s="4"/>
      <c r="R242" s="4"/>
      <c r="S242" s="4"/>
      <c r="T242" s="4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4"/>
      <c r="AG242" s="3"/>
      <c r="AH242" s="82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82"/>
      <c r="BC242" s="82"/>
      <c r="BD242" s="82"/>
      <c r="BE242" s="82"/>
      <c r="BF242" s="82"/>
      <c r="BG242" s="4"/>
      <c r="BH242" s="4"/>
      <c r="BI242" s="4"/>
      <c r="BJ242" s="4"/>
    </row>
    <row r="243" spans="1:62" ht="12.75" x14ac:dyDescent="0.2">
      <c r="A243" s="64" t="s">
        <v>2</v>
      </c>
      <c r="B243" s="85"/>
      <c r="C243" s="4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4"/>
      <c r="P243" s="4"/>
      <c r="Q243" s="4"/>
      <c r="R243" s="4"/>
      <c r="S243" s="4"/>
      <c r="T243" s="4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4"/>
      <c r="AG243" s="3"/>
      <c r="AH243" s="82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82"/>
      <c r="BC243" s="82"/>
      <c r="BD243" s="82"/>
      <c r="BE243" s="82"/>
      <c r="BF243" s="82"/>
      <c r="BG243" s="4"/>
      <c r="BH243" s="4"/>
      <c r="BI243" s="4"/>
      <c r="BJ243" s="4"/>
    </row>
    <row r="244" spans="1:62" ht="12.75" x14ac:dyDescent="0.2">
      <c r="A244" s="64" t="s">
        <v>2</v>
      </c>
      <c r="B244" s="85"/>
      <c r="C244" s="4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4"/>
      <c r="P244" s="4"/>
      <c r="Q244" s="4"/>
      <c r="R244" s="4"/>
      <c r="S244" s="4"/>
      <c r="T244" s="4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4"/>
      <c r="AG244" s="3"/>
      <c r="AH244" s="82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82"/>
      <c r="BC244" s="82"/>
      <c r="BD244" s="82"/>
      <c r="BE244" s="82"/>
      <c r="BF244" s="82"/>
      <c r="BG244" s="4"/>
      <c r="BH244" s="4"/>
      <c r="BI244" s="4"/>
      <c r="BJ244" s="4"/>
    </row>
    <row r="245" spans="1:62" ht="12.75" x14ac:dyDescent="0.2">
      <c r="A245" s="64" t="s">
        <v>2</v>
      </c>
      <c r="B245" s="85"/>
      <c r="C245" s="4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4"/>
      <c r="P245" s="4"/>
      <c r="Q245" s="4"/>
      <c r="R245" s="4"/>
      <c r="S245" s="4"/>
      <c r="T245" s="4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4"/>
      <c r="AG245" s="3"/>
      <c r="AH245" s="82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82"/>
      <c r="BC245" s="82"/>
      <c r="BD245" s="82"/>
      <c r="BE245" s="82"/>
      <c r="BF245" s="82"/>
      <c r="BG245" s="4"/>
      <c r="BH245" s="4"/>
      <c r="BI245" s="4"/>
      <c r="BJ245" s="4"/>
    </row>
    <row r="246" spans="1:62" ht="12.75" x14ac:dyDescent="0.2">
      <c r="A246" s="64" t="s">
        <v>2</v>
      </c>
      <c r="B246" s="85"/>
      <c r="C246" s="4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4"/>
      <c r="P246" s="4"/>
      <c r="Q246" s="4"/>
      <c r="R246" s="4"/>
      <c r="S246" s="4"/>
      <c r="T246" s="4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4"/>
      <c r="AG246" s="3"/>
      <c r="AH246" s="82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82"/>
      <c r="BC246" s="82"/>
      <c r="BD246" s="82"/>
      <c r="BE246" s="82"/>
      <c r="BF246" s="82"/>
      <c r="BG246" s="4"/>
      <c r="BH246" s="4"/>
      <c r="BI246" s="4"/>
      <c r="BJ246" s="4"/>
    </row>
    <row r="247" spans="1:62" ht="12.75" x14ac:dyDescent="0.2">
      <c r="A247" s="64" t="s">
        <v>2</v>
      </c>
      <c r="B247" s="85"/>
      <c r="C247" s="4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4"/>
      <c r="P247" s="4"/>
      <c r="Q247" s="4"/>
      <c r="R247" s="4"/>
      <c r="S247" s="4"/>
      <c r="T247" s="4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4"/>
      <c r="AG247" s="3"/>
      <c r="AH247" s="82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82"/>
      <c r="BC247" s="82"/>
      <c r="BD247" s="82"/>
      <c r="BE247" s="82"/>
      <c r="BF247" s="82"/>
      <c r="BG247" s="4"/>
      <c r="BH247" s="4"/>
      <c r="BI247" s="4"/>
      <c r="BJ247" s="4"/>
    </row>
    <row r="248" spans="1:62" ht="12.75" x14ac:dyDescent="0.2">
      <c r="A248" s="64" t="s">
        <v>2</v>
      </c>
      <c r="B248" s="85"/>
      <c r="C248" s="4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4"/>
      <c r="P248" s="4"/>
      <c r="Q248" s="4"/>
      <c r="R248" s="4"/>
      <c r="S248" s="4"/>
      <c r="T248" s="4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4"/>
      <c r="AG248" s="3"/>
      <c r="AH248" s="82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82"/>
      <c r="BC248" s="82"/>
      <c r="BD248" s="82"/>
      <c r="BE248" s="82"/>
      <c r="BF248" s="82"/>
      <c r="BG248" s="4"/>
      <c r="BH248" s="4"/>
      <c r="BI248" s="4"/>
      <c r="BJ248" s="4"/>
    </row>
    <row r="249" spans="1:62" ht="12.75" x14ac:dyDescent="0.2">
      <c r="A249" s="64" t="s">
        <v>2</v>
      </c>
      <c r="B249" s="85"/>
      <c r="C249" s="4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4"/>
      <c r="P249" s="4"/>
      <c r="Q249" s="4"/>
      <c r="R249" s="4"/>
      <c r="S249" s="4"/>
      <c r="T249" s="4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4"/>
      <c r="AG249" s="3"/>
      <c r="AH249" s="82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82"/>
      <c r="BC249" s="82"/>
      <c r="BD249" s="82"/>
      <c r="BE249" s="82"/>
      <c r="BF249" s="82"/>
      <c r="BG249" s="4"/>
      <c r="BH249" s="4"/>
      <c r="BI249" s="4"/>
      <c r="BJ249" s="4"/>
    </row>
    <row r="250" spans="1:62" ht="12.75" x14ac:dyDescent="0.2">
      <c r="A250" s="64" t="s">
        <v>2</v>
      </c>
      <c r="B250" s="85"/>
      <c r="C250" s="4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4"/>
      <c r="P250" s="4"/>
      <c r="Q250" s="4"/>
      <c r="R250" s="4"/>
      <c r="S250" s="4"/>
      <c r="T250" s="4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4"/>
      <c r="AG250" s="3"/>
      <c r="AH250" s="82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82"/>
      <c r="BC250" s="82"/>
      <c r="BD250" s="82"/>
      <c r="BE250" s="82"/>
      <c r="BF250" s="82"/>
      <c r="BG250" s="4"/>
      <c r="BH250" s="4"/>
      <c r="BI250" s="4"/>
      <c r="BJ250" s="4"/>
    </row>
    <row r="251" spans="1:62" ht="12.75" x14ac:dyDescent="0.2">
      <c r="A251" s="64" t="s">
        <v>2</v>
      </c>
      <c r="B251" s="85"/>
      <c r="C251" s="4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4"/>
      <c r="P251" s="4"/>
      <c r="Q251" s="4"/>
      <c r="R251" s="4"/>
      <c r="S251" s="4"/>
      <c r="T251" s="4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4"/>
      <c r="AG251" s="3"/>
      <c r="AH251" s="82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82"/>
      <c r="BC251" s="82"/>
      <c r="BD251" s="82"/>
      <c r="BE251" s="82"/>
      <c r="BF251" s="82"/>
      <c r="BG251" s="4"/>
      <c r="BH251" s="4"/>
      <c r="BI251" s="4"/>
      <c r="BJ251" s="4"/>
    </row>
    <row r="252" spans="1:62" ht="12.75" x14ac:dyDescent="0.2">
      <c r="A252" s="64" t="s">
        <v>2</v>
      </c>
      <c r="B252" s="85"/>
      <c r="C252" s="4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4"/>
      <c r="P252" s="4"/>
      <c r="Q252" s="4"/>
      <c r="R252" s="4"/>
      <c r="S252" s="4"/>
      <c r="T252" s="4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4"/>
      <c r="AG252" s="3"/>
      <c r="AH252" s="82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82"/>
      <c r="BC252" s="82"/>
      <c r="BD252" s="82"/>
      <c r="BE252" s="82"/>
      <c r="BF252" s="82"/>
      <c r="BG252" s="4"/>
      <c r="BH252" s="4"/>
      <c r="BI252" s="4"/>
      <c r="BJ252" s="4"/>
    </row>
    <row r="253" spans="1:62" ht="12.75" x14ac:dyDescent="0.2">
      <c r="A253" s="64" t="s">
        <v>2</v>
      </c>
      <c r="B253" s="85"/>
      <c r="C253" s="4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4"/>
      <c r="P253" s="4"/>
      <c r="Q253" s="4"/>
      <c r="R253" s="4"/>
      <c r="S253" s="4"/>
      <c r="T253" s="4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4"/>
      <c r="AG253" s="3"/>
      <c r="AH253" s="82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82"/>
      <c r="BC253" s="82"/>
      <c r="BD253" s="82"/>
      <c r="BE253" s="82"/>
      <c r="BF253" s="82"/>
      <c r="BG253" s="4"/>
      <c r="BH253" s="4"/>
      <c r="BI253" s="4"/>
      <c r="BJ253" s="4"/>
    </row>
    <row r="254" spans="1:62" ht="12.75" x14ac:dyDescent="0.2">
      <c r="A254" s="64" t="s">
        <v>2</v>
      </c>
      <c r="B254" s="85"/>
      <c r="C254" s="4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4"/>
      <c r="P254" s="4"/>
      <c r="Q254" s="4"/>
      <c r="R254" s="4"/>
      <c r="S254" s="4"/>
      <c r="T254" s="4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4"/>
      <c r="AG254" s="3"/>
      <c r="AH254" s="82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82"/>
      <c r="BC254" s="82"/>
      <c r="BD254" s="82"/>
      <c r="BE254" s="82"/>
      <c r="BF254" s="82"/>
      <c r="BG254" s="4"/>
      <c r="BH254" s="4"/>
      <c r="BI254" s="4"/>
      <c r="BJ254" s="4"/>
    </row>
    <row r="255" spans="1:62" ht="12.75" x14ac:dyDescent="0.2">
      <c r="A255" s="64" t="s">
        <v>2</v>
      </c>
      <c r="B255" s="85"/>
      <c r="C255" s="4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4"/>
      <c r="P255" s="4"/>
      <c r="Q255" s="4"/>
      <c r="R255" s="4"/>
      <c r="S255" s="4"/>
      <c r="T255" s="4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4"/>
      <c r="AG255" s="3"/>
      <c r="AH255" s="82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82"/>
      <c r="BC255" s="82"/>
      <c r="BD255" s="82"/>
      <c r="BE255" s="82"/>
      <c r="BF255" s="82"/>
      <c r="BG255" s="4"/>
      <c r="BH255" s="4"/>
      <c r="BI255" s="4"/>
      <c r="BJ255" s="4"/>
    </row>
    <row r="256" spans="1:62" ht="12.75" x14ac:dyDescent="0.2">
      <c r="A256" s="64" t="s">
        <v>2</v>
      </c>
      <c r="B256" s="85"/>
      <c r="C256" s="4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4"/>
      <c r="P256" s="4"/>
      <c r="Q256" s="4"/>
      <c r="R256" s="4"/>
      <c r="S256" s="4"/>
      <c r="T256" s="4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4"/>
      <c r="AG256" s="3"/>
      <c r="AH256" s="82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82"/>
      <c r="BC256" s="82"/>
      <c r="BD256" s="82"/>
      <c r="BE256" s="82"/>
      <c r="BF256" s="82"/>
      <c r="BG256" s="4"/>
      <c r="BH256" s="4"/>
      <c r="BI256" s="4"/>
      <c r="BJ256" s="4"/>
    </row>
    <row r="257" spans="1:62" ht="12.75" x14ac:dyDescent="0.2">
      <c r="A257" s="63" t="s">
        <v>2</v>
      </c>
      <c r="B257" s="85"/>
      <c r="C257" s="4"/>
      <c r="D257" s="83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4"/>
      <c r="P257" s="4"/>
      <c r="Q257" s="4"/>
      <c r="R257" s="4"/>
      <c r="S257" s="4"/>
      <c r="T257" s="4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4"/>
      <c r="AG257" s="3"/>
      <c r="AH257" s="82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82"/>
      <c r="BC257" s="82"/>
      <c r="BD257" s="82"/>
      <c r="BE257" s="82"/>
      <c r="BF257" s="82"/>
      <c r="BG257" s="4"/>
      <c r="BH257" s="4"/>
      <c r="BI257" s="4"/>
      <c r="BJ257" s="4"/>
    </row>
    <row r="258" spans="1:62" ht="12.75" x14ac:dyDescent="0.2">
      <c r="A258" s="63"/>
      <c r="B258" s="85"/>
      <c r="C258" s="4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4"/>
      <c r="P258" s="4"/>
      <c r="Q258" s="4"/>
      <c r="R258" s="4"/>
      <c r="S258" s="4"/>
      <c r="T258" s="4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4"/>
      <c r="AG258" s="3"/>
      <c r="AH258" s="82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82"/>
      <c r="BC258" s="82"/>
      <c r="BD258" s="82"/>
      <c r="BE258" s="82"/>
      <c r="BF258" s="82"/>
      <c r="BG258" s="4"/>
      <c r="BH258" s="4"/>
      <c r="BI258" s="4"/>
      <c r="BJ258" s="4"/>
    </row>
    <row r="259" spans="1:62" ht="12.75" x14ac:dyDescent="0.2">
      <c r="A259" s="63"/>
      <c r="B259" s="85"/>
      <c r="C259" s="4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4"/>
      <c r="P259" s="4"/>
      <c r="Q259" s="4"/>
      <c r="R259" s="4"/>
      <c r="S259" s="4"/>
      <c r="T259" s="4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4"/>
      <c r="AG259" s="3"/>
      <c r="AH259" s="82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82"/>
      <c r="BC259" s="82"/>
      <c r="BD259" s="82"/>
      <c r="BE259" s="82"/>
      <c r="BF259" s="82"/>
      <c r="BG259" s="4"/>
      <c r="BH259" s="4"/>
      <c r="BI259" s="4"/>
      <c r="BJ259" s="4"/>
    </row>
    <row r="260" spans="1:62" ht="12.75" x14ac:dyDescent="0.2">
      <c r="A260" s="63"/>
      <c r="B260" s="85"/>
      <c r="C260" s="4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4"/>
      <c r="P260" s="4"/>
      <c r="Q260" s="4"/>
      <c r="R260" s="4"/>
      <c r="S260" s="4"/>
      <c r="T260" s="4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4"/>
      <c r="AG260" s="3"/>
      <c r="AH260" s="82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82"/>
      <c r="BC260" s="82"/>
      <c r="BD260" s="82"/>
      <c r="BE260" s="82"/>
      <c r="BF260" s="82"/>
      <c r="BG260" s="4"/>
      <c r="BH260" s="4"/>
      <c r="BI260" s="4"/>
      <c r="BJ260" s="4"/>
    </row>
    <row r="261" spans="1:62" ht="12.75" x14ac:dyDescent="0.2">
      <c r="A261" s="63"/>
      <c r="B261" s="85"/>
      <c r="C261" s="4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4"/>
      <c r="P261" s="4"/>
      <c r="Q261" s="4"/>
      <c r="R261" s="4"/>
      <c r="S261" s="4"/>
      <c r="T261" s="4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4"/>
      <c r="AG261" s="3"/>
      <c r="AH261" s="82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82"/>
      <c r="BC261" s="82"/>
      <c r="BD261" s="82"/>
      <c r="BE261" s="82"/>
      <c r="BF261" s="82"/>
      <c r="BG261" s="4"/>
      <c r="BH261" s="4"/>
      <c r="BI261" s="4"/>
      <c r="BJ261" s="4"/>
    </row>
    <row r="262" spans="1:62" ht="12.75" x14ac:dyDescent="0.2">
      <c r="A262" s="63"/>
      <c r="B262" s="85"/>
      <c r="C262" s="4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4"/>
      <c r="P262" s="4"/>
      <c r="Q262" s="4"/>
      <c r="R262" s="4"/>
      <c r="S262" s="4"/>
      <c r="T262" s="4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4"/>
      <c r="AG262" s="3"/>
      <c r="AH262" s="82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82"/>
      <c r="BC262" s="82"/>
      <c r="BD262" s="82"/>
      <c r="BE262" s="82"/>
      <c r="BF262" s="82"/>
      <c r="BG262" s="4"/>
      <c r="BH262" s="4"/>
      <c r="BI262" s="4"/>
      <c r="BJ262" s="4"/>
    </row>
    <row r="263" spans="1:62" ht="12.75" x14ac:dyDescent="0.2">
      <c r="A263" s="63"/>
      <c r="B263" s="85"/>
      <c r="C263" s="4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4"/>
      <c r="P263" s="4"/>
      <c r="Q263" s="4"/>
      <c r="R263" s="4"/>
      <c r="S263" s="4"/>
      <c r="T263" s="4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4"/>
      <c r="AG263" s="3"/>
      <c r="AH263" s="82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82"/>
      <c r="BC263" s="82"/>
      <c r="BD263" s="82"/>
      <c r="BE263" s="82"/>
      <c r="BF263" s="82"/>
      <c r="BG263" s="4"/>
      <c r="BH263" s="4"/>
      <c r="BI263" s="4"/>
      <c r="BJ263" s="4"/>
    </row>
    <row r="264" spans="1:62" ht="12.75" x14ac:dyDescent="0.2">
      <c r="A264" s="63"/>
      <c r="B264" s="85"/>
      <c r="C264" s="4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4"/>
      <c r="P264" s="4"/>
      <c r="Q264" s="4"/>
      <c r="R264" s="4"/>
      <c r="S264" s="4"/>
      <c r="T264" s="4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4"/>
      <c r="AG264" s="3"/>
      <c r="AH264" s="82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82"/>
      <c r="BC264" s="82"/>
      <c r="BD264" s="82"/>
      <c r="BE264" s="82"/>
      <c r="BF264" s="82"/>
      <c r="BG264" s="4"/>
      <c r="BH264" s="4"/>
      <c r="BI264" s="4"/>
      <c r="BJ264" s="4"/>
    </row>
    <row r="265" spans="1:62" ht="12.75" x14ac:dyDescent="0.2">
      <c r="A265" s="63"/>
      <c r="B265" s="85"/>
      <c r="C265" s="4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4"/>
      <c r="P265" s="4"/>
      <c r="Q265" s="4"/>
      <c r="R265" s="4"/>
      <c r="S265" s="4"/>
      <c r="T265" s="4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4"/>
      <c r="AG265" s="3"/>
      <c r="AH265" s="82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82"/>
      <c r="BC265" s="82"/>
      <c r="BD265" s="82"/>
      <c r="BE265" s="82"/>
      <c r="BF265" s="82"/>
      <c r="BG265" s="4"/>
      <c r="BH265" s="4"/>
      <c r="BI265" s="4"/>
      <c r="BJ265" s="4"/>
    </row>
    <row r="266" spans="1:62" ht="12.75" x14ac:dyDescent="0.2">
      <c r="A266" s="63"/>
      <c r="B266" s="85"/>
      <c r="C266" s="4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4"/>
      <c r="P266" s="4"/>
      <c r="Q266" s="4"/>
      <c r="R266" s="4"/>
      <c r="S266" s="4"/>
      <c r="T266" s="4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4"/>
      <c r="AG266" s="3"/>
      <c r="AH266" s="82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82"/>
      <c r="BC266" s="82"/>
      <c r="BD266" s="82"/>
      <c r="BE266" s="82"/>
      <c r="BF266" s="82"/>
      <c r="BG266" s="4"/>
      <c r="BH266" s="4"/>
      <c r="BI266" s="4"/>
      <c r="BJ266" s="4"/>
    </row>
    <row r="267" spans="1:62" ht="12.75" x14ac:dyDescent="0.2">
      <c r="A267" s="63"/>
      <c r="B267" s="85"/>
      <c r="C267" s="4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4"/>
      <c r="P267" s="4"/>
      <c r="Q267" s="4"/>
      <c r="R267" s="4"/>
      <c r="S267" s="4"/>
      <c r="T267" s="4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4"/>
      <c r="AG267" s="3"/>
      <c r="AH267" s="82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82"/>
      <c r="BC267" s="82"/>
      <c r="BD267" s="82"/>
      <c r="BE267" s="82"/>
      <c r="BF267" s="82"/>
      <c r="BG267" s="4"/>
      <c r="BH267" s="4"/>
      <c r="BI267" s="4"/>
      <c r="BJ267" s="4"/>
    </row>
    <row r="268" spans="1:62" ht="12.75" x14ac:dyDescent="0.2">
      <c r="A268" s="63"/>
      <c r="B268" s="85"/>
      <c r="C268" s="4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4"/>
      <c r="P268" s="4"/>
      <c r="Q268" s="4"/>
      <c r="R268" s="4"/>
      <c r="S268" s="4"/>
      <c r="T268" s="4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4"/>
      <c r="AG268" s="3"/>
      <c r="AH268" s="82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82"/>
      <c r="BC268" s="82"/>
      <c r="BD268" s="82"/>
      <c r="BE268" s="82"/>
      <c r="BF268" s="82"/>
      <c r="BG268" s="4"/>
      <c r="BH268" s="4"/>
      <c r="BI268" s="4"/>
      <c r="BJ268" s="4"/>
    </row>
    <row r="269" spans="1:62" ht="12.75" x14ac:dyDescent="0.2">
      <c r="A269" s="63"/>
      <c r="B269" s="85"/>
      <c r="C269" s="4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4"/>
      <c r="P269" s="4"/>
      <c r="Q269" s="4"/>
      <c r="R269" s="4"/>
      <c r="S269" s="4"/>
      <c r="T269" s="4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4"/>
      <c r="AG269" s="3"/>
      <c r="AH269" s="82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82"/>
      <c r="BC269" s="82"/>
      <c r="BD269" s="82"/>
      <c r="BE269" s="82"/>
      <c r="BF269" s="82"/>
      <c r="BG269" s="4"/>
      <c r="BH269" s="4"/>
      <c r="BI269" s="4"/>
      <c r="BJ269" s="4"/>
    </row>
    <row r="270" spans="1:62" ht="12.75" x14ac:dyDescent="0.2">
      <c r="A270" s="63"/>
      <c r="B270" s="85"/>
      <c r="C270" s="4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4"/>
      <c r="P270" s="4"/>
      <c r="Q270" s="4"/>
      <c r="R270" s="4"/>
      <c r="S270" s="4"/>
      <c r="T270" s="4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4"/>
      <c r="AG270" s="3"/>
      <c r="AH270" s="82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82"/>
      <c r="BC270" s="82"/>
      <c r="BD270" s="82"/>
      <c r="BE270" s="82"/>
      <c r="BF270" s="82"/>
      <c r="BG270" s="4"/>
      <c r="BH270" s="4"/>
      <c r="BI270" s="4"/>
      <c r="BJ270" s="4"/>
    </row>
    <row r="271" spans="1:62" ht="12.75" x14ac:dyDescent="0.2">
      <c r="A271" s="63"/>
      <c r="B271" s="85"/>
      <c r="C271" s="4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4"/>
      <c r="P271" s="4"/>
      <c r="Q271" s="4"/>
      <c r="R271" s="4"/>
      <c r="S271" s="4"/>
      <c r="T271" s="4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4"/>
      <c r="AG271" s="3"/>
      <c r="AH271" s="82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82"/>
      <c r="BC271" s="82"/>
      <c r="BD271" s="82"/>
      <c r="BE271" s="82"/>
      <c r="BF271" s="82"/>
      <c r="BG271" s="4"/>
      <c r="BH271" s="4"/>
      <c r="BI271" s="4"/>
      <c r="BJ271" s="4"/>
    </row>
    <row r="272" spans="1:62" ht="12.75" x14ac:dyDescent="0.2">
      <c r="A272" s="63"/>
      <c r="B272" s="85"/>
      <c r="C272" s="4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4"/>
      <c r="P272" s="4"/>
      <c r="Q272" s="4"/>
      <c r="R272" s="4"/>
      <c r="S272" s="4"/>
      <c r="T272" s="4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4"/>
      <c r="AG272" s="3"/>
      <c r="AH272" s="82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82"/>
      <c r="BC272" s="82"/>
      <c r="BD272" s="82"/>
      <c r="BE272" s="82"/>
      <c r="BF272" s="82"/>
      <c r="BG272" s="4"/>
      <c r="BH272" s="4"/>
      <c r="BI272" s="4"/>
      <c r="BJ272" s="4"/>
    </row>
    <row r="273" spans="1:62" ht="12.75" x14ac:dyDescent="0.2">
      <c r="A273" s="63"/>
      <c r="B273" s="85"/>
      <c r="C273" s="4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4"/>
      <c r="P273" s="4"/>
      <c r="Q273" s="4"/>
      <c r="R273" s="4"/>
      <c r="S273" s="4"/>
      <c r="T273" s="4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4"/>
      <c r="AG273" s="3"/>
      <c r="AH273" s="82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82"/>
      <c r="BC273" s="82"/>
      <c r="BD273" s="82"/>
      <c r="BE273" s="82"/>
      <c r="BF273" s="82"/>
      <c r="BG273" s="4"/>
      <c r="BH273" s="4"/>
      <c r="BI273" s="4"/>
      <c r="BJ273" s="4"/>
    </row>
    <row r="274" spans="1:62" ht="12.75" x14ac:dyDescent="0.2">
      <c r="A274" s="63"/>
      <c r="B274" s="85"/>
      <c r="C274" s="4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4"/>
      <c r="P274" s="4"/>
      <c r="Q274" s="4"/>
      <c r="R274" s="4"/>
      <c r="S274" s="4"/>
      <c r="T274" s="4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4"/>
      <c r="AG274" s="3"/>
      <c r="AH274" s="82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82"/>
      <c r="BC274" s="82"/>
      <c r="BD274" s="82"/>
      <c r="BE274" s="82"/>
      <c r="BF274" s="82"/>
      <c r="BG274" s="4"/>
      <c r="BH274" s="4"/>
      <c r="BI274" s="4"/>
      <c r="BJ274" s="4"/>
    </row>
    <row r="275" spans="1:62" ht="12.75" x14ac:dyDescent="0.2">
      <c r="A275" s="63"/>
      <c r="B275" s="85"/>
      <c r="C275" s="4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4"/>
      <c r="P275" s="4"/>
      <c r="Q275" s="4"/>
      <c r="R275" s="4"/>
      <c r="S275" s="4"/>
      <c r="T275" s="4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4"/>
      <c r="AG275" s="3"/>
      <c r="AH275" s="82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82"/>
      <c r="BC275" s="82"/>
      <c r="BD275" s="82"/>
      <c r="BE275" s="82"/>
      <c r="BF275" s="82"/>
      <c r="BG275" s="4"/>
      <c r="BH275" s="4"/>
      <c r="BI275" s="4"/>
      <c r="BJ275" s="4"/>
    </row>
    <row r="276" spans="1:62" ht="12.75" x14ac:dyDescent="0.2">
      <c r="A276" s="63"/>
      <c r="B276" s="85"/>
      <c r="C276" s="4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4"/>
      <c r="P276" s="4"/>
      <c r="Q276" s="4"/>
      <c r="R276" s="4"/>
      <c r="S276" s="4"/>
      <c r="T276" s="4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4"/>
      <c r="AG276" s="3"/>
      <c r="AH276" s="82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82"/>
      <c r="BC276" s="82"/>
      <c r="BD276" s="82"/>
      <c r="BE276" s="82"/>
      <c r="BF276" s="82"/>
      <c r="BG276" s="4"/>
      <c r="BH276" s="4"/>
      <c r="BI276" s="4"/>
      <c r="BJ276" s="4"/>
    </row>
    <row r="277" spans="1:62" ht="12.75" x14ac:dyDescent="0.2">
      <c r="A277" s="63"/>
      <c r="B277" s="85"/>
      <c r="C277" s="4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4"/>
      <c r="P277" s="4"/>
      <c r="Q277" s="4"/>
      <c r="R277" s="4"/>
      <c r="S277" s="4"/>
      <c r="T277" s="4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4"/>
      <c r="AG277" s="3"/>
      <c r="AH277" s="82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82"/>
      <c r="BC277" s="82"/>
      <c r="BD277" s="82"/>
      <c r="BE277" s="82"/>
      <c r="BF277" s="82"/>
      <c r="BG277" s="4"/>
      <c r="BH277" s="4"/>
      <c r="BI277" s="4"/>
      <c r="BJ277" s="4"/>
    </row>
    <row r="278" spans="1:62" ht="12.75" x14ac:dyDescent="0.2">
      <c r="A278" s="63"/>
      <c r="B278" s="85"/>
      <c r="C278" s="4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4"/>
      <c r="P278" s="4"/>
      <c r="Q278" s="4"/>
      <c r="R278" s="4"/>
      <c r="S278" s="4"/>
      <c r="T278" s="4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4"/>
      <c r="AG278" s="3"/>
      <c r="AH278" s="82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82"/>
      <c r="BC278" s="82"/>
      <c r="BD278" s="82"/>
      <c r="BE278" s="82"/>
      <c r="BF278" s="82"/>
      <c r="BG278" s="4"/>
      <c r="BH278" s="4"/>
      <c r="BI278" s="4"/>
      <c r="BJ278" s="4"/>
    </row>
    <row r="279" spans="1:62" ht="12.75" x14ac:dyDescent="0.2">
      <c r="A279" s="63"/>
      <c r="B279" s="85"/>
      <c r="C279" s="4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4"/>
      <c r="P279" s="4"/>
      <c r="Q279" s="4"/>
      <c r="R279" s="4"/>
      <c r="S279" s="4"/>
      <c r="T279" s="4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4"/>
      <c r="AG279" s="3"/>
      <c r="AH279" s="82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82"/>
      <c r="BC279" s="82"/>
      <c r="BD279" s="82"/>
      <c r="BE279" s="82"/>
      <c r="BF279" s="82"/>
      <c r="BG279" s="4"/>
      <c r="BH279" s="4"/>
      <c r="BI279" s="4"/>
      <c r="BJ279" s="4"/>
    </row>
    <row r="280" spans="1:62" ht="12.75" x14ac:dyDescent="0.2">
      <c r="A280" s="63"/>
      <c r="B280" s="85"/>
      <c r="C280" s="4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4"/>
      <c r="P280" s="4"/>
      <c r="Q280" s="4"/>
      <c r="R280" s="4"/>
      <c r="S280" s="4"/>
      <c r="T280" s="4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4"/>
      <c r="AG280" s="3"/>
      <c r="AH280" s="82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82"/>
      <c r="BC280" s="82"/>
      <c r="BD280" s="82"/>
      <c r="BE280" s="82"/>
      <c r="BF280" s="82"/>
      <c r="BG280" s="4"/>
      <c r="BH280" s="4"/>
      <c r="BI280" s="4"/>
      <c r="BJ280" s="4"/>
    </row>
    <row r="281" spans="1:62" ht="12.75" x14ac:dyDescent="0.2">
      <c r="A281" s="63"/>
      <c r="B281" s="85"/>
      <c r="C281" s="4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4"/>
      <c r="P281" s="4"/>
      <c r="Q281" s="4"/>
      <c r="R281" s="4"/>
      <c r="S281" s="4"/>
      <c r="T281" s="4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4"/>
      <c r="AG281" s="3"/>
      <c r="AH281" s="82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82"/>
      <c r="BC281" s="82"/>
      <c r="BD281" s="82"/>
      <c r="BE281" s="82"/>
      <c r="BF281" s="82"/>
      <c r="BG281" s="4"/>
      <c r="BH281" s="4"/>
      <c r="BI281" s="4"/>
      <c r="BJ281" s="4"/>
    </row>
    <row r="282" spans="1:62" ht="12.75" x14ac:dyDescent="0.2">
      <c r="A282" s="63"/>
      <c r="B282" s="85"/>
      <c r="C282" s="4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4"/>
      <c r="P282" s="4"/>
      <c r="Q282" s="4"/>
      <c r="R282" s="4"/>
      <c r="S282" s="4"/>
      <c r="T282" s="4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4"/>
      <c r="AG282" s="3"/>
      <c r="AH282" s="82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82"/>
      <c r="BC282" s="82"/>
      <c r="BD282" s="82"/>
      <c r="BE282" s="82"/>
      <c r="BF282" s="82"/>
      <c r="BG282" s="4"/>
      <c r="BH282" s="4"/>
      <c r="BI282" s="4"/>
      <c r="BJ282" s="4"/>
    </row>
    <row r="283" spans="1:62" ht="12.75" x14ac:dyDescent="0.2">
      <c r="A283" s="63"/>
      <c r="B283" s="85"/>
      <c r="C283" s="4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4"/>
      <c r="P283" s="4"/>
      <c r="Q283" s="4"/>
      <c r="R283" s="4"/>
      <c r="S283" s="4"/>
      <c r="T283" s="4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4"/>
      <c r="AG283" s="3"/>
      <c r="AH283" s="82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82"/>
      <c r="BC283" s="82"/>
      <c r="BD283" s="82"/>
      <c r="BE283" s="82"/>
      <c r="BF283" s="82"/>
      <c r="BG283" s="4"/>
      <c r="BH283" s="4"/>
      <c r="BI283" s="4"/>
      <c r="BJ283" s="4"/>
    </row>
    <row r="284" spans="1:62" ht="12.75" x14ac:dyDescent="0.2">
      <c r="A284" s="63"/>
      <c r="B284" s="85"/>
      <c r="C284" s="4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4"/>
      <c r="P284" s="4"/>
      <c r="Q284" s="4"/>
      <c r="R284" s="4"/>
      <c r="S284" s="4"/>
      <c r="T284" s="4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4"/>
      <c r="AG284" s="3"/>
      <c r="AH284" s="82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82"/>
      <c r="BC284" s="82"/>
      <c r="BD284" s="82"/>
      <c r="BE284" s="82"/>
      <c r="BF284" s="82"/>
      <c r="BG284" s="4"/>
      <c r="BH284" s="4"/>
      <c r="BI284" s="4"/>
      <c r="BJ284" s="4"/>
    </row>
    <row r="285" spans="1:62" ht="12.75" x14ac:dyDescent="0.2">
      <c r="A285" s="63"/>
      <c r="B285" s="85"/>
      <c r="C285" s="4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4"/>
      <c r="P285" s="4"/>
      <c r="Q285" s="4"/>
      <c r="R285" s="4"/>
      <c r="S285" s="4"/>
      <c r="T285" s="4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4"/>
      <c r="AG285" s="3"/>
      <c r="AH285" s="82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82"/>
      <c r="BC285" s="82"/>
      <c r="BD285" s="82"/>
      <c r="BE285" s="82"/>
      <c r="BF285" s="82"/>
      <c r="BG285" s="4"/>
      <c r="BH285" s="4"/>
      <c r="BI285" s="4"/>
      <c r="BJ285" s="4"/>
    </row>
    <row r="286" spans="1:62" ht="12.75" x14ac:dyDescent="0.2">
      <c r="A286" s="63"/>
      <c r="B286" s="85"/>
      <c r="C286" s="4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4"/>
      <c r="P286" s="4"/>
      <c r="Q286" s="4"/>
      <c r="R286" s="4"/>
      <c r="S286" s="4"/>
      <c r="T286" s="4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4"/>
      <c r="AG286" s="3"/>
      <c r="AH286" s="82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82"/>
      <c r="BC286" s="82"/>
      <c r="BD286" s="82"/>
      <c r="BE286" s="82"/>
      <c r="BF286" s="82"/>
      <c r="BG286" s="4"/>
      <c r="BH286" s="4"/>
      <c r="BI286" s="4"/>
      <c r="BJ286" s="4"/>
    </row>
    <row r="287" spans="1:62" ht="12.75" x14ac:dyDescent="0.2">
      <c r="A287" s="63"/>
      <c r="B287" s="85"/>
      <c r="C287" s="4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4"/>
      <c r="P287" s="4"/>
      <c r="Q287" s="4"/>
      <c r="R287" s="4"/>
      <c r="S287" s="4"/>
      <c r="T287" s="4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4"/>
      <c r="AG287" s="3"/>
      <c r="AH287" s="82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82"/>
      <c r="BC287" s="82"/>
      <c r="BD287" s="82"/>
      <c r="BE287" s="82"/>
      <c r="BF287" s="82"/>
      <c r="BG287" s="4"/>
      <c r="BH287" s="4"/>
      <c r="BI287" s="4"/>
      <c r="BJ287" s="4"/>
    </row>
    <row r="288" spans="1:62" ht="12.75" x14ac:dyDescent="0.2">
      <c r="A288" s="63"/>
      <c r="B288" s="85"/>
      <c r="C288" s="4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4"/>
      <c r="P288" s="4"/>
      <c r="Q288" s="4"/>
      <c r="R288" s="4"/>
      <c r="S288" s="4"/>
      <c r="T288" s="4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4"/>
      <c r="AG288" s="3"/>
      <c r="AH288" s="82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82"/>
      <c r="BC288" s="82"/>
      <c r="BD288" s="82"/>
      <c r="BE288" s="82"/>
      <c r="BF288" s="82"/>
      <c r="BG288" s="4"/>
      <c r="BH288" s="4"/>
      <c r="BI288" s="4"/>
      <c r="BJ288" s="4"/>
    </row>
    <row r="289" spans="1:62" ht="12.75" x14ac:dyDescent="0.2">
      <c r="A289" s="63"/>
      <c r="B289" s="85"/>
      <c r="C289" s="4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4"/>
      <c r="P289" s="4"/>
      <c r="Q289" s="4"/>
      <c r="R289" s="4"/>
      <c r="S289" s="4"/>
      <c r="T289" s="4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4"/>
      <c r="AG289" s="3"/>
      <c r="AH289" s="82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82"/>
      <c r="BC289" s="82"/>
      <c r="BD289" s="82"/>
      <c r="BE289" s="82"/>
      <c r="BF289" s="82"/>
      <c r="BG289" s="4"/>
      <c r="BH289" s="4"/>
      <c r="BI289" s="4"/>
      <c r="BJ289" s="4"/>
    </row>
    <row r="290" spans="1:62" ht="12.75" x14ac:dyDescent="0.2">
      <c r="A290" s="63"/>
      <c r="B290" s="85"/>
      <c r="C290" s="4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4"/>
      <c r="P290" s="4"/>
      <c r="Q290" s="4"/>
      <c r="R290" s="4"/>
      <c r="S290" s="4"/>
      <c r="T290" s="4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4"/>
      <c r="AG290" s="3"/>
      <c r="AH290" s="82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82"/>
      <c r="BC290" s="82"/>
      <c r="BD290" s="82"/>
      <c r="BE290" s="82"/>
      <c r="BF290" s="82"/>
      <c r="BG290" s="4"/>
      <c r="BH290" s="4"/>
      <c r="BI290" s="4"/>
      <c r="BJ290" s="4"/>
    </row>
    <row r="291" spans="1:62" ht="12.75" x14ac:dyDescent="0.2">
      <c r="A291" s="63"/>
      <c r="B291" s="85"/>
      <c r="C291" s="4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4"/>
      <c r="P291" s="4"/>
      <c r="Q291" s="4"/>
      <c r="R291" s="4"/>
      <c r="S291" s="4"/>
      <c r="T291" s="4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4"/>
      <c r="AG291" s="3"/>
      <c r="AH291" s="82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82"/>
      <c r="BC291" s="82"/>
      <c r="BD291" s="82"/>
      <c r="BE291" s="82"/>
      <c r="BF291" s="82"/>
      <c r="BG291" s="4"/>
      <c r="BH291" s="4"/>
      <c r="BI291" s="4"/>
      <c r="BJ291" s="4"/>
    </row>
    <row r="292" spans="1:62" ht="12.75" x14ac:dyDescent="0.2">
      <c r="A292" s="63"/>
      <c r="B292" s="85"/>
      <c r="C292" s="4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4"/>
      <c r="P292" s="4"/>
      <c r="Q292" s="4"/>
      <c r="R292" s="4"/>
      <c r="S292" s="4"/>
      <c r="T292" s="4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4"/>
      <c r="AG292" s="3"/>
      <c r="AH292" s="82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82"/>
      <c r="BC292" s="82"/>
      <c r="BD292" s="82"/>
      <c r="BE292" s="82"/>
      <c r="BF292" s="82"/>
      <c r="BG292" s="4"/>
      <c r="BH292" s="4"/>
      <c r="BI292" s="4"/>
      <c r="BJ292" s="4"/>
    </row>
    <row r="293" spans="1:62" ht="12.75" x14ac:dyDescent="0.2">
      <c r="A293" s="63"/>
      <c r="B293" s="85"/>
      <c r="C293" s="4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4"/>
      <c r="P293" s="4"/>
      <c r="Q293" s="4"/>
      <c r="R293" s="4"/>
      <c r="S293" s="4"/>
      <c r="T293" s="4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4"/>
      <c r="AG293" s="3"/>
      <c r="AH293" s="82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82"/>
      <c r="BC293" s="82"/>
      <c r="BD293" s="82"/>
      <c r="BE293" s="82"/>
      <c r="BF293" s="82"/>
      <c r="BG293" s="4"/>
      <c r="BH293" s="4"/>
      <c r="BI293" s="4"/>
      <c r="BJ293" s="4"/>
    </row>
    <row r="294" spans="1:62" ht="12.75" x14ac:dyDescent="0.2">
      <c r="A294" s="63"/>
      <c r="B294" s="85"/>
      <c r="C294" s="4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4"/>
      <c r="P294" s="4"/>
      <c r="Q294" s="4"/>
      <c r="R294" s="4"/>
      <c r="S294" s="4"/>
      <c r="T294" s="4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4"/>
      <c r="AG294" s="3"/>
      <c r="AH294" s="82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82"/>
      <c r="BC294" s="82"/>
      <c r="BD294" s="82"/>
      <c r="BE294" s="82"/>
      <c r="BF294" s="82"/>
      <c r="BG294" s="4"/>
      <c r="BH294" s="4"/>
      <c r="BI294" s="4"/>
      <c r="BJ294" s="4"/>
    </row>
    <row r="295" spans="1:62" ht="12.75" x14ac:dyDescent="0.2">
      <c r="A295" s="63"/>
      <c r="B295" s="85"/>
      <c r="C295" s="4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4"/>
      <c r="P295" s="4"/>
      <c r="Q295" s="4"/>
      <c r="R295" s="4"/>
      <c r="S295" s="4"/>
      <c r="T295" s="4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4"/>
      <c r="AG295" s="3"/>
      <c r="AH295" s="82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82"/>
      <c r="BC295" s="82"/>
      <c r="BD295" s="82"/>
      <c r="BE295" s="82"/>
      <c r="BF295" s="82"/>
      <c r="BG295" s="4"/>
      <c r="BH295" s="4"/>
      <c r="BI295" s="4"/>
      <c r="BJ295" s="4"/>
    </row>
    <row r="296" spans="1:62" ht="12.75" x14ac:dyDescent="0.2">
      <c r="A296" s="63"/>
      <c r="B296" s="85"/>
      <c r="C296" s="4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4"/>
      <c r="P296" s="4"/>
      <c r="Q296" s="4"/>
      <c r="R296" s="4"/>
      <c r="S296" s="4"/>
      <c r="T296" s="4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4"/>
      <c r="AG296" s="3"/>
      <c r="AH296" s="82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82"/>
      <c r="BC296" s="82"/>
      <c r="BD296" s="82"/>
      <c r="BE296" s="82"/>
      <c r="BF296" s="82"/>
      <c r="BG296" s="4"/>
      <c r="BH296" s="4"/>
      <c r="BI296" s="4"/>
      <c r="BJ296" s="4"/>
    </row>
    <row r="297" spans="1:62" ht="12.75" x14ac:dyDescent="0.2">
      <c r="A297" s="63"/>
      <c r="B297" s="85"/>
      <c r="C297" s="4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4"/>
      <c r="P297" s="4"/>
      <c r="Q297" s="4"/>
      <c r="R297" s="4"/>
      <c r="S297" s="4"/>
      <c r="T297" s="4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4"/>
      <c r="AG297" s="3"/>
      <c r="AH297" s="82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82"/>
      <c r="BC297" s="82"/>
      <c r="BD297" s="82"/>
      <c r="BE297" s="82"/>
      <c r="BF297" s="82"/>
      <c r="BG297" s="4"/>
      <c r="BH297" s="4"/>
      <c r="BI297" s="4"/>
      <c r="BJ297" s="4"/>
    </row>
    <row r="298" spans="1:62" ht="12.75" x14ac:dyDescent="0.2">
      <c r="A298" s="63"/>
      <c r="B298" s="85"/>
      <c r="C298" s="4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4"/>
      <c r="P298" s="4"/>
      <c r="Q298" s="4"/>
      <c r="R298" s="4"/>
      <c r="S298" s="4"/>
      <c r="T298" s="4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4"/>
      <c r="AG298" s="3"/>
      <c r="AH298" s="82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82"/>
      <c r="BC298" s="82"/>
      <c r="BD298" s="82"/>
      <c r="BE298" s="82"/>
      <c r="BF298" s="82"/>
      <c r="BG298" s="4"/>
      <c r="BH298" s="4"/>
      <c r="BI298" s="4"/>
      <c r="BJ298" s="4"/>
    </row>
    <row r="299" spans="1:62" ht="12.75" x14ac:dyDescent="0.2">
      <c r="A299" s="63"/>
      <c r="B299" s="85"/>
      <c r="C299" s="4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4"/>
      <c r="P299" s="4"/>
      <c r="Q299" s="4"/>
      <c r="R299" s="4"/>
      <c r="S299" s="4"/>
      <c r="T299" s="4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4"/>
      <c r="AG299" s="3"/>
      <c r="AH299" s="82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82"/>
      <c r="BC299" s="82"/>
      <c r="BD299" s="82"/>
      <c r="BE299" s="82"/>
      <c r="BF299" s="82"/>
      <c r="BG299" s="4"/>
      <c r="BH299" s="4"/>
      <c r="BI299" s="4"/>
      <c r="BJ299" s="4"/>
    </row>
    <row r="300" spans="1:62" ht="12.75" x14ac:dyDescent="0.2">
      <c r="A300" s="63"/>
      <c r="B300" s="85"/>
      <c r="C300" s="4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4"/>
      <c r="P300" s="4"/>
      <c r="Q300" s="4"/>
      <c r="R300" s="4"/>
      <c r="S300" s="4"/>
      <c r="T300" s="4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4"/>
      <c r="AG300" s="3"/>
      <c r="AH300" s="82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82"/>
      <c r="BC300" s="82"/>
      <c r="BD300" s="82"/>
      <c r="BE300" s="82"/>
      <c r="BF300" s="82"/>
      <c r="BG300" s="4"/>
      <c r="BH300" s="4"/>
      <c r="BI300" s="4"/>
      <c r="BJ300" s="4"/>
    </row>
    <row r="301" spans="1:62" ht="12.75" x14ac:dyDescent="0.2">
      <c r="A301" s="63"/>
      <c r="B301" s="85"/>
      <c r="C301" s="4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4"/>
      <c r="P301" s="4"/>
      <c r="Q301" s="4"/>
      <c r="R301" s="4"/>
      <c r="S301" s="4"/>
      <c r="T301" s="4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4"/>
      <c r="AG301" s="3"/>
      <c r="AH301" s="82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82"/>
      <c r="BC301" s="82"/>
      <c r="BD301" s="82"/>
      <c r="BE301" s="82"/>
      <c r="BF301" s="82"/>
      <c r="BG301" s="4"/>
      <c r="BH301" s="4"/>
      <c r="BI301" s="4"/>
      <c r="BJ301" s="4"/>
    </row>
    <row r="302" spans="1:62" ht="12.75" x14ac:dyDescent="0.2">
      <c r="A302" s="63"/>
      <c r="B302" s="85"/>
      <c r="C302" s="4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4"/>
      <c r="P302" s="4"/>
      <c r="Q302" s="4"/>
      <c r="R302" s="4"/>
      <c r="S302" s="4"/>
      <c r="T302" s="4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4"/>
      <c r="AG302" s="3"/>
      <c r="AH302" s="82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82"/>
      <c r="BC302" s="82"/>
      <c r="BD302" s="82"/>
      <c r="BE302" s="82"/>
      <c r="BF302" s="82"/>
      <c r="BG302" s="4"/>
      <c r="BH302" s="4"/>
      <c r="BI302" s="4"/>
      <c r="BJ302" s="4"/>
    </row>
    <row r="303" spans="1:62" ht="12.75" x14ac:dyDescent="0.2">
      <c r="A303" s="63"/>
      <c r="B303" s="85"/>
      <c r="C303" s="4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4"/>
      <c r="P303" s="4"/>
      <c r="Q303" s="4"/>
      <c r="R303" s="4"/>
      <c r="S303" s="4"/>
      <c r="T303" s="4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4"/>
      <c r="AG303" s="3"/>
      <c r="AH303" s="82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82"/>
      <c r="BC303" s="82"/>
      <c r="BD303" s="82"/>
      <c r="BE303" s="82"/>
      <c r="BF303" s="82"/>
      <c r="BG303" s="4"/>
      <c r="BH303" s="4"/>
      <c r="BI303" s="4"/>
      <c r="BJ303" s="4"/>
    </row>
    <row r="304" spans="1:62" ht="12.75" x14ac:dyDescent="0.2">
      <c r="A304" s="63"/>
      <c r="B304" s="85"/>
      <c r="C304" s="4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4"/>
      <c r="P304" s="4"/>
      <c r="Q304" s="4"/>
      <c r="R304" s="4"/>
      <c r="S304" s="4"/>
      <c r="T304" s="4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4"/>
      <c r="AG304" s="3"/>
      <c r="AH304" s="82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82"/>
      <c r="BC304" s="82"/>
      <c r="BD304" s="82"/>
      <c r="BE304" s="82"/>
      <c r="BF304" s="82"/>
      <c r="BG304" s="4"/>
      <c r="BH304" s="4"/>
      <c r="BI304" s="4"/>
      <c r="BJ304" s="4"/>
    </row>
    <row r="305" spans="1:62" ht="12.75" x14ac:dyDescent="0.2">
      <c r="A305" s="63"/>
      <c r="B305" s="85"/>
      <c r="C305" s="4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4"/>
      <c r="P305" s="4"/>
      <c r="Q305" s="4"/>
      <c r="R305" s="4"/>
      <c r="S305" s="4"/>
      <c r="T305" s="4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4"/>
      <c r="AG305" s="3"/>
      <c r="AH305" s="82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82"/>
      <c r="BC305" s="82"/>
      <c r="BD305" s="82"/>
      <c r="BE305" s="82"/>
      <c r="BF305" s="82"/>
      <c r="BG305" s="4"/>
      <c r="BH305" s="4"/>
      <c r="BI305" s="4"/>
      <c r="BJ305" s="4"/>
    </row>
    <row r="306" spans="1:62" ht="12.75" x14ac:dyDescent="0.2">
      <c r="A306" s="63"/>
      <c r="B306" s="85"/>
      <c r="C306" s="4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4"/>
      <c r="P306" s="4"/>
      <c r="Q306" s="4"/>
      <c r="R306" s="4"/>
      <c r="S306" s="4"/>
      <c r="T306" s="4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4"/>
      <c r="AG306" s="3"/>
      <c r="AH306" s="82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82"/>
      <c r="BC306" s="82"/>
      <c r="BD306" s="82"/>
      <c r="BE306" s="82"/>
      <c r="BF306" s="82"/>
      <c r="BG306" s="4"/>
      <c r="BH306" s="4"/>
      <c r="BI306" s="4"/>
      <c r="BJ306" s="4"/>
    </row>
    <row r="307" spans="1:62" ht="12.75" x14ac:dyDescent="0.2">
      <c r="A307" s="63"/>
      <c r="B307" s="85"/>
      <c r="C307" s="4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4"/>
      <c r="P307" s="4"/>
      <c r="Q307" s="4"/>
      <c r="R307" s="4"/>
      <c r="S307" s="4"/>
      <c r="T307" s="4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4"/>
      <c r="AG307" s="3"/>
      <c r="AH307" s="82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82"/>
      <c r="BC307" s="82"/>
      <c r="BD307" s="82"/>
      <c r="BE307" s="82"/>
      <c r="BF307" s="82"/>
      <c r="BG307" s="4"/>
      <c r="BH307" s="4"/>
      <c r="BI307" s="4"/>
      <c r="BJ307" s="4"/>
    </row>
    <row r="308" spans="1:62" ht="12.75" x14ac:dyDescent="0.2">
      <c r="A308" s="63"/>
      <c r="B308" s="85"/>
      <c r="C308" s="4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4"/>
      <c r="P308" s="4"/>
      <c r="Q308" s="4"/>
      <c r="R308" s="4"/>
      <c r="S308" s="4"/>
      <c r="T308" s="4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4"/>
      <c r="AG308" s="3"/>
      <c r="AH308" s="82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82"/>
      <c r="BC308" s="82"/>
      <c r="BD308" s="82"/>
      <c r="BE308" s="82"/>
      <c r="BF308" s="82"/>
      <c r="BG308" s="4"/>
      <c r="BH308" s="4"/>
      <c r="BI308" s="4"/>
      <c r="BJ308" s="4"/>
    </row>
    <row r="309" spans="1:62" ht="12.75" x14ac:dyDescent="0.2">
      <c r="A309" s="63"/>
      <c r="B309" s="85"/>
      <c r="C309" s="4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4"/>
      <c r="P309" s="4"/>
      <c r="Q309" s="4"/>
      <c r="R309" s="4"/>
      <c r="S309" s="4"/>
      <c r="T309" s="4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4"/>
      <c r="AG309" s="3"/>
      <c r="AH309" s="82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82"/>
      <c r="BC309" s="82"/>
      <c r="BD309" s="82"/>
      <c r="BE309" s="82"/>
      <c r="BF309" s="82"/>
      <c r="BG309" s="4"/>
      <c r="BH309" s="4"/>
      <c r="BI309" s="4"/>
      <c r="BJ309" s="4"/>
    </row>
    <row r="310" spans="1:62" ht="12.75" x14ac:dyDescent="0.2">
      <c r="A310" s="63"/>
      <c r="B310" s="85"/>
      <c r="C310" s="4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4"/>
      <c r="P310" s="4"/>
      <c r="Q310" s="4"/>
      <c r="R310" s="4"/>
      <c r="S310" s="4"/>
      <c r="T310" s="4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4"/>
      <c r="AG310" s="3"/>
      <c r="AH310" s="82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82"/>
      <c r="BC310" s="82"/>
      <c r="BD310" s="82"/>
      <c r="BE310" s="82"/>
      <c r="BF310" s="82"/>
      <c r="BG310" s="4"/>
      <c r="BH310" s="4"/>
      <c r="BI310" s="4"/>
      <c r="BJ310" s="4"/>
    </row>
    <row r="311" spans="1:62" ht="12.75" x14ac:dyDescent="0.2">
      <c r="A311" s="63"/>
      <c r="B311" s="85"/>
      <c r="C311" s="4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4"/>
      <c r="P311" s="4"/>
      <c r="Q311" s="4"/>
      <c r="R311" s="4"/>
      <c r="S311" s="4"/>
      <c r="T311" s="4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4"/>
      <c r="AG311" s="3"/>
      <c r="AH311" s="82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82"/>
      <c r="BC311" s="82"/>
      <c r="BD311" s="82"/>
      <c r="BE311" s="82"/>
      <c r="BF311" s="82"/>
      <c r="BG311" s="4"/>
      <c r="BH311" s="4"/>
      <c r="BI311" s="4"/>
      <c r="BJ311" s="4"/>
    </row>
    <row r="312" spans="1:62" ht="12.75" x14ac:dyDescent="0.2">
      <c r="A312" s="63"/>
      <c r="B312" s="85"/>
      <c r="C312" s="4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4"/>
      <c r="P312" s="4"/>
      <c r="Q312" s="4"/>
      <c r="R312" s="4"/>
      <c r="S312" s="4"/>
      <c r="T312" s="4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4"/>
      <c r="AG312" s="3"/>
      <c r="AH312" s="82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82"/>
      <c r="BC312" s="82"/>
      <c r="BD312" s="82"/>
      <c r="BE312" s="82"/>
      <c r="BF312" s="82"/>
      <c r="BG312" s="4"/>
      <c r="BH312" s="4"/>
      <c r="BI312" s="4"/>
      <c r="BJ312" s="4"/>
    </row>
    <row r="313" spans="1:62" ht="12.75" x14ac:dyDescent="0.2">
      <c r="A313" s="63"/>
      <c r="B313" s="85"/>
      <c r="C313" s="4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4"/>
      <c r="P313" s="4"/>
      <c r="Q313" s="4"/>
      <c r="R313" s="4"/>
      <c r="S313" s="4"/>
      <c r="T313" s="4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4"/>
      <c r="AG313" s="3"/>
      <c r="AH313" s="82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82"/>
      <c r="BC313" s="82"/>
      <c r="BD313" s="82"/>
      <c r="BE313" s="82"/>
      <c r="BF313" s="82"/>
      <c r="BG313" s="4"/>
      <c r="BH313" s="4"/>
      <c r="BI313" s="4"/>
      <c r="BJ313" s="4"/>
    </row>
    <row r="314" spans="1:62" ht="12.75" x14ac:dyDescent="0.2">
      <c r="A314" s="63"/>
      <c r="B314" s="85"/>
      <c r="C314" s="4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4"/>
      <c r="P314" s="4"/>
      <c r="Q314" s="4"/>
      <c r="R314" s="4"/>
      <c r="S314" s="4"/>
      <c r="T314" s="4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4"/>
      <c r="AG314" s="3"/>
      <c r="AH314" s="82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82"/>
      <c r="BC314" s="82"/>
      <c r="BD314" s="82"/>
      <c r="BE314" s="82"/>
      <c r="BF314" s="82"/>
      <c r="BG314" s="4"/>
      <c r="BH314" s="4"/>
      <c r="BI314" s="4"/>
      <c r="BJ314" s="4"/>
    </row>
    <row r="315" spans="1:62" ht="12.75" x14ac:dyDescent="0.2">
      <c r="A315" s="63"/>
      <c r="B315" s="85"/>
      <c r="C315" s="4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4"/>
      <c r="P315" s="4"/>
      <c r="Q315" s="4"/>
      <c r="R315" s="4"/>
      <c r="S315" s="4"/>
      <c r="T315" s="4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4"/>
      <c r="AG315" s="3"/>
      <c r="AH315" s="82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82"/>
      <c r="BC315" s="82"/>
      <c r="BD315" s="82"/>
      <c r="BE315" s="82"/>
      <c r="BF315" s="82"/>
      <c r="BG315" s="4"/>
      <c r="BH315" s="4"/>
      <c r="BI315" s="4"/>
      <c r="BJ315" s="4"/>
    </row>
    <row r="316" spans="1:62" ht="12.75" x14ac:dyDescent="0.2">
      <c r="A316" s="63"/>
      <c r="B316" s="85"/>
      <c r="C316" s="4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4"/>
      <c r="P316" s="4"/>
      <c r="Q316" s="4"/>
      <c r="R316" s="4"/>
      <c r="S316" s="4"/>
      <c r="T316" s="4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4"/>
      <c r="AG316" s="3"/>
      <c r="AH316" s="82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82"/>
      <c r="BC316" s="82"/>
      <c r="BD316" s="82"/>
      <c r="BE316" s="82"/>
      <c r="BF316" s="82"/>
      <c r="BG316" s="4"/>
      <c r="BH316" s="4"/>
      <c r="BI316" s="4"/>
      <c r="BJ316" s="4"/>
    </row>
    <row r="317" spans="1:62" ht="12.75" x14ac:dyDescent="0.2">
      <c r="A317" s="63"/>
      <c r="B317" s="85"/>
      <c r="C317" s="4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4"/>
      <c r="P317" s="4"/>
      <c r="Q317" s="4"/>
      <c r="R317" s="4"/>
      <c r="S317" s="4"/>
      <c r="T317" s="4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4"/>
      <c r="AG317" s="3"/>
      <c r="AH317" s="82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82"/>
      <c r="BC317" s="82"/>
      <c r="BD317" s="82"/>
      <c r="BE317" s="82"/>
      <c r="BF317" s="82"/>
      <c r="BG317" s="4"/>
      <c r="BH317" s="4"/>
      <c r="BI317" s="4"/>
      <c r="BJ317" s="4"/>
    </row>
    <row r="318" spans="1:62" ht="12.75" x14ac:dyDescent="0.2">
      <c r="A318" s="63"/>
      <c r="B318" s="85"/>
      <c r="C318" s="4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4"/>
      <c r="P318" s="4"/>
      <c r="Q318" s="4"/>
      <c r="R318" s="4"/>
      <c r="S318" s="4"/>
      <c r="T318" s="4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4"/>
      <c r="AG318" s="3"/>
      <c r="AH318" s="82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82"/>
      <c r="BC318" s="82"/>
      <c r="BD318" s="82"/>
      <c r="BE318" s="82"/>
      <c r="BF318" s="82"/>
      <c r="BG318" s="4"/>
      <c r="BH318" s="4"/>
      <c r="BI318" s="4"/>
      <c r="BJ318" s="4"/>
    </row>
    <row r="319" spans="1:62" ht="12.75" x14ac:dyDescent="0.2">
      <c r="A319" s="63"/>
      <c r="B319" s="85"/>
      <c r="C319" s="4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4"/>
      <c r="P319" s="4"/>
      <c r="Q319" s="4"/>
      <c r="R319" s="4"/>
      <c r="S319" s="4"/>
      <c r="T319" s="4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4"/>
      <c r="AG319" s="3"/>
      <c r="AH319" s="82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82"/>
      <c r="BC319" s="82"/>
      <c r="BD319" s="82"/>
      <c r="BE319" s="82"/>
      <c r="BF319" s="82"/>
      <c r="BG319" s="4"/>
      <c r="BH319" s="4"/>
      <c r="BI319" s="4"/>
      <c r="BJ319" s="4"/>
    </row>
    <row r="320" spans="1:62" ht="12.75" x14ac:dyDescent="0.2">
      <c r="A320" s="63"/>
      <c r="B320" s="85"/>
      <c r="C320" s="4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4"/>
      <c r="P320" s="4"/>
      <c r="Q320" s="4"/>
      <c r="R320" s="4"/>
      <c r="S320" s="4"/>
      <c r="T320" s="4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4"/>
      <c r="AG320" s="3"/>
      <c r="AH320" s="82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82"/>
      <c r="BC320" s="82"/>
      <c r="BD320" s="82"/>
      <c r="BE320" s="82"/>
      <c r="BF320" s="82"/>
      <c r="BG320" s="4"/>
      <c r="BH320" s="4"/>
      <c r="BI320" s="4"/>
      <c r="BJ320" s="4"/>
    </row>
    <row r="321" spans="1:62" ht="12.75" x14ac:dyDescent="0.2">
      <c r="A321" s="63"/>
      <c r="B321" s="85"/>
      <c r="C321" s="4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4"/>
      <c r="P321" s="4"/>
      <c r="Q321" s="4"/>
      <c r="R321" s="4"/>
      <c r="S321" s="4"/>
      <c r="T321" s="4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4"/>
      <c r="AG321" s="3"/>
      <c r="AH321" s="82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82"/>
      <c r="BC321" s="82"/>
      <c r="BD321" s="82"/>
      <c r="BE321" s="82"/>
      <c r="BF321" s="82"/>
      <c r="BG321" s="4"/>
      <c r="BH321" s="4"/>
      <c r="BI321" s="4"/>
      <c r="BJ321" s="4"/>
    </row>
    <row r="322" spans="1:62" ht="12.75" x14ac:dyDescent="0.2">
      <c r="A322" s="63"/>
      <c r="B322" s="85"/>
      <c r="C322" s="4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4"/>
      <c r="P322" s="4"/>
      <c r="Q322" s="4"/>
      <c r="R322" s="4"/>
      <c r="S322" s="4"/>
      <c r="T322" s="4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4"/>
      <c r="AG322" s="3"/>
      <c r="AH322" s="82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82"/>
      <c r="BC322" s="82"/>
      <c r="BD322" s="82"/>
      <c r="BE322" s="82"/>
      <c r="BF322" s="82"/>
      <c r="BG322" s="4"/>
      <c r="BH322" s="4"/>
      <c r="BI322" s="4"/>
      <c r="BJ322" s="4"/>
    </row>
    <row r="323" spans="1:62" ht="12.75" x14ac:dyDescent="0.2">
      <c r="A323" s="63"/>
      <c r="B323" s="85"/>
      <c r="C323" s="4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4"/>
      <c r="P323" s="4"/>
      <c r="Q323" s="4"/>
      <c r="R323" s="4"/>
      <c r="S323" s="4"/>
      <c r="T323" s="4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4"/>
      <c r="AG323" s="3"/>
      <c r="AH323" s="82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82"/>
      <c r="BC323" s="82"/>
      <c r="BD323" s="82"/>
      <c r="BE323" s="82"/>
      <c r="BF323" s="82"/>
      <c r="BG323" s="4"/>
      <c r="BH323" s="4"/>
      <c r="BI323" s="4"/>
      <c r="BJ323" s="4"/>
    </row>
    <row r="324" spans="1:62" ht="12.75" x14ac:dyDescent="0.2">
      <c r="A324" s="63"/>
      <c r="B324" s="85"/>
      <c r="C324" s="4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4"/>
      <c r="P324" s="4"/>
      <c r="Q324" s="4"/>
      <c r="R324" s="4"/>
      <c r="S324" s="4"/>
      <c r="T324" s="4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4"/>
      <c r="AG324" s="3"/>
      <c r="AH324" s="82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82"/>
      <c r="BC324" s="82"/>
      <c r="BD324" s="82"/>
      <c r="BE324" s="82"/>
      <c r="BF324" s="82"/>
      <c r="BG324" s="4"/>
      <c r="BH324" s="4"/>
      <c r="BI324" s="4"/>
      <c r="BJ324" s="4"/>
    </row>
    <row r="325" spans="1:62" ht="12.75" x14ac:dyDescent="0.2">
      <c r="A325" s="63"/>
      <c r="B325" s="85"/>
      <c r="C325" s="4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4"/>
      <c r="P325" s="4"/>
      <c r="Q325" s="4"/>
      <c r="R325" s="4"/>
      <c r="S325" s="4"/>
      <c r="T325" s="4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4"/>
      <c r="AG325" s="3"/>
      <c r="AH325" s="82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82"/>
      <c r="BC325" s="82"/>
      <c r="BD325" s="82"/>
      <c r="BE325" s="82"/>
      <c r="BF325" s="82"/>
      <c r="BG325" s="4"/>
      <c r="BH325" s="4"/>
      <c r="BI325" s="4"/>
      <c r="BJ325" s="4"/>
    </row>
    <row r="326" spans="1:62" ht="12.75" x14ac:dyDescent="0.2">
      <c r="A326" s="63"/>
      <c r="B326" s="85"/>
      <c r="C326" s="4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4"/>
      <c r="P326" s="4"/>
      <c r="Q326" s="4"/>
      <c r="R326" s="4"/>
      <c r="S326" s="4"/>
      <c r="T326" s="4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4"/>
      <c r="AG326" s="3"/>
      <c r="AH326" s="82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82"/>
      <c r="BC326" s="82"/>
      <c r="BD326" s="82"/>
      <c r="BE326" s="82"/>
      <c r="BF326" s="82"/>
      <c r="BG326" s="4"/>
      <c r="BH326" s="4"/>
      <c r="BI326" s="4"/>
      <c r="BJ326" s="4"/>
    </row>
    <row r="327" spans="1:62" ht="12.75" x14ac:dyDescent="0.2">
      <c r="A327" s="63"/>
      <c r="B327" s="85"/>
      <c r="C327" s="4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4"/>
      <c r="P327" s="4"/>
      <c r="Q327" s="4"/>
      <c r="R327" s="4"/>
      <c r="S327" s="4"/>
      <c r="T327" s="4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4"/>
      <c r="AG327" s="3"/>
      <c r="AH327" s="82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82"/>
      <c r="BC327" s="82"/>
      <c r="BD327" s="82"/>
      <c r="BE327" s="82"/>
      <c r="BF327" s="82"/>
      <c r="BG327" s="4"/>
      <c r="BH327" s="4"/>
      <c r="BI327" s="4"/>
      <c r="BJ327" s="4"/>
    </row>
    <row r="328" spans="1:62" ht="12.75" x14ac:dyDescent="0.2">
      <c r="A328" s="63"/>
      <c r="B328" s="85"/>
      <c r="C328" s="4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4"/>
      <c r="P328" s="4"/>
      <c r="Q328" s="4"/>
      <c r="R328" s="4"/>
      <c r="S328" s="4"/>
      <c r="T328" s="4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4"/>
      <c r="AG328" s="3"/>
      <c r="AH328" s="82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82"/>
      <c r="BC328" s="82"/>
      <c r="BD328" s="82"/>
      <c r="BE328" s="82"/>
      <c r="BF328" s="82"/>
      <c r="BG328" s="4"/>
      <c r="BH328" s="4"/>
      <c r="BI328" s="4"/>
      <c r="BJ328" s="4"/>
    </row>
    <row r="329" spans="1:62" ht="12.75" x14ac:dyDescent="0.2">
      <c r="A329" s="63"/>
      <c r="B329" s="85"/>
      <c r="C329" s="4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4"/>
      <c r="P329" s="4"/>
      <c r="Q329" s="4"/>
      <c r="R329" s="4"/>
      <c r="S329" s="4"/>
      <c r="T329" s="4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4"/>
      <c r="AG329" s="3"/>
      <c r="AH329" s="82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82"/>
      <c r="BC329" s="82"/>
      <c r="BD329" s="82"/>
      <c r="BE329" s="82"/>
      <c r="BF329" s="82"/>
      <c r="BG329" s="4"/>
      <c r="BH329" s="4"/>
      <c r="BI329" s="4"/>
      <c r="BJ329" s="4"/>
    </row>
    <row r="330" spans="1:62" ht="12.75" x14ac:dyDescent="0.2">
      <c r="A330" s="63"/>
      <c r="B330" s="85"/>
      <c r="C330" s="4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4"/>
      <c r="P330" s="4"/>
      <c r="Q330" s="4"/>
      <c r="R330" s="4"/>
      <c r="S330" s="4"/>
      <c r="T330" s="4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4"/>
      <c r="AG330" s="3"/>
      <c r="AH330" s="82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82"/>
      <c r="BC330" s="82"/>
      <c r="BD330" s="82"/>
      <c r="BE330" s="82"/>
      <c r="BF330" s="82"/>
      <c r="BG330" s="4"/>
      <c r="BH330" s="4"/>
      <c r="BI330" s="4"/>
      <c r="BJ330" s="4"/>
    </row>
    <row r="331" spans="1:62" ht="12.75" x14ac:dyDescent="0.2">
      <c r="A331" s="63"/>
      <c r="B331" s="85"/>
      <c r="C331" s="4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4"/>
      <c r="P331" s="4"/>
      <c r="Q331" s="4"/>
      <c r="R331" s="4"/>
      <c r="S331" s="4"/>
      <c r="T331" s="4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4"/>
      <c r="AG331" s="3"/>
      <c r="AH331" s="82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82"/>
      <c r="BC331" s="82"/>
      <c r="BD331" s="82"/>
      <c r="BE331" s="82"/>
      <c r="BF331" s="82"/>
      <c r="BG331" s="4"/>
      <c r="BH331" s="4"/>
      <c r="BI331" s="4"/>
      <c r="BJ331" s="4"/>
    </row>
    <row r="332" spans="1:62" ht="12.75" x14ac:dyDescent="0.2">
      <c r="A332" s="63"/>
      <c r="B332" s="85"/>
      <c r="C332" s="4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4"/>
      <c r="P332" s="4"/>
      <c r="Q332" s="4"/>
      <c r="R332" s="4"/>
      <c r="S332" s="4"/>
      <c r="T332" s="4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4"/>
      <c r="AG332" s="3"/>
      <c r="AH332" s="82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82"/>
      <c r="BC332" s="82"/>
      <c r="BD332" s="82"/>
      <c r="BE332" s="82"/>
      <c r="BF332" s="82"/>
      <c r="BG332" s="4"/>
      <c r="BH332" s="4"/>
      <c r="BI332" s="4"/>
      <c r="BJ332" s="4"/>
    </row>
    <row r="333" spans="1:62" ht="12.75" x14ac:dyDescent="0.2">
      <c r="A333" s="63"/>
      <c r="B333" s="85"/>
      <c r="C333" s="4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4"/>
      <c r="P333" s="4"/>
      <c r="Q333" s="4"/>
      <c r="R333" s="4"/>
      <c r="S333" s="4"/>
      <c r="T333" s="4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4"/>
      <c r="AG333" s="3"/>
      <c r="AH333" s="82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82"/>
      <c r="BC333" s="82"/>
      <c r="BD333" s="82"/>
      <c r="BE333" s="82"/>
      <c r="BF333" s="82"/>
      <c r="BG333" s="4"/>
      <c r="BH333" s="4"/>
      <c r="BI333" s="4"/>
      <c r="BJ333" s="4"/>
    </row>
    <row r="334" spans="1:62" ht="12.75" x14ac:dyDescent="0.2">
      <c r="A334" s="63"/>
      <c r="B334" s="85"/>
      <c r="C334" s="4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4"/>
      <c r="P334" s="4"/>
      <c r="Q334" s="4"/>
      <c r="R334" s="4"/>
      <c r="S334" s="4"/>
      <c r="T334" s="4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4"/>
      <c r="AG334" s="3"/>
      <c r="AH334" s="82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82"/>
      <c r="BC334" s="82"/>
      <c r="BD334" s="82"/>
      <c r="BE334" s="82"/>
      <c r="BF334" s="82"/>
      <c r="BG334" s="4"/>
      <c r="BH334" s="4"/>
      <c r="BI334" s="4"/>
      <c r="BJ334" s="4"/>
    </row>
    <row r="335" spans="1:62" ht="12.75" x14ac:dyDescent="0.2">
      <c r="A335" s="63"/>
      <c r="B335" s="85"/>
      <c r="C335" s="4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4"/>
      <c r="P335" s="4"/>
      <c r="Q335" s="4"/>
      <c r="R335" s="4"/>
      <c r="S335" s="4"/>
      <c r="T335" s="4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4"/>
      <c r="AG335" s="3"/>
      <c r="AH335" s="82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82"/>
      <c r="BC335" s="82"/>
      <c r="BD335" s="82"/>
      <c r="BE335" s="82"/>
      <c r="BF335" s="82"/>
      <c r="BG335" s="4"/>
      <c r="BH335" s="4"/>
      <c r="BI335" s="4"/>
      <c r="BJ335" s="4"/>
    </row>
    <row r="336" spans="1:62" ht="12.75" x14ac:dyDescent="0.2">
      <c r="A336" s="63"/>
      <c r="B336" s="85"/>
      <c r="C336" s="4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4"/>
      <c r="P336" s="4"/>
      <c r="Q336" s="4"/>
      <c r="R336" s="4"/>
      <c r="S336" s="4"/>
      <c r="T336" s="4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4"/>
      <c r="AG336" s="3"/>
      <c r="AH336" s="82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82"/>
      <c r="BC336" s="82"/>
      <c r="BD336" s="82"/>
      <c r="BE336" s="82"/>
      <c r="BF336" s="82"/>
      <c r="BG336" s="4"/>
      <c r="BH336" s="4"/>
      <c r="BI336" s="4"/>
      <c r="BJ336" s="4"/>
    </row>
    <row r="337" spans="1:62" ht="12.75" x14ac:dyDescent="0.2">
      <c r="A337" s="63"/>
      <c r="B337" s="85"/>
      <c r="C337" s="4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4"/>
      <c r="P337" s="4"/>
      <c r="Q337" s="4"/>
      <c r="R337" s="4"/>
      <c r="S337" s="4"/>
      <c r="T337" s="4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4"/>
      <c r="AG337" s="3"/>
      <c r="AH337" s="82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82"/>
      <c r="BC337" s="82"/>
      <c r="BD337" s="82"/>
      <c r="BE337" s="82"/>
      <c r="BF337" s="82"/>
      <c r="BG337" s="4"/>
      <c r="BH337" s="4"/>
      <c r="BI337" s="4"/>
      <c r="BJ337" s="4"/>
    </row>
    <row r="338" spans="1:62" ht="12.75" x14ac:dyDescent="0.2">
      <c r="A338" s="63"/>
      <c r="B338" s="85"/>
      <c r="C338" s="4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4"/>
      <c r="P338" s="4"/>
      <c r="Q338" s="4"/>
      <c r="R338" s="4"/>
      <c r="S338" s="4"/>
      <c r="T338" s="4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4"/>
      <c r="AG338" s="3"/>
      <c r="AH338" s="82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82"/>
      <c r="BC338" s="82"/>
      <c r="BD338" s="82"/>
      <c r="BE338" s="82"/>
      <c r="BF338" s="82"/>
      <c r="BG338" s="4"/>
      <c r="BH338" s="4"/>
      <c r="BI338" s="4"/>
      <c r="BJ338" s="4"/>
    </row>
    <row r="339" spans="1:62" ht="12.75" x14ac:dyDescent="0.2">
      <c r="A339" s="63"/>
      <c r="B339" s="85"/>
      <c r="C339" s="4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4"/>
      <c r="P339" s="4"/>
      <c r="Q339" s="4"/>
      <c r="R339" s="4"/>
      <c r="S339" s="4"/>
      <c r="T339" s="4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4"/>
      <c r="AG339" s="3"/>
      <c r="AH339" s="82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82"/>
      <c r="BC339" s="82"/>
      <c r="BD339" s="82"/>
      <c r="BE339" s="82"/>
      <c r="BF339" s="82"/>
      <c r="BG339" s="4"/>
      <c r="BH339" s="4"/>
      <c r="BI339" s="4"/>
      <c r="BJ339" s="4"/>
    </row>
    <row r="340" spans="1:62" ht="12.75" x14ac:dyDescent="0.2">
      <c r="A340" s="63"/>
      <c r="B340" s="85"/>
      <c r="C340" s="4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4"/>
      <c r="P340" s="4"/>
      <c r="Q340" s="4"/>
      <c r="R340" s="4"/>
      <c r="S340" s="4"/>
      <c r="T340" s="4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4"/>
      <c r="AG340" s="3"/>
      <c r="AH340" s="82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82"/>
      <c r="BC340" s="82"/>
      <c r="BD340" s="82"/>
      <c r="BE340" s="82"/>
      <c r="BF340" s="82"/>
      <c r="BG340" s="4"/>
      <c r="BH340" s="4"/>
      <c r="BI340" s="4"/>
      <c r="BJ340" s="4"/>
    </row>
    <row r="341" spans="1:62" ht="12.75" x14ac:dyDescent="0.2">
      <c r="A341" s="63"/>
      <c r="B341" s="85"/>
      <c r="C341" s="4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4"/>
      <c r="P341" s="4"/>
      <c r="Q341" s="4"/>
      <c r="R341" s="4"/>
      <c r="S341" s="4"/>
      <c r="T341" s="4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4"/>
      <c r="AG341" s="3"/>
      <c r="AH341" s="82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82"/>
      <c r="BC341" s="82"/>
      <c r="BD341" s="82"/>
      <c r="BE341" s="82"/>
      <c r="BF341" s="82"/>
      <c r="BG341" s="4"/>
      <c r="BH341" s="4"/>
      <c r="BI341" s="4"/>
      <c r="BJ341" s="4"/>
    </row>
    <row r="342" spans="1:62" ht="12.75" x14ac:dyDescent="0.2">
      <c r="A342" s="63"/>
      <c r="B342" s="85"/>
      <c r="C342" s="4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4"/>
      <c r="P342" s="4"/>
      <c r="Q342" s="4"/>
      <c r="R342" s="4"/>
      <c r="S342" s="4"/>
      <c r="T342" s="4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4"/>
      <c r="AG342" s="3"/>
      <c r="AH342" s="82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82"/>
      <c r="BC342" s="82"/>
      <c r="BD342" s="82"/>
      <c r="BE342" s="82"/>
      <c r="BF342" s="82"/>
      <c r="BG342" s="4"/>
      <c r="BH342" s="4"/>
      <c r="BI342" s="4"/>
      <c r="BJ342" s="4"/>
    </row>
    <row r="343" spans="1:62" ht="12.75" x14ac:dyDescent="0.2">
      <c r="A343" s="63"/>
      <c r="B343" s="85"/>
      <c r="C343" s="4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4"/>
      <c r="P343" s="4"/>
      <c r="Q343" s="4"/>
      <c r="R343" s="4"/>
      <c r="S343" s="4"/>
      <c r="T343" s="4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4"/>
      <c r="AG343" s="3"/>
      <c r="AH343" s="82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82"/>
      <c r="BC343" s="82"/>
      <c r="BD343" s="82"/>
      <c r="BE343" s="82"/>
      <c r="BF343" s="82"/>
      <c r="BG343" s="4"/>
      <c r="BH343" s="4"/>
      <c r="BI343" s="4"/>
      <c r="BJ343" s="4"/>
    </row>
    <row r="344" spans="1:62" ht="12.75" x14ac:dyDescent="0.2">
      <c r="A344" s="63"/>
      <c r="B344" s="85"/>
      <c r="C344" s="4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4"/>
      <c r="P344" s="4"/>
      <c r="Q344" s="4"/>
      <c r="R344" s="4"/>
      <c r="S344" s="4"/>
      <c r="T344" s="4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4"/>
      <c r="AG344" s="3"/>
      <c r="AH344" s="82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82"/>
      <c r="BC344" s="82"/>
      <c r="BD344" s="82"/>
      <c r="BE344" s="82"/>
      <c r="BF344" s="82"/>
      <c r="BG344" s="4"/>
      <c r="BH344" s="4"/>
      <c r="BI344" s="4"/>
      <c r="BJ344" s="4"/>
    </row>
    <row r="345" spans="1:62" ht="12.75" x14ac:dyDescent="0.2">
      <c r="A345" s="63"/>
      <c r="B345" s="85"/>
      <c r="C345" s="4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4"/>
      <c r="P345" s="4"/>
      <c r="Q345" s="4"/>
      <c r="R345" s="4"/>
      <c r="S345" s="4"/>
      <c r="T345" s="4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4"/>
      <c r="AG345" s="3"/>
      <c r="AH345" s="82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82"/>
      <c r="BC345" s="82"/>
      <c r="BD345" s="82"/>
      <c r="BE345" s="82"/>
      <c r="BF345" s="82"/>
      <c r="BG345" s="4"/>
      <c r="BH345" s="4"/>
      <c r="BI345" s="4"/>
      <c r="BJ345" s="4"/>
    </row>
    <row r="346" spans="1:62" ht="12.75" x14ac:dyDescent="0.2">
      <c r="A346" s="63"/>
      <c r="B346" s="85"/>
      <c r="C346" s="4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4"/>
      <c r="P346" s="4"/>
      <c r="Q346" s="4"/>
      <c r="R346" s="4"/>
      <c r="S346" s="4"/>
      <c r="T346" s="4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4"/>
      <c r="AG346" s="3"/>
      <c r="AH346" s="82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82"/>
      <c r="BC346" s="82"/>
      <c r="BD346" s="82"/>
      <c r="BE346" s="82"/>
      <c r="BF346" s="82"/>
      <c r="BG346" s="4"/>
      <c r="BH346" s="4"/>
      <c r="BI346" s="4"/>
      <c r="BJ346" s="4"/>
    </row>
    <row r="347" spans="1:62" ht="12.75" x14ac:dyDescent="0.2">
      <c r="A347" s="63"/>
      <c r="B347" s="85"/>
      <c r="C347" s="4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4"/>
      <c r="P347" s="4"/>
      <c r="Q347" s="4"/>
      <c r="R347" s="4"/>
      <c r="S347" s="4"/>
      <c r="T347" s="4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4"/>
      <c r="AG347" s="3"/>
      <c r="AH347" s="82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82"/>
      <c r="BC347" s="82"/>
      <c r="BD347" s="82"/>
      <c r="BE347" s="82"/>
      <c r="BF347" s="82"/>
      <c r="BG347" s="4"/>
      <c r="BH347" s="4"/>
      <c r="BI347" s="4"/>
      <c r="BJ347" s="4"/>
    </row>
    <row r="348" spans="1:62" ht="12.75" x14ac:dyDescent="0.2">
      <c r="A348" s="63"/>
      <c r="B348" s="85"/>
      <c r="C348" s="4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4"/>
      <c r="P348" s="4"/>
      <c r="Q348" s="4"/>
      <c r="R348" s="4"/>
      <c r="S348" s="4"/>
      <c r="T348" s="4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4"/>
      <c r="AG348" s="3"/>
      <c r="AH348" s="82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82"/>
      <c r="BC348" s="82"/>
      <c r="BD348" s="82"/>
      <c r="BE348" s="82"/>
      <c r="BF348" s="82"/>
      <c r="BG348" s="4"/>
      <c r="BH348" s="4"/>
      <c r="BI348" s="4"/>
      <c r="BJ348" s="4"/>
    </row>
    <row r="349" spans="1:62" ht="12.75" x14ac:dyDescent="0.2">
      <c r="A349" s="63"/>
      <c r="B349" s="85"/>
      <c r="C349" s="4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4"/>
      <c r="P349" s="4"/>
      <c r="Q349" s="4"/>
      <c r="R349" s="4"/>
      <c r="S349" s="4"/>
      <c r="T349" s="4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4"/>
      <c r="AG349" s="3"/>
      <c r="AH349" s="82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82"/>
      <c r="BC349" s="82"/>
      <c r="BD349" s="82"/>
      <c r="BE349" s="82"/>
      <c r="BF349" s="82"/>
      <c r="BG349" s="4"/>
      <c r="BH349" s="4"/>
      <c r="BI349" s="4"/>
      <c r="BJ349" s="4"/>
    </row>
    <row r="350" spans="1:62" ht="12.75" x14ac:dyDescent="0.2">
      <c r="A350" s="63"/>
      <c r="B350" s="85"/>
      <c r="C350" s="4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4"/>
      <c r="P350" s="4"/>
      <c r="Q350" s="4"/>
      <c r="R350" s="4"/>
      <c r="S350" s="4"/>
      <c r="T350" s="4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4"/>
      <c r="AG350" s="3"/>
      <c r="AH350" s="82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82"/>
      <c r="BC350" s="82"/>
      <c r="BD350" s="82"/>
      <c r="BE350" s="82"/>
      <c r="BF350" s="82"/>
      <c r="BG350" s="4"/>
      <c r="BH350" s="4"/>
      <c r="BI350" s="4"/>
      <c r="BJ350" s="4"/>
    </row>
    <row r="351" spans="1:62" ht="12.75" x14ac:dyDescent="0.2">
      <c r="A351" s="63"/>
      <c r="B351" s="85"/>
      <c r="C351" s="4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4"/>
      <c r="P351" s="4"/>
      <c r="Q351" s="4"/>
      <c r="R351" s="4"/>
      <c r="S351" s="4"/>
      <c r="T351" s="4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4"/>
      <c r="AG351" s="3"/>
      <c r="AH351" s="82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82"/>
      <c r="BC351" s="82"/>
      <c r="BD351" s="82"/>
      <c r="BE351" s="82"/>
      <c r="BF351" s="82"/>
      <c r="BG351" s="4"/>
      <c r="BH351" s="4"/>
      <c r="BI351" s="4"/>
      <c r="BJ351" s="4"/>
    </row>
    <row r="352" spans="1:62" ht="12.75" x14ac:dyDescent="0.2">
      <c r="A352" s="63"/>
      <c r="B352" s="85"/>
      <c r="C352" s="4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4"/>
      <c r="P352" s="4"/>
      <c r="Q352" s="4"/>
      <c r="R352" s="4"/>
      <c r="S352" s="4"/>
      <c r="T352" s="4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4"/>
      <c r="AG352" s="3"/>
      <c r="AH352" s="82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82"/>
      <c r="BC352" s="82"/>
      <c r="BD352" s="82"/>
      <c r="BE352" s="82"/>
      <c r="BF352" s="82"/>
      <c r="BG352" s="4"/>
      <c r="BH352" s="4"/>
      <c r="BI352" s="4"/>
      <c r="BJ352" s="4"/>
    </row>
    <row r="353" spans="1:62" ht="12.75" x14ac:dyDescent="0.2">
      <c r="A353" s="63"/>
      <c r="B353" s="85"/>
      <c r="C353" s="4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4"/>
      <c r="P353" s="4"/>
      <c r="Q353" s="4"/>
      <c r="R353" s="4"/>
      <c r="S353" s="4"/>
      <c r="T353" s="4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4"/>
      <c r="AG353" s="3"/>
      <c r="AH353" s="82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82"/>
      <c r="BC353" s="82"/>
      <c r="BD353" s="82"/>
      <c r="BE353" s="82"/>
      <c r="BF353" s="82"/>
      <c r="BG353" s="4"/>
      <c r="BH353" s="4"/>
      <c r="BI353" s="4"/>
      <c r="BJ353" s="4"/>
    </row>
    <row r="354" spans="1:62" ht="12.75" x14ac:dyDescent="0.2">
      <c r="A354" s="63"/>
      <c r="B354" s="85"/>
      <c r="C354" s="4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4"/>
      <c r="P354" s="4"/>
      <c r="Q354" s="4"/>
      <c r="R354" s="4"/>
      <c r="S354" s="4"/>
      <c r="T354" s="4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4"/>
      <c r="AG354" s="3"/>
      <c r="AH354" s="82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82"/>
      <c r="BC354" s="82"/>
      <c r="BD354" s="82"/>
      <c r="BE354" s="82"/>
      <c r="BF354" s="82"/>
      <c r="BG354" s="4"/>
      <c r="BH354" s="4"/>
      <c r="BI354" s="4"/>
      <c r="BJ354" s="4"/>
    </row>
    <row r="355" spans="1:62" ht="12.75" x14ac:dyDescent="0.2">
      <c r="A355" s="63"/>
      <c r="B355" s="85"/>
      <c r="C355" s="4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4"/>
      <c r="P355" s="4"/>
      <c r="Q355" s="4"/>
      <c r="R355" s="4"/>
      <c r="S355" s="4"/>
      <c r="T355" s="4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4"/>
      <c r="AG355" s="3"/>
      <c r="AH355" s="82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82"/>
      <c r="BC355" s="82"/>
      <c r="BD355" s="82"/>
      <c r="BE355" s="82"/>
      <c r="BF355" s="82"/>
      <c r="BG355" s="4"/>
      <c r="BH355" s="4"/>
      <c r="BI355" s="4"/>
      <c r="BJ355" s="4"/>
    </row>
    <row r="356" spans="1:62" ht="12.75" x14ac:dyDescent="0.2">
      <c r="A356" s="63"/>
      <c r="B356" s="85"/>
      <c r="C356" s="4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4"/>
      <c r="P356" s="4"/>
      <c r="Q356" s="4"/>
      <c r="R356" s="4"/>
      <c r="S356" s="4"/>
      <c r="T356" s="4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4"/>
      <c r="AG356" s="3"/>
      <c r="AH356" s="82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82"/>
      <c r="BC356" s="82"/>
      <c r="BD356" s="82"/>
      <c r="BE356" s="82"/>
      <c r="BF356" s="82"/>
      <c r="BG356" s="4"/>
      <c r="BH356" s="4"/>
      <c r="BI356" s="4"/>
      <c r="BJ356" s="4"/>
    </row>
    <row r="357" spans="1:62" ht="12.75" x14ac:dyDescent="0.2">
      <c r="A357" s="63"/>
      <c r="B357" s="85"/>
      <c r="C357" s="4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4"/>
      <c r="P357" s="4"/>
      <c r="Q357" s="4"/>
      <c r="R357" s="4"/>
      <c r="S357" s="4"/>
      <c r="T357" s="4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4"/>
      <c r="AG357" s="3"/>
      <c r="AH357" s="82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82"/>
      <c r="BC357" s="82"/>
      <c r="BD357" s="82"/>
      <c r="BE357" s="82"/>
      <c r="BF357" s="82"/>
      <c r="BG357" s="4"/>
      <c r="BH357" s="4"/>
      <c r="BI357" s="4"/>
      <c r="BJ357" s="4"/>
    </row>
    <row r="358" spans="1:62" ht="12.75" x14ac:dyDescent="0.2">
      <c r="A358" s="63"/>
      <c r="B358" s="85"/>
      <c r="C358" s="4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4"/>
      <c r="P358" s="4"/>
      <c r="Q358" s="4"/>
      <c r="R358" s="4"/>
      <c r="S358" s="4"/>
      <c r="T358" s="4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4"/>
      <c r="AG358" s="3"/>
      <c r="AH358" s="82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82"/>
      <c r="BC358" s="82"/>
      <c r="BD358" s="82"/>
      <c r="BE358" s="82"/>
      <c r="BF358" s="82"/>
      <c r="BG358" s="4"/>
      <c r="BH358" s="4"/>
      <c r="BI358" s="4"/>
      <c r="BJ358" s="4"/>
    </row>
    <row r="359" spans="1:62" ht="12.75" x14ac:dyDescent="0.2">
      <c r="A359" s="63"/>
      <c r="B359" s="85"/>
      <c r="C359" s="4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4"/>
      <c r="P359" s="4"/>
      <c r="Q359" s="4"/>
      <c r="R359" s="4"/>
      <c r="S359" s="4"/>
      <c r="T359" s="4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4"/>
      <c r="AG359" s="3"/>
      <c r="AH359" s="82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82"/>
      <c r="BC359" s="82"/>
      <c r="BD359" s="82"/>
      <c r="BE359" s="82"/>
      <c r="BF359" s="82"/>
      <c r="BG359" s="4"/>
      <c r="BH359" s="4"/>
      <c r="BI359" s="4"/>
      <c r="BJ359" s="4"/>
    </row>
    <row r="360" spans="1:62" ht="12.75" x14ac:dyDescent="0.2">
      <c r="A360" s="63"/>
      <c r="B360" s="85"/>
      <c r="C360" s="4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4"/>
      <c r="P360" s="4"/>
      <c r="Q360" s="4"/>
      <c r="R360" s="4"/>
      <c r="S360" s="4"/>
      <c r="T360" s="4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4"/>
      <c r="AG360" s="3"/>
      <c r="AH360" s="82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82"/>
      <c r="BC360" s="82"/>
      <c r="BD360" s="82"/>
      <c r="BE360" s="82"/>
      <c r="BF360" s="82"/>
      <c r="BG360" s="4"/>
      <c r="BH360" s="4"/>
      <c r="BI360" s="4"/>
      <c r="BJ360" s="4"/>
    </row>
    <row r="361" spans="1:62" ht="12.75" x14ac:dyDescent="0.2">
      <c r="A361" s="63"/>
      <c r="B361" s="85"/>
      <c r="C361" s="4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4"/>
      <c r="P361" s="4"/>
      <c r="Q361" s="4"/>
      <c r="R361" s="4"/>
      <c r="S361" s="4"/>
      <c r="T361" s="4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4"/>
      <c r="AG361" s="3"/>
      <c r="AH361" s="82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82"/>
      <c r="BC361" s="82"/>
      <c r="BD361" s="82"/>
      <c r="BE361" s="82"/>
      <c r="BF361" s="82"/>
      <c r="BG361" s="4"/>
      <c r="BH361" s="4"/>
      <c r="BI361" s="4"/>
      <c r="BJ361" s="4"/>
    </row>
    <row r="362" spans="1:62" ht="12.75" x14ac:dyDescent="0.2">
      <c r="A362" s="63"/>
      <c r="B362" s="85"/>
      <c r="C362" s="4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4"/>
      <c r="P362" s="4"/>
      <c r="Q362" s="4"/>
      <c r="R362" s="4"/>
      <c r="S362" s="4"/>
      <c r="T362" s="4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4"/>
      <c r="AG362" s="3"/>
      <c r="AH362" s="82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82"/>
      <c r="BC362" s="82"/>
      <c r="BD362" s="82"/>
      <c r="BE362" s="82"/>
      <c r="BF362" s="82"/>
      <c r="BG362" s="4"/>
      <c r="BH362" s="4"/>
      <c r="BI362" s="4"/>
      <c r="BJ362" s="4"/>
    </row>
    <row r="363" spans="1:62" ht="12.75" x14ac:dyDescent="0.2">
      <c r="A363" s="63"/>
      <c r="B363" s="85"/>
      <c r="C363" s="4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4"/>
      <c r="P363" s="4"/>
      <c r="Q363" s="4"/>
      <c r="R363" s="4"/>
      <c r="S363" s="4"/>
      <c r="T363" s="4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4"/>
      <c r="AG363" s="3"/>
      <c r="AH363" s="82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82"/>
      <c r="BC363" s="82"/>
      <c r="BD363" s="82"/>
      <c r="BE363" s="82"/>
      <c r="BF363" s="82"/>
      <c r="BG363" s="4"/>
      <c r="BH363" s="4"/>
      <c r="BI363" s="4"/>
      <c r="BJ363" s="4"/>
    </row>
    <row r="364" spans="1:62" ht="12.75" x14ac:dyDescent="0.2">
      <c r="A364" s="63"/>
      <c r="B364" s="85"/>
      <c r="C364" s="4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4"/>
      <c r="P364" s="4"/>
      <c r="Q364" s="4"/>
      <c r="R364" s="4"/>
      <c r="S364" s="4"/>
      <c r="T364" s="4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4"/>
      <c r="AG364" s="3"/>
      <c r="AH364" s="82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82"/>
      <c r="BC364" s="82"/>
      <c r="BD364" s="82"/>
      <c r="BE364" s="82"/>
      <c r="BF364" s="82"/>
      <c r="BG364" s="4"/>
      <c r="BH364" s="4"/>
      <c r="BI364" s="4"/>
      <c r="BJ364" s="4"/>
    </row>
    <row r="365" spans="1:62" ht="12.75" x14ac:dyDescent="0.2">
      <c r="A365" s="63"/>
      <c r="B365" s="85"/>
      <c r="C365" s="4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4"/>
      <c r="P365" s="4"/>
      <c r="Q365" s="4"/>
      <c r="R365" s="4"/>
      <c r="S365" s="4"/>
      <c r="T365" s="4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4"/>
      <c r="AG365" s="3"/>
      <c r="AH365" s="82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82"/>
      <c r="BC365" s="82"/>
      <c r="BD365" s="82"/>
      <c r="BE365" s="82"/>
      <c r="BF365" s="82"/>
      <c r="BG365" s="4"/>
      <c r="BH365" s="4"/>
      <c r="BI365" s="4"/>
      <c r="BJ365" s="4"/>
    </row>
    <row r="366" spans="1:62" ht="12.75" x14ac:dyDescent="0.2">
      <c r="A366" s="63"/>
      <c r="B366" s="85"/>
      <c r="C366" s="4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4"/>
      <c r="P366" s="4"/>
      <c r="Q366" s="4"/>
      <c r="R366" s="4"/>
      <c r="S366" s="4"/>
      <c r="T366" s="4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4"/>
      <c r="AG366" s="3"/>
      <c r="AH366" s="82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82"/>
      <c r="BC366" s="82"/>
      <c r="BD366" s="82"/>
      <c r="BE366" s="82"/>
      <c r="BF366" s="82"/>
      <c r="BG366" s="4"/>
      <c r="BH366" s="4"/>
      <c r="BI366" s="4"/>
      <c r="BJ366" s="4"/>
    </row>
    <row r="367" spans="1:62" ht="12.75" x14ac:dyDescent="0.2">
      <c r="A367" s="63"/>
      <c r="B367" s="85"/>
      <c r="C367" s="4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4"/>
      <c r="P367" s="4"/>
      <c r="Q367" s="4"/>
      <c r="R367" s="4"/>
      <c r="S367" s="4"/>
      <c r="T367" s="4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4"/>
      <c r="AG367" s="3"/>
      <c r="AH367" s="82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82"/>
      <c r="BC367" s="82"/>
      <c r="BD367" s="82"/>
      <c r="BE367" s="82"/>
      <c r="BF367" s="82"/>
      <c r="BG367" s="4"/>
      <c r="BH367" s="4"/>
      <c r="BI367" s="4"/>
      <c r="BJ367" s="4"/>
    </row>
    <row r="368" spans="1:62" ht="12.75" x14ac:dyDescent="0.2">
      <c r="A368" s="63"/>
      <c r="B368" s="85"/>
      <c r="C368" s="4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4"/>
      <c r="P368" s="4"/>
      <c r="Q368" s="4"/>
      <c r="R368" s="4"/>
      <c r="S368" s="4"/>
      <c r="T368" s="4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4"/>
      <c r="AG368" s="3"/>
      <c r="AH368" s="82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82"/>
      <c r="BC368" s="82"/>
      <c r="BD368" s="82"/>
      <c r="BE368" s="82"/>
      <c r="BF368" s="82"/>
      <c r="BG368" s="4"/>
      <c r="BH368" s="4"/>
      <c r="BI368" s="4"/>
      <c r="BJ368" s="4"/>
    </row>
    <row r="369" spans="1:62" ht="12.75" x14ac:dyDescent="0.2">
      <c r="A369" s="63"/>
      <c r="B369" s="85"/>
      <c r="C369" s="4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4"/>
      <c r="P369" s="4"/>
      <c r="Q369" s="4"/>
      <c r="R369" s="4"/>
      <c r="S369" s="4"/>
      <c r="T369" s="4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4"/>
      <c r="AG369" s="3"/>
      <c r="AH369" s="82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82"/>
      <c r="BC369" s="82"/>
      <c r="BD369" s="82"/>
      <c r="BE369" s="82"/>
      <c r="BF369" s="82"/>
      <c r="BG369" s="4"/>
      <c r="BH369" s="4"/>
      <c r="BI369" s="4"/>
      <c r="BJ369" s="4"/>
    </row>
    <row r="370" spans="1:62" ht="12.75" x14ac:dyDescent="0.2">
      <c r="A370" s="63"/>
      <c r="B370" s="85"/>
      <c r="C370" s="4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4"/>
      <c r="P370" s="4"/>
      <c r="Q370" s="4"/>
      <c r="R370" s="4"/>
      <c r="S370" s="4"/>
      <c r="T370" s="4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4"/>
      <c r="AG370" s="3"/>
      <c r="AH370" s="82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82"/>
      <c r="BC370" s="82"/>
      <c r="BD370" s="82"/>
      <c r="BE370" s="82"/>
      <c r="BF370" s="82"/>
      <c r="BG370" s="4"/>
      <c r="BH370" s="4"/>
      <c r="BI370" s="4"/>
      <c r="BJ370" s="4"/>
    </row>
    <row r="371" spans="1:62" ht="12.75" x14ac:dyDescent="0.2">
      <c r="A371" s="63"/>
      <c r="B371" s="85"/>
      <c r="C371" s="4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4"/>
      <c r="P371" s="4"/>
      <c r="Q371" s="4"/>
      <c r="R371" s="4"/>
      <c r="S371" s="4"/>
      <c r="T371" s="4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4"/>
      <c r="AG371" s="3"/>
      <c r="AH371" s="82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82"/>
      <c r="BC371" s="82"/>
      <c r="BD371" s="82"/>
      <c r="BE371" s="82"/>
      <c r="BF371" s="82"/>
      <c r="BG371" s="4"/>
      <c r="BH371" s="4"/>
      <c r="BI371" s="4"/>
      <c r="BJ371" s="4"/>
    </row>
    <row r="372" spans="1:62" ht="12.75" x14ac:dyDescent="0.2">
      <c r="A372" s="63"/>
      <c r="B372" s="85"/>
      <c r="C372" s="4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4"/>
      <c r="P372" s="4"/>
      <c r="Q372" s="4"/>
      <c r="R372" s="4"/>
      <c r="S372" s="4"/>
      <c r="T372" s="4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4"/>
      <c r="AG372" s="3"/>
      <c r="AH372" s="82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82"/>
      <c r="BC372" s="82"/>
      <c r="BD372" s="82"/>
      <c r="BE372" s="82"/>
      <c r="BF372" s="82"/>
      <c r="BG372" s="4"/>
      <c r="BH372" s="4"/>
      <c r="BI372" s="4"/>
      <c r="BJ372" s="4"/>
    </row>
    <row r="373" spans="1:62" ht="12.75" x14ac:dyDescent="0.2">
      <c r="A373" s="63"/>
      <c r="B373" s="85"/>
      <c r="C373" s="4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4"/>
      <c r="P373" s="4"/>
      <c r="Q373" s="4"/>
      <c r="R373" s="4"/>
      <c r="S373" s="4"/>
      <c r="T373" s="4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4"/>
      <c r="AG373" s="3"/>
      <c r="AH373" s="82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82"/>
      <c r="BC373" s="82"/>
      <c r="BD373" s="82"/>
      <c r="BE373" s="82"/>
      <c r="BF373" s="82"/>
      <c r="BG373" s="4"/>
      <c r="BH373" s="4"/>
      <c r="BI373" s="4"/>
      <c r="BJ373" s="4"/>
    </row>
    <row r="374" spans="1:62" ht="12.75" x14ac:dyDescent="0.2">
      <c r="A374" s="63"/>
      <c r="B374" s="85"/>
      <c r="C374" s="4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4"/>
      <c r="P374" s="4"/>
      <c r="Q374" s="4"/>
      <c r="R374" s="4"/>
      <c r="S374" s="4"/>
      <c r="T374" s="4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4"/>
      <c r="AG374" s="3"/>
      <c r="AH374" s="82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82"/>
      <c r="BC374" s="82"/>
      <c r="BD374" s="82"/>
      <c r="BE374" s="82"/>
      <c r="BF374" s="82"/>
      <c r="BG374" s="4"/>
      <c r="BH374" s="4"/>
      <c r="BI374" s="4"/>
      <c r="BJ374" s="4"/>
    </row>
    <row r="375" spans="1:62" ht="12.75" x14ac:dyDescent="0.2">
      <c r="A375" s="63"/>
      <c r="B375" s="85"/>
      <c r="C375" s="4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4"/>
      <c r="P375" s="4"/>
      <c r="Q375" s="4"/>
      <c r="R375" s="4"/>
      <c r="S375" s="4"/>
      <c r="T375" s="4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4"/>
      <c r="AG375" s="3"/>
      <c r="AH375" s="82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82"/>
      <c r="BC375" s="82"/>
      <c r="BD375" s="82"/>
      <c r="BE375" s="82"/>
      <c r="BF375" s="82"/>
      <c r="BG375" s="4"/>
      <c r="BH375" s="4"/>
      <c r="BI375" s="4"/>
      <c r="BJ375" s="4"/>
    </row>
    <row r="376" spans="1:62" ht="12.75" x14ac:dyDescent="0.2">
      <c r="A376" s="63"/>
      <c r="B376" s="85"/>
      <c r="C376" s="4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4"/>
      <c r="P376" s="4"/>
      <c r="Q376" s="4"/>
      <c r="R376" s="4"/>
      <c r="S376" s="4"/>
      <c r="T376" s="4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4"/>
      <c r="AG376" s="3"/>
      <c r="AH376" s="82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82"/>
      <c r="BC376" s="82"/>
      <c r="BD376" s="82"/>
      <c r="BE376" s="82"/>
      <c r="BF376" s="82"/>
      <c r="BG376" s="4"/>
      <c r="BH376" s="4"/>
      <c r="BI376" s="4"/>
      <c r="BJ376" s="4"/>
    </row>
    <row r="377" spans="1:62" ht="12.75" x14ac:dyDescent="0.2">
      <c r="A377" s="63"/>
      <c r="B377" s="85"/>
      <c r="C377" s="4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4"/>
      <c r="P377" s="4"/>
      <c r="Q377" s="4"/>
      <c r="R377" s="4"/>
      <c r="S377" s="4"/>
      <c r="T377" s="4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4"/>
      <c r="AG377" s="3"/>
      <c r="AH377" s="82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82"/>
      <c r="BC377" s="82"/>
      <c r="BD377" s="82"/>
      <c r="BE377" s="82"/>
      <c r="BF377" s="82"/>
      <c r="BG377" s="4"/>
      <c r="BH377" s="4"/>
      <c r="BI377" s="4"/>
      <c r="BJ377" s="4"/>
    </row>
    <row r="378" spans="1:62" ht="12.75" x14ac:dyDescent="0.2">
      <c r="A378" s="63"/>
      <c r="B378" s="85"/>
      <c r="C378" s="4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4"/>
      <c r="P378" s="4"/>
      <c r="Q378" s="4"/>
      <c r="R378" s="4"/>
      <c r="S378" s="4"/>
      <c r="T378" s="4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4"/>
      <c r="AG378" s="3"/>
      <c r="AH378" s="82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82"/>
      <c r="BC378" s="82"/>
      <c r="BD378" s="82"/>
      <c r="BE378" s="82"/>
      <c r="BF378" s="82"/>
      <c r="BG378" s="4"/>
      <c r="BH378" s="4"/>
      <c r="BI378" s="4"/>
      <c r="BJ378" s="4"/>
    </row>
    <row r="379" spans="1:62" ht="12.75" x14ac:dyDescent="0.2">
      <c r="A379" s="63"/>
      <c r="B379" s="85"/>
      <c r="C379" s="4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4"/>
      <c r="P379" s="4"/>
      <c r="Q379" s="4"/>
      <c r="R379" s="4"/>
      <c r="S379" s="4"/>
      <c r="T379" s="4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4"/>
      <c r="AG379" s="3"/>
      <c r="AH379" s="82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82"/>
      <c r="BC379" s="82"/>
      <c r="BD379" s="82"/>
      <c r="BE379" s="82"/>
      <c r="BF379" s="82"/>
      <c r="BG379" s="4"/>
      <c r="BH379" s="4"/>
      <c r="BI379" s="4"/>
      <c r="BJ379" s="4"/>
    </row>
    <row r="380" spans="1:62" ht="12.75" x14ac:dyDescent="0.2">
      <c r="A380" s="63"/>
      <c r="B380" s="85"/>
      <c r="C380" s="4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4"/>
      <c r="P380" s="4"/>
      <c r="Q380" s="4"/>
      <c r="R380" s="4"/>
      <c r="S380" s="4"/>
      <c r="T380" s="4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4"/>
      <c r="AG380" s="3"/>
      <c r="AH380" s="82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82"/>
      <c r="BC380" s="82"/>
      <c r="BD380" s="82"/>
      <c r="BE380" s="82"/>
      <c r="BF380" s="82"/>
      <c r="BG380" s="4"/>
      <c r="BH380" s="4"/>
      <c r="BI380" s="4"/>
      <c r="BJ380" s="4"/>
    </row>
    <row r="381" spans="1:62" ht="12.75" x14ac:dyDescent="0.2">
      <c r="A381" s="63"/>
      <c r="B381" s="85"/>
      <c r="C381" s="4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4"/>
      <c r="P381" s="4"/>
      <c r="Q381" s="4"/>
      <c r="R381" s="4"/>
      <c r="S381" s="4"/>
      <c r="T381" s="4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4"/>
      <c r="AG381" s="3"/>
      <c r="AH381" s="82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82"/>
      <c r="BC381" s="82"/>
      <c r="BD381" s="82"/>
      <c r="BE381" s="82"/>
      <c r="BF381" s="82"/>
      <c r="BG381" s="4"/>
      <c r="BH381" s="4"/>
      <c r="BI381" s="4"/>
      <c r="BJ381" s="4"/>
    </row>
    <row r="382" spans="1:62" ht="12.75" x14ac:dyDescent="0.2">
      <c r="A382" s="63"/>
      <c r="B382" s="85"/>
      <c r="C382" s="4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4"/>
      <c r="P382" s="4"/>
      <c r="Q382" s="4"/>
      <c r="R382" s="4"/>
      <c r="S382" s="4"/>
      <c r="T382" s="4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4"/>
      <c r="AG382" s="3"/>
      <c r="AH382" s="82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82"/>
      <c r="BC382" s="82"/>
      <c r="BD382" s="82"/>
      <c r="BE382" s="82"/>
      <c r="BF382" s="82"/>
      <c r="BG382" s="4"/>
      <c r="BH382" s="4"/>
      <c r="BI382" s="4"/>
      <c r="BJ382" s="4"/>
    </row>
    <row r="383" spans="1:62" ht="12.75" x14ac:dyDescent="0.2">
      <c r="A383" s="63"/>
      <c r="B383" s="85"/>
      <c r="C383" s="4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4"/>
      <c r="P383" s="4"/>
      <c r="Q383" s="4"/>
      <c r="R383" s="4"/>
      <c r="S383" s="4"/>
      <c r="T383" s="4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4"/>
      <c r="AG383" s="3"/>
      <c r="AH383" s="82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82"/>
      <c r="BC383" s="82"/>
      <c r="BD383" s="82"/>
      <c r="BE383" s="82"/>
      <c r="BF383" s="82"/>
      <c r="BG383" s="4"/>
      <c r="BH383" s="4"/>
      <c r="BI383" s="4"/>
      <c r="BJ383" s="4"/>
    </row>
    <row r="384" spans="1:62" ht="12.75" x14ac:dyDescent="0.2">
      <c r="A384" s="63"/>
      <c r="B384" s="85"/>
      <c r="C384" s="4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4"/>
      <c r="P384" s="4"/>
      <c r="Q384" s="4"/>
      <c r="R384" s="4"/>
      <c r="S384" s="4"/>
      <c r="T384" s="4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4"/>
      <c r="AG384" s="3"/>
      <c r="AH384" s="82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82"/>
      <c r="BC384" s="82"/>
      <c r="BD384" s="82"/>
      <c r="BE384" s="82"/>
      <c r="BF384" s="82"/>
      <c r="BG384" s="4"/>
      <c r="BH384" s="4"/>
      <c r="BI384" s="4"/>
      <c r="BJ384" s="4"/>
    </row>
    <row r="385" spans="1:62" ht="12.75" x14ac:dyDescent="0.2">
      <c r="A385" s="63"/>
      <c r="B385" s="85"/>
      <c r="C385" s="4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4"/>
      <c r="P385" s="4"/>
      <c r="Q385" s="4"/>
      <c r="R385" s="4"/>
      <c r="S385" s="4"/>
      <c r="T385" s="4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4"/>
      <c r="AG385" s="3"/>
      <c r="AH385" s="82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82"/>
      <c r="BC385" s="82"/>
      <c r="BD385" s="82"/>
      <c r="BE385" s="82"/>
      <c r="BF385" s="82"/>
      <c r="BG385" s="4"/>
      <c r="BH385" s="4"/>
      <c r="BI385" s="4"/>
      <c r="BJ385" s="4"/>
    </row>
    <row r="386" spans="1:62" ht="12.75" x14ac:dyDescent="0.2">
      <c r="A386" s="63"/>
      <c r="B386" s="85"/>
      <c r="C386" s="4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4"/>
      <c r="P386" s="4"/>
      <c r="Q386" s="4"/>
      <c r="R386" s="4"/>
      <c r="S386" s="4"/>
      <c r="T386" s="4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4"/>
      <c r="AG386" s="3"/>
      <c r="AH386" s="82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82"/>
      <c r="BC386" s="82"/>
      <c r="BD386" s="82"/>
      <c r="BE386" s="82"/>
      <c r="BF386" s="82"/>
      <c r="BG386" s="4"/>
      <c r="BH386" s="4"/>
      <c r="BI386" s="4"/>
      <c r="BJ386" s="4"/>
    </row>
    <row r="387" spans="1:62" ht="12.75" x14ac:dyDescent="0.2">
      <c r="A387" s="63"/>
      <c r="B387" s="85"/>
      <c r="C387" s="4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4"/>
      <c r="P387" s="4"/>
      <c r="Q387" s="4"/>
      <c r="R387" s="4"/>
      <c r="S387" s="4"/>
      <c r="T387" s="4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4"/>
      <c r="AG387" s="3"/>
      <c r="AH387" s="82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82"/>
      <c r="BC387" s="82"/>
      <c r="BD387" s="82"/>
      <c r="BE387" s="82"/>
      <c r="BF387" s="82"/>
      <c r="BG387" s="4"/>
      <c r="BH387" s="4"/>
      <c r="BI387" s="4"/>
      <c r="BJ387" s="4"/>
    </row>
    <row r="388" spans="1:62" ht="12.75" x14ac:dyDescent="0.2">
      <c r="A388" s="63"/>
      <c r="B388" s="85"/>
      <c r="C388" s="4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4"/>
      <c r="P388" s="4"/>
      <c r="Q388" s="4"/>
      <c r="R388" s="4"/>
      <c r="S388" s="4"/>
      <c r="T388" s="4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4"/>
      <c r="AG388" s="3"/>
      <c r="AH388" s="82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82"/>
      <c r="BC388" s="82"/>
      <c r="BD388" s="82"/>
      <c r="BE388" s="82"/>
      <c r="BF388" s="82"/>
      <c r="BG388" s="4"/>
      <c r="BH388" s="4"/>
      <c r="BI388" s="4"/>
      <c r="BJ388" s="4"/>
    </row>
    <row r="389" spans="1:62" ht="12.75" x14ac:dyDescent="0.2">
      <c r="A389" s="63"/>
      <c r="B389" s="85"/>
      <c r="C389" s="4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4"/>
      <c r="P389" s="4"/>
      <c r="Q389" s="4"/>
      <c r="R389" s="4"/>
      <c r="S389" s="4"/>
      <c r="T389" s="4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4"/>
      <c r="AG389" s="3"/>
      <c r="AH389" s="82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82"/>
      <c r="BC389" s="82"/>
      <c r="BD389" s="82"/>
      <c r="BE389" s="82"/>
      <c r="BF389" s="82"/>
      <c r="BG389" s="4"/>
      <c r="BH389" s="4"/>
      <c r="BI389" s="4"/>
      <c r="BJ389" s="4"/>
    </row>
    <row r="390" spans="1:62" ht="12.75" x14ac:dyDescent="0.2">
      <c r="A390" s="63"/>
      <c r="B390" s="85"/>
      <c r="C390" s="4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4"/>
      <c r="P390" s="4"/>
      <c r="Q390" s="4"/>
      <c r="R390" s="4"/>
      <c r="S390" s="4"/>
      <c r="T390" s="4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4"/>
      <c r="AG390" s="3"/>
      <c r="AH390" s="82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82"/>
      <c r="BC390" s="82"/>
      <c r="BD390" s="82"/>
      <c r="BE390" s="82"/>
      <c r="BF390" s="82"/>
      <c r="BG390" s="4"/>
      <c r="BH390" s="4"/>
      <c r="BI390" s="4"/>
      <c r="BJ390" s="4"/>
    </row>
    <row r="391" spans="1:62" ht="12.75" x14ac:dyDescent="0.2">
      <c r="A391" s="63"/>
      <c r="B391" s="85"/>
      <c r="C391" s="4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4"/>
      <c r="P391" s="4"/>
      <c r="Q391" s="4"/>
      <c r="R391" s="4"/>
      <c r="S391" s="4"/>
      <c r="T391" s="4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4"/>
      <c r="AG391" s="3"/>
      <c r="AH391" s="82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82"/>
      <c r="BC391" s="82"/>
      <c r="BD391" s="82"/>
      <c r="BE391" s="82"/>
      <c r="BF391" s="82"/>
      <c r="BG391" s="4"/>
      <c r="BH391" s="4"/>
      <c r="BI391" s="4"/>
      <c r="BJ391" s="4"/>
    </row>
    <row r="392" spans="1:62" ht="12.75" x14ac:dyDescent="0.2">
      <c r="A392" s="63"/>
      <c r="B392" s="85"/>
      <c r="C392" s="4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4"/>
      <c r="P392" s="4"/>
      <c r="Q392" s="4"/>
      <c r="R392" s="4"/>
      <c r="S392" s="4"/>
      <c r="T392" s="4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4"/>
      <c r="AG392" s="3"/>
      <c r="AH392" s="82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82"/>
      <c r="BC392" s="82"/>
      <c r="BD392" s="82"/>
      <c r="BE392" s="82"/>
      <c r="BF392" s="82"/>
      <c r="BG392" s="4"/>
      <c r="BH392" s="4"/>
      <c r="BI392" s="4"/>
      <c r="BJ392" s="4"/>
    </row>
    <row r="393" spans="1:62" ht="12.75" x14ac:dyDescent="0.2">
      <c r="A393" s="63"/>
      <c r="B393" s="85"/>
      <c r="C393" s="4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4"/>
      <c r="P393" s="4"/>
      <c r="Q393" s="4"/>
      <c r="R393" s="4"/>
      <c r="S393" s="4"/>
      <c r="T393" s="4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4"/>
      <c r="AG393" s="3"/>
      <c r="AH393" s="82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82"/>
      <c r="BC393" s="82"/>
      <c r="BD393" s="82"/>
      <c r="BE393" s="82"/>
      <c r="BF393" s="82"/>
      <c r="BG393" s="4"/>
      <c r="BH393" s="4"/>
      <c r="BI393" s="4"/>
      <c r="BJ393" s="4"/>
    </row>
    <row r="394" spans="1:62" ht="12.75" x14ac:dyDescent="0.2">
      <c r="A394" s="63"/>
      <c r="B394" s="85"/>
      <c r="C394" s="4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4"/>
      <c r="P394" s="4"/>
      <c r="Q394" s="4"/>
      <c r="R394" s="4"/>
      <c r="S394" s="4"/>
      <c r="T394" s="4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4"/>
      <c r="AG394" s="3"/>
      <c r="AH394" s="82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82"/>
      <c r="BC394" s="82"/>
      <c r="BD394" s="82"/>
      <c r="BE394" s="82"/>
      <c r="BF394" s="82"/>
      <c r="BG394" s="4"/>
      <c r="BH394" s="4"/>
      <c r="BI394" s="4"/>
      <c r="BJ394" s="4"/>
    </row>
    <row r="395" spans="1:62" ht="12.75" x14ac:dyDescent="0.2">
      <c r="A395" s="63"/>
      <c r="B395" s="85"/>
      <c r="C395" s="4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4"/>
      <c r="P395" s="4"/>
      <c r="Q395" s="4"/>
      <c r="R395" s="4"/>
      <c r="S395" s="4"/>
      <c r="T395" s="4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4"/>
      <c r="AG395" s="3"/>
      <c r="AH395" s="82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82"/>
      <c r="BC395" s="82"/>
      <c r="BD395" s="82"/>
      <c r="BE395" s="82"/>
      <c r="BF395" s="82"/>
      <c r="BG395" s="4"/>
      <c r="BH395" s="4"/>
      <c r="BI395" s="4"/>
      <c r="BJ395" s="4"/>
    </row>
    <row r="396" spans="1:62" ht="12.75" x14ac:dyDescent="0.2">
      <c r="A396" s="63"/>
      <c r="B396" s="85"/>
      <c r="C396" s="4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4"/>
      <c r="P396" s="4"/>
      <c r="Q396" s="4"/>
      <c r="R396" s="4"/>
      <c r="S396" s="4"/>
      <c r="T396" s="4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4"/>
      <c r="AG396" s="3"/>
      <c r="AH396" s="82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82"/>
      <c r="BC396" s="82"/>
      <c r="BD396" s="82"/>
      <c r="BE396" s="82"/>
      <c r="BF396" s="82"/>
      <c r="BG396" s="4"/>
      <c r="BH396" s="4"/>
      <c r="BI396" s="4"/>
      <c r="BJ396" s="4"/>
    </row>
    <row r="397" spans="1:62" ht="12.75" x14ac:dyDescent="0.2">
      <c r="A397" s="63"/>
      <c r="B397" s="85"/>
      <c r="C397" s="4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4"/>
      <c r="P397" s="4"/>
      <c r="Q397" s="4"/>
      <c r="R397" s="4"/>
      <c r="S397" s="4"/>
      <c r="T397" s="4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4"/>
      <c r="AG397" s="3"/>
      <c r="AH397" s="82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82"/>
      <c r="BC397" s="82"/>
      <c r="BD397" s="82"/>
      <c r="BE397" s="82"/>
      <c r="BF397" s="82"/>
      <c r="BG397" s="4"/>
      <c r="BH397" s="4"/>
      <c r="BI397" s="4"/>
      <c r="BJ397" s="4"/>
    </row>
    <row r="398" spans="1:62" ht="12.75" x14ac:dyDescent="0.2">
      <c r="A398" s="63"/>
      <c r="B398" s="85"/>
      <c r="C398" s="4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4"/>
      <c r="P398" s="4"/>
      <c r="Q398" s="4"/>
      <c r="R398" s="4"/>
      <c r="S398" s="4"/>
      <c r="T398" s="4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4"/>
      <c r="AG398" s="3"/>
      <c r="AH398" s="82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82"/>
      <c r="BC398" s="82"/>
      <c r="BD398" s="82"/>
      <c r="BE398" s="82"/>
      <c r="BF398" s="82"/>
      <c r="BG398" s="4"/>
      <c r="BH398" s="4"/>
      <c r="BI398" s="4"/>
      <c r="BJ398" s="4"/>
    </row>
    <row r="399" spans="1:62" ht="12.75" x14ac:dyDescent="0.2">
      <c r="A399" s="63"/>
      <c r="B399" s="85"/>
      <c r="C399" s="4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4"/>
      <c r="P399" s="4"/>
      <c r="Q399" s="4"/>
      <c r="R399" s="4"/>
      <c r="S399" s="4"/>
      <c r="T399" s="4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4"/>
      <c r="AG399" s="3"/>
      <c r="AH399" s="82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82"/>
      <c r="BC399" s="82"/>
      <c r="BD399" s="82"/>
      <c r="BE399" s="82"/>
      <c r="BF399" s="82"/>
      <c r="BG399" s="4"/>
      <c r="BH399" s="4"/>
      <c r="BI399" s="4"/>
      <c r="BJ399" s="4"/>
    </row>
    <row r="400" spans="1:62" ht="12.75" x14ac:dyDescent="0.2">
      <c r="A400" s="63"/>
      <c r="B400" s="85"/>
      <c r="C400" s="4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4"/>
      <c r="P400" s="4"/>
      <c r="Q400" s="4"/>
      <c r="R400" s="4"/>
      <c r="S400" s="4"/>
      <c r="T400" s="4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4"/>
      <c r="AG400" s="3"/>
      <c r="AH400" s="82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82"/>
      <c r="BC400" s="82"/>
      <c r="BD400" s="82"/>
      <c r="BE400" s="82"/>
      <c r="BF400" s="82"/>
      <c r="BG400" s="4"/>
      <c r="BH400" s="4"/>
      <c r="BI400" s="4"/>
      <c r="BJ400" s="4"/>
    </row>
    <row r="401" spans="1:62" ht="12.75" x14ac:dyDescent="0.2">
      <c r="A401" s="63"/>
      <c r="B401" s="85"/>
      <c r="C401" s="4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4"/>
      <c r="P401" s="4"/>
      <c r="Q401" s="4"/>
      <c r="R401" s="4"/>
      <c r="S401" s="4"/>
      <c r="T401" s="4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4"/>
      <c r="AG401" s="3"/>
      <c r="AH401" s="82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82"/>
      <c r="BC401" s="82"/>
      <c r="BD401" s="82"/>
      <c r="BE401" s="82"/>
      <c r="BF401" s="82"/>
      <c r="BG401" s="4"/>
      <c r="BH401" s="4"/>
      <c r="BI401" s="4"/>
      <c r="BJ401" s="4"/>
    </row>
    <row r="402" spans="1:62" ht="12.75" x14ac:dyDescent="0.2">
      <c r="A402" s="63"/>
      <c r="B402" s="85"/>
      <c r="C402" s="4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4"/>
      <c r="P402" s="4"/>
      <c r="Q402" s="4"/>
      <c r="R402" s="4"/>
      <c r="S402" s="4"/>
      <c r="T402" s="4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4"/>
      <c r="AG402" s="3"/>
      <c r="AH402" s="82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82"/>
      <c r="BC402" s="82"/>
      <c r="BD402" s="82"/>
      <c r="BE402" s="82"/>
      <c r="BF402" s="82"/>
      <c r="BG402" s="4"/>
      <c r="BH402" s="4"/>
      <c r="BI402" s="4"/>
      <c r="BJ402" s="4"/>
    </row>
    <row r="403" spans="1:62" ht="12.75" x14ac:dyDescent="0.2">
      <c r="A403" s="63"/>
      <c r="B403" s="85"/>
      <c r="C403" s="4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4"/>
      <c r="P403" s="4"/>
      <c r="Q403" s="4"/>
      <c r="R403" s="4"/>
      <c r="S403" s="4"/>
      <c r="T403" s="4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4"/>
      <c r="AG403" s="3"/>
      <c r="AH403" s="82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82"/>
      <c r="BC403" s="82"/>
      <c r="BD403" s="82"/>
      <c r="BE403" s="82"/>
      <c r="BF403" s="82"/>
      <c r="BG403" s="4"/>
      <c r="BH403" s="4"/>
      <c r="BI403" s="4"/>
      <c r="BJ403" s="4"/>
    </row>
    <row r="404" spans="1:62" ht="12.75" x14ac:dyDescent="0.2">
      <c r="A404" s="63"/>
      <c r="B404" s="85"/>
      <c r="C404" s="4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4"/>
      <c r="P404" s="4"/>
      <c r="Q404" s="4"/>
      <c r="R404" s="4"/>
      <c r="S404" s="4"/>
      <c r="T404" s="4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4"/>
      <c r="AG404" s="3"/>
      <c r="AH404" s="82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82"/>
      <c r="BC404" s="82"/>
      <c r="BD404" s="82"/>
      <c r="BE404" s="82"/>
      <c r="BF404" s="82"/>
      <c r="BG404" s="4"/>
      <c r="BH404" s="4"/>
      <c r="BI404" s="4"/>
      <c r="BJ404" s="4"/>
    </row>
    <row r="405" spans="1:62" ht="12.75" x14ac:dyDescent="0.2">
      <c r="A405" s="63"/>
      <c r="B405" s="85"/>
      <c r="C405" s="4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4"/>
      <c r="P405" s="4"/>
      <c r="Q405" s="4"/>
      <c r="R405" s="4"/>
      <c r="S405" s="4"/>
      <c r="T405" s="4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4"/>
      <c r="AG405" s="3"/>
      <c r="AH405" s="82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82"/>
      <c r="BC405" s="82"/>
      <c r="BD405" s="82"/>
      <c r="BE405" s="82"/>
      <c r="BF405" s="82"/>
      <c r="BG405" s="4"/>
      <c r="BH405" s="4"/>
      <c r="BI405" s="4"/>
      <c r="BJ405" s="4"/>
    </row>
    <row r="406" spans="1:62" ht="12.75" x14ac:dyDescent="0.2">
      <c r="A406" s="63"/>
      <c r="B406" s="85"/>
      <c r="C406" s="4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4"/>
      <c r="P406" s="4"/>
      <c r="Q406" s="4"/>
      <c r="R406" s="4"/>
      <c r="S406" s="4"/>
      <c r="T406" s="4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4"/>
      <c r="AG406" s="3"/>
      <c r="AH406" s="82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82"/>
      <c r="BC406" s="82"/>
      <c r="BD406" s="82"/>
      <c r="BE406" s="82"/>
      <c r="BF406" s="82"/>
      <c r="BG406" s="4"/>
      <c r="BH406" s="4"/>
      <c r="BI406" s="4"/>
      <c r="BJ406" s="4"/>
    </row>
    <row r="407" spans="1:62" ht="12.75" x14ac:dyDescent="0.2">
      <c r="A407" s="63"/>
      <c r="B407" s="85"/>
      <c r="C407" s="4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4"/>
      <c r="P407" s="4"/>
      <c r="Q407" s="4"/>
      <c r="R407" s="4"/>
      <c r="S407" s="4"/>
      <c r="T407" s="4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4"/>
      <c r="AG407" s="3"/>
      <c r="AH407" s="82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82"/>
      <c r="BC407" s="82"/>
      <c r="BD407" s="82"/>
      <c r="BE407" s="82"/>
      <c r="BF407" s="82"/>
      <c r="BG407" s="4"/>
      <c r="BH407" s="4"/>
      <c r="BI407" s="4"/>
      <c r="BJ407" s="4"/>
    </row>
    <row r="408" spans="1:62" ht="12.75" x14ac:dyDescent="0.2">
      <c r="A408" s="63"/>
      <c r="B408" s="85"/>
      <c r="C408" s="4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4"/>
      <c r="P408" s="4"/>
      <c r="Q408" s="4"/>
      <c r="R408" s="4"/>
      <c r="S408" s="4"/>
      <c r="T408" s="4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4"/>
      <c r="AG408" s="3"/>
      <c r="AH408" s="82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82"/>
      <c r="BC408" s="82"/>
      <c r="BD408" s="82"/>
      <c r="BE408" s="82"/>
      <c r="BF408" s="82"/>
      <c r="BG408" s="4"/>
      <c r="BH408" s="4"/>
      <c r="BI408" s="4"/>
      <c r="BJ408" s="4"/>
    </row>
    <row r="409" spans="1:62" ht="12.75" x14ac:dyDescent="0.2">
      <c r="A409" s="63"/>
      <c r="B409" s="85"/>
      <c r="C409" s="4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4"/>
      <c r="P409" s="4"/>
      <c r="Q409" s="4"/>
      <c r="R409" s="4"/>
      <c r="S409" s="4"/>
      <c r="T409" s="4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4"/>
      <c r="AG409" s="3"/>
      <c r="AH409" s="82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82"/>
      <c r="BC409" s="82"/>
      <c r="BD409" s="82"/>
      <c r="BE409" s="82"/>
      <c r="BF409" s="82"/>
      <c r="BG409" s="4"/>
      <c r="BH409" s="4"/>
      <c r="BI409" s="4"/>
      <c r="BJ409" s="4"/>
    </row>
    <row r="410" spans="1:62" ht="12.75" x14ac:dyDescent="0.2">
      <c r="A410" s="63"/>
      <c r="B410" s="85"/>
      <c r="C410" s="4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4"/>
      <c r="P410" s="4"/>
      <c r="Q410" s="4"/>
      <c r="R410" s="4"/>
      <c r="S410" s="4"/>
      <c r="T410" s="4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4"/>
      <c r="AG410" s="3"/>
      <c r="AH410" s="82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82"/>
      <c r="BC410" s="82"/>
      <c r="BD410" s="82"/>
      <c r="BE410" s="82"/>
      <c r="BF410" s="82"/>
      <c r="BG410" s="4"/>
      <c r="BH410" s="4"/>
      <c r="BI410" s="4"/>
      <c r="BJ410" s="4"/>
    </row>
    <row r="411" spans="1:62" ht="12.75" x14ac:dyDescent="0.2">
      <c r="A411" s="63"/>
      <c r="B411" s="85"/>
      <c r="C411" s="4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4"/>
      <c r="P411" s="4"/>
      <c r="Q411" s="4"/>
      <c r="R411" s="4"/>
      <c r="S411" s="4"/>
      <c r="T411" s="4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4"/>
      <c r="AG411" s="3"/>
      <c r="AH411" s="82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82"/>
      <c r="BC411" s="82"/>
      <c r="BD411" s="82"/>
      <c r="BE411" s="82"/>
      <c r="BF411" s="82"/>
      <c r="BG411" s="4"/>
      <c r="BH411" s="4"/>
      <c r="BI411" s="4"/>
      <c r="BJ411" s="4"/>
    </row>
    <row r="412" spans="1:62" ht="12.75" x14ac:dyDescent="0.2">
      <c r="A412" s="63"/>
      <c r="B412" s="85"/>
      <c r="C412" s="4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4"/>
      <c r="P412" s="4"/>
      <c r="Q412" s="4"/>
      <c r="R412" s="4"/>
      <c r="S412" s="4"/>
      <c r="T412" s="4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4"/>
      <c r="AG412" s="3"/>
      <c r="AH412" s="82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82"/>
      <c r="BC412" s="82"/>
      <c r="BD412" s="82"/>
      <c r="BE412" s="82"/>
      <c r="BF412" s="82"/>
      <c r="BG412" s="4"/>
      <c r="BH412" s="4"/>
      <c r="BI412" s="4"/>
      <c r="BJ412" s="4"/>
    </row>
    <row r="413" spans="1:62" ht="12.75" x14ac:dyDescent="0.2">
      <c r="A413" s="63"/>
      <c r="B413" s="85"/>
      <c r="C413" s="4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4"/>
      <c r="P413" s="4"/>
      <c r="Q413" s="4"/>
      <c r="R413" s="4"/>
      <c r="S413" s="4"/>
      <c r="T413" s="4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4"/>
      <c r="AG413" s="3"/>
      <c r="AH413" s="82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82"/>
      <c r="BC413" s="82"/>
      <c r="BD413" s="82"/>
      <c r="BE413" s="82"/>
      <c r="BF413" s="82"/>
      <c r="BG413" s="4"/>
      <c r="BH413" s="4"/>
      <c r="BI413" s="4"/>
      <c r="BJ413" s="4"/>
    </row>
    <row r="414" spans="1:62" ht="12.75" x14ac:dyDescent="0.2">
      <c r="A414" s="63"/>
      <c r="B414" s="85"/>
      <c r="C414" s="4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4"/>
      <c r="P414" s="4"/>
      <c r="Q414" s="4"/>
      <c r="R414" s="4"/>
      <c r="S414" s="4"/>
      <c r="T414" s="4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4"/>
      <c r="AG414" s="3"/>
      <c r="AH414" s="82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82"/>
      <c r="BC414" s="82"/>
      <c r="BD414" s="82"/>
      <c r="BE414" s="82"/>
      <c r="BF414" s="82"/>
      <c r="BG414" s="4"/>
      <c r="BH414" s="4"/>
      <c r="BI414" s="4"/>
      <c r="BJ414" s="4"/>
    </row>
    <row r="415" spans="1:62" ht="12.75" x14ac:dyDescent="0.2">
      <c r="A415" s="63"/>
      <c r="B415" s="85"/>
      <c r="C415" s="4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4"/>
      <c r="P415" s="4"/>
      <c r="Q415" s="4"/>
      <c r="R415" s="4"/>
      <c r="S415" s="4"/>
      <c r="T415" s="4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4"/>
      <c r="AG415" s="3"/>
      <c r="AH415" s="82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82"/>
      <c r="BC415" s="82"/>
      <c r="BD415" s="82"/>
      <c r="BE415" s="82"/>
      <c r="BF415" s="82"/>
      <c r="BG415" s="4"/>
      <c r="BH415" s="4"/>
      <c r="BI415" s="4"/>
      <c r="BJ415" s="4"/>
    </row>
    <row r="416" spans="1:62" ht="12.75" x14ac:dyDescent="0.2">
      <c r="A416" s="63"/>
      <c r="B416" s="85"/>
      <c r="C416" s="4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4"/>
      <c r="P416" s="4"/>
      <c r="Q416" s="4"/>
      <c r="R416" s="4"/>
      <c r="S416" s="4"/>
      <c r="T416" s="4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4"/>
      <c r="AG416" s="3"/>
      <c r="AH416" s="82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82"/>
      <c r="BC416" s="82"/>
      <c r="BD416" s="82"/>
      <c r="BE416" s="82"/>
      <c r="BF416" s="82"/>
      <c r="BG416" s="4"/>
      <c r="BH416" s="4"/>
      <c r="BI416" s="4"/>
      <c r="BJ416" s="4"/>
    </row>
    <row r="417" spans="1:62" ht="12.75" x14ac:dyDescent="0.2">
      <c r="A417" s="63"/>
      <c r="B417" s="85"/>
      <c r="C417" s="4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4"/>
      <c r="P417" s="4"/>
      <c r="Q417" s="4"/>
      <c r="R417" s="4"/>
      <c r="S417" s="4"/>
      <c r="T417" s="4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4"/>
      <c r="AG417" s="3"/>
      <c r="AH417" s="82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82"/>
      <c r="BC417" s="82"/>
      <c r="BD417" s="82"/>
      <c r="BE417" s="82"/>
      <c r="BF417" s="82"/>
      <c r="BG417" s="4"/>
      <c r="BH417" s="4"/>
      <c r="BI417" s="4"/>
      <c r="BJ417" s="4"/>
    </row>
    <row r="418" spans="1:62" ht="12.75" x14ac:dyDescent="0.2">
      <c r="A418" s="63"/>
      <c r="B418" s="85"/>
      <c r="C418" s="4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4"/>
      <c r="P418" s="4"/>
      <c r="Q418" s="4"/>
      <c r="R418" s="4"/>
      <c r="S418" s="4"/>
      <c r="T418" s="4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4"/>
      <c r="AG418" s="3"/>
      <c r="AH418" s="82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82"/>
      <c r="BC418" s="82"/>
      <c r="BD418" s="82"/>
      <c r="BE418" s="82"/>
      <c r="BF418" s="82"/>
      <c r="BG418" s="4"/>
      <c r="BH418" s="4"/>
      <c r="BI418" s="4"/>
      <c r="BJ418" s="4"/>
    </row>
    <row r="419" spans="1:62" ht="12.75" x14ac:dyDescent="0.2">
      <c r="A419" s="63"/>
      <c r="B419" s="85"/>
      <c r="C419" s="4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4"/>
      <c r="P419" s="4"/>
      <c r="Q419" s="4"/>
      <c r="R419" s="4"/>
      <c r="S419" s="4"/>
      <c r="T419" s="4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4"/>
      <c r="AG419" s="3"/>
      <c r="AH419" s="82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82"/>
      <c r="BC419" s="82"/>
      <c r="BD419" s="82"/>
      <c r="BE419" s="82"/>
      <c r="BF419" s="82"/>
      <c r="BG419" s="4"/>
      <c r="BH419" s="4"/>
      <c r="BI419" s="4"/>
      <c r="BJ419" s="4"/>
    </row>
    <row r="420" spans="1:62" ht="12.75" x14ac:dyDescent="0.2">
      <c r="A420" s="63"/>
      <c r="B420" s="85"/>
      <c r="C420" s="4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4"/>
      <c r="P420" s="4"/>
      <c r="Q420" s="4"/>
      <c r="R420" s="4"/>
      <c r="S420" s="4"/>
      <c r="T420" s="4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4"/>
      <c r="AG420" s="3"/>
      <c r="AH420" s="82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82"/>
      <c r="BC420" s="82"/>
      <c r="BD420" s="82"/>
      <c r="BE420" s="82"/>
      <c r="BF420" s="82"/>
      <c r="BG420" s="4"/>
      <c r="BH420" s="4"/>
      <c r="BI420" s="4"/>
      <c r="BJ420" s="4"/>
    </row>
    <row r="421" spans="1:62" ht="12.75" x14ac:dyDescent="0.2">
      <c r="A421" s="63"/>
      <c r="B421" s="85"/>
      <c r="C421" s="4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4"/>
      <c r="P421" s="4"/>
      <c r="Q421" s="4"/>
      <c r="R421" s="4"/>
      <c r="S421" s="4"/>
      <c r="T421" s="4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4"/>
      <c r="AG421" s="3"/>
      <c r="AH421" s="82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82"/>
      <c r="BC421" s="82"/>
      <c r="BD421" s="82"/>
      <c r="BE421" s="82"/>
      <c r="BF421" s="82"/>
      <c r="BG421" s="4"/>
      <c r="BH421" s="4"/>
      <c r="BI421" s="4"/>
      <c r="BJ421" s="4"/>
    </row>
    <row r="422" spans="1:62" ht="12.75" x14ac:dyDescent="0.2">
      <c r="A422" s="63"/>
      <c r="B422" s="85"/>
      <c r="C422" s="4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4"/>
      <c r="P422" s="4"/>
      <c r="Q422" s="4"/>
      <c r="R422" s="4"/>
      <c r="S422" s="4"/>
      <c r="T422" s="4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4"/>
      <c r="AG422" s="3"/>
      <c r="AH422" s="82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82"/>
      <c r="BC422" s="82"/>
      <c r="BD422" s="82"/>
      <c r="BE422" s="82"/>
      <c r="BF422" s="82"/>
      <c r="BG422" s="4"/>
      <c r="BH422" s="4"/>
      <c r="BI422" s="4"/>
      <c r="BJ422" s="4"/>
    </row>
    <row r="423" spans="1:62" ht="12.75" x14ac:dyDescent="0.2">
      <c r="A423" s="63"/>
      <c r="B423" s="85"/>
      <c r="C423" s="4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4"/>
      <c r="P423" s="4"/>
      <c r="Q423" s="4"/>
      <c r="R423" s="4"/>
      <c r="S423" s="4"/>
      <c r="T423" s="4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4"/>
      <c r="AG423" s="3"/>
      <c r="AH423" s="82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82"/>
      <c r="BC423" s="82"/>
      <c r="BD423" s="82"/>
      <c r="BE423" s="82"/>
      <c r="BF423" s="82"/>
      <c r="BG423" s="4"/>
      <c r="BH423" s="4"/>
      <c r="BI423" s="4"/>
      <c r="BJ423" s="4"/>
    </row>
    <row r="424" spans="1:62" ht="12.75" x14ac:dyDescent="0.2">
      <c r="A424" s="63"/>
      <c r="B424" s="85"/>
      <c r="C424" s="4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4"/>
      <c r="P424" s="4"/>
      <c r="Q424" s="4"/>
      <c r="R424" s="4"/>
      <c r="S424" s="4"/>
      <c r="T424" s="4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4"/>
      <c r="AG424" s="3"/>
      <c r="AH424" s="82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82"/>
      <c r="BC424" s="82"/>
      <c r="BD424" s="82"/>
      <c r="BE424" s="82"/>
      <c r="BF424" s="82"/>
      <c r="BG424" s="4"/>
      <c r="BH424" s="4"/>
      <c r="BI424" s="4"/>
      <c r="BJ424" s="4"/>
    </row>
    <row r="425" spans="1:62" ht="12.75" x14ac:dyDescent="0.2">
      <c r="A425" s="63"/>
      <c r="B425" s="85"/>
      <c r="C425" s="4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4"/>
      <c r="P425" s="4"/>
      <c r="Q425" s="4"/>
      <c r="R425" s="4"/>
      <c r="S425" s="4"/>
      <c r="T425" s="4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4"/>
      <c r="AG425" s="3"/>
      <c r="AH425" s="82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82"/>
      <c r="BC425" s="82"/>
      <c r="BD425" s="82"/>
      <c r="BE425" s="82"/>
      <c r="BF425" s="82"/>
      <c r="BG425" s="4"/>
      <c r="BH425" s="4"/>
      <c r="BI425" s="4"/>
      <c r="BJ425" s="4"/>
    </row>
    <row r="426" spans="1:62" ht="12.75" x14ac:dyDescent="0.2">
      <c r="A426" s="63"/>
      <c r="B426" s="85"/>
      <c r="C426" s="4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4"/>
      <c r="P426" s="4"/>
      <c r="Q426" s="4"/>
      <c r="R426" s="4"/>
      <c r="S426" s="4"/>
      <c r="T426" s="4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4"/>
      <c r="AG426" s="3"/>
      <c r="AH426" s="82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82"/>
      <c r="BC426" s="82"/>
      <c r="BD426" s="82"/>
      <c r="BE426" s="82"/>
      <c r="BF426" s="82"/>
      <c r="BG426" s="4"/>
      <c r="BH426" s="4"/>
      <c r="BI426" s="4"/>
      <c r="BJ426" s="4"/>
    </row>
    <row r="427" spans="1:62" ht="12.75" x14ac:dyDescent="0.2">
      <c r="A427" s="63"/>
      <c r="B427" s="85"/>
      <c r="C427" s="4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4"/>
      <c r="P427" s="4"/>
      <c r="Q427" s="4"/>
      <c r="R427" s="4"/>
      <c r="S427" s="4"/>
      <c r="T427" s="4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4"/>
      <c r="AG427" s="3"/>
      <c r="AH427" s="82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82"/>
      <c r="BC427" s="82"/>
      <c r="BD427" s="82"/>
      <c r="BE427" s="82"/>
      <c r="BF427" s="82"/>
      <c r="BG427" s="4"/>
      <c r="BH427" s="4"/>
      <c r="BI427" s="4"/>
      <c r="BJ427" s="4"/>
    </row>
    <row r="428" spans="1:62" ht="12.75" x14ac:dyDescent="0.2">
      <c r="A428" s="63"/>
      <c r="B428" s="85"/>
      <c r="C428" s="4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4"/>
      <c r="P428" s="4"/>
      <c r="Q428" s="4"/>
      <c r="R428" s="4"/>
      <c r="S428" s="4"/>
      <c r="T428" s="4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4"/>
      <c r="AG428" s="3"/>
      <c r="AH428" s="82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82"/>
      <c r="BC428" s="82"/>
      <c r="BD428" s="82"/>
      <c r="BE428" s="82"/>
      <c r="BF428" s="82"/>
      <c r="BG428" s="4"/>
      <c r="BH428" s="4"/>
      <c r="BI428" s="4"/>
      <c r="BJ428" s="4"/>
    </row>
    <row r="429" spans="1:62" ht="12.75" x14ac:dyDescent="0.2">
      <c r="A429" s="63"/>
      <c r="B429" s="85"/>
      <c r="C429" s="4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4"/>
      <c r="P429" s="4"/>
      <c r="Q429" s="4"/>
      <c r="R429" s="4"/>
      <c r="S429" s="4"/>
      <c r="T429" s="4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4"/>
      <c r="AG429" s="3"/>
      <c r="AH429" s="82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82"/>
      <c r="BC429" s="82"/>
      <c r="BD429" s="82"/>
      <c r="BE429" s="82"/>
      <c r="BF429" s="82"/>
      <c r="BG429" s="4"/>
      <c r="BH429" s="4"/>
      <c r="BI429" s="4"/>
      <c r="BJ429" s="4"/>
    </row>
    <row r="430" spans="1:62" ht="12.75" x14ac:dyDescent="0.2">
      <c r="A430" s="63"/>
      <c r="B430" s="85"/>
      <c r="C430" s="4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4"/>
      <c r="P430" s="4"/>
      <c r="Q430" s="4"/>
      <c r="R430" s="4"/>
      <c r="S430" s="4"/>
      <c r="T430" s="4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4"/>
      <c r="AG430" s="3"/>
      <c r="AH430" s="82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82"/>
      <c r="BC430" s="82"/>
      <c r="BD430" s="82"/>
      <c r="BE430" s="82"/>
      <c r="BF430" s="82"/>
      <c r="BG430" s="4"/>
      <c r="BH430" s="4"/>
      <c r="BI430" s="4"/>
      <c r="BJ430" s="4"/>
    </row>
    <row r="431" spans="1:62" ht="12.75" x14ac:dyDescent="0.2">
      <c r="A431" s="63"/>
      <c r="B431" s="85"/>
      <c r="C431" s="4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4"/>
      <c r="P431" s="4"/>
      <c r="Q431" s="4"/>
      <c r="R431" s="4"/>
      <c r="S431" s="4"/>
      <c r="T431" s="4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4"/>
      <c r="AG431" s="3"/>
      <c r="AH431" s="82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82"/>
      <c r="BC431" s="82"/>
      <c r="BD431" s="82"/>
      <c r="BE431" s="82"/>
      <c r="BF431" s="82"/>
      <c r="BG431" s="4"/>
      <c r="BH431" s="4"/>
      <c r="BI431" s="4"/>
      <c r="BJ431" s="4"/>
    </row>
    <row r="432" spans="1:62" ht="12.75" x14ac:dyDescent="0.2">
      <c r="A432" s="63"/>
      <c r="B432" s="85"/>
      <c r="C432" s="4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4"/>
      <c r="P432" s="4"/>
      <c r="Q432" s="4"/>
      <c r="R432" s="4"/>
      <c r="S432" s="4"/>
      <c r="T432" s="4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4"/>
      <c r="AG432" s="3"/>
      <c r="AH432" s="82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82"/>
      <c r="BC432" s="82"/>
      <c r="BD432" s="82"/>
      <c r="BE432" s="82"/>
      <c r="BF432" s="82"/>
      <c r="BG432" s="4"/>
      <c r="BH432" s="4"/>
      <c r="BI432" s="4"/>
      <c r="BJ432" s="4"/>
    </row>
    <row r="433" spans="1:62" ht="12.75" x14ac:dyDescent="0.2">
      <c r="A433" s="63"/>
      <c r="B433" s="85"/>
      <c r="C433" s="4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4"/>
      <c r="P433" s="4"/>
      <c r="Q433" s="4"/>
      <c r="R433" s="4"/>
      <c r="S433" s="4"/>
      <c r="T433" s="4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4"/>
      <c r="AG433" s="3"/>
      <c r="AH433" s="82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82"/>
      <c r="BC433" s="82"/>
      <c r="BD433" s="82"/>
      <c r="BE433" s="82"/>
      <c r="BF433" s="82"/>
      <c r="BG433" s="4"/>
      <c r="BH433" s="4"/>
      <c r="BI433" s="4"/>
      <c r="BJ433" s="4"/>
    </row>
    <row r="434" spans="1:62" ht="12.75" x14ac:dyDescent="0.2">
      <c r="A434" s="63"/>
      <c r="B434" s="85"/>
      <c r="C434" s="4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4"/>
      <c r="P434" s="4"/>
      <c r="Q434" s="4"/>
      <c r="R434" s="4"/>
      <c r="S434" s="4"/>
      <c r="T434" s="4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4"/>
      <c r="AG434" s="3"/>
      <c r="AH434" s="82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82"/>
      <c r="BC434" s="82"/>
      <c r="BD434" s="82"/>
      <c r="BE434" s="82"/>
      <c r="BF434" s="82"/>
      <c r="BG434" s="4"/>
      <c r="BH434" s="4"/>
      <c r="BI434" s="4"/>
      <c r="BJ434" s="4"/>
    </row>
    <row r="435" spans="1:62" ht="12.75" x14ac:dyDescent="0.2">
      <c r="A435" s="63"/>
      <c r="B435" s="85"/>
      <c r="C435" s="4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4"/>
      <c r="P435" s="4"/>
      <c r="Q435" s="4"/>
      <c r="R435" s="4"/>
      <c r="S435" s="4"/>
      <c r="T435" s="4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4"/>
      <c r="AG435" s="3"/>
      <c r="AH435" s="82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82"/>
      <c r="BC435" s="82"/>
      <c r="BD435" s="82"/>
      <c r="BE435" s="82"/>
      <c r="BF435" s="82"/>
      <c r="BG435" s="4"/>
      <c r="BH435" s="4"/>
      <c r="BI435" s="4"/>
      <c r="BJ435" s="4"/>
    </row>
    <row r="436" spans="1:62" ht="12.75" x14ac:dyDescent="0.2">
      <c r="A436" s="63"/>
      <c r="B436" s="85"/>
      <c r="C436" s="4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4"/>
      <c r="P436" s="4"/>
      <c r="Q436" s="4"/>
      <c r="R436" s="4"/>
      <c r="S436" s="4"/>
      <c r="T436" s="4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4"/>
      <c r="AG436" s="3"/>
      <c r="AH436" s="82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82"/>
      <c r="BC436" s="82"/>
      <c r="BD436" s="82"/>
      <c r="BE436" s="82"/>
      <c r="BF436" s="82"/>
      <c r="BG436" s="4"/>
      <c r="BH436" s="4"/>
      <c r="BI436" s="4"/>
      <c r="BJ436" s="4"/>
    </row>
    <row r="437" spans="1:62" ht="12.75" x14ac:dyDescent="0.2">
      <c r="A437" s="63"/>
      <c r="B437" s="85"/>
      <c r="C437" s="4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4"/>
      <c r="P437" s="4"/>
      <c r="Q437" s="4"/>
      <c r="R437" s="4"/>
      <c r="S437" s="4"/>
      <c r="T437" s="4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4"/>
      <c r="AG437" s="3"/>
      <c r="AH437" s="82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82"/>
      <c r="BC437" s="82"/>
      <c r="BD437" s="82"/>
      <c r="BE437" s="82"/>
      <c r="BF437" s="82"/>
      <c r="BG437" s="4"/>
      <c r="BH437" s="4"/>
      <c r="BI437" s="4"/>
      <c r="BJ437" s="4"/>
    </row>
    <row r="438" spans="1:62" ht="12.75" x14ac:dyDescent="0.2">
      <c r="A438" s="63"/>
      <c r="B438" s="85"/>
      <c r="C438" s="4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4"/>
      <c r="P438" s="4"/>
      <c r="Q438" s="4"/>
      <c r="R438" s="4"/>
      <c r="S438" s="4"/>
      <c r="T438" s="4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4"/>
      <c r="AG438" s="3"/>
      <c r="AH438" s="82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82"/>
      <c r="BC438" s="82"/>
      <c r="BD438" s="82"/>
      <c r="BE438" s="82"/>
      <c r="BF438" s="82"/>
      <c r="BG438" s="4"/>
      <c r="BH438" s="4"/>
      <c r="BI438" s="4"/>
      <c r="BJ438" s="4"/>
    </row>
    <row r="439" spans="1:62" ht="12.75" x14ac:dyDescent="0.2">
      <c r="A439" s="63"/>
      <c r="B439" s="85"/>
      <c r="C439" s="4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4"/>
      <c r="P439" s="4"/>
      <c r="Q439" s="4"/>
      <c r="R439" s="4"/>
      <c r="S439" s="4"/>
      <c r="T439" s="4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4"/>
      <c r="AG439" s="3"/>
      <c r="AH439" s="82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82"/>
      <c r="BC439" s="82"/>
      <c r="BD439" s="82"/>
      <c r="BE439" s="82"/>
      <c r="BF439" s="82"/>
      <c r="BG439" s="4"/>
      <c r="BH439" s="4"/>
      <c r="BI439" s="4"/>
      <c r="BJ439" s="4"/>
    </row>
    <row r="440" spans="1:62" ht="12.75" x14ac:dyDescent="0.2">
      <c r="A440" s="63"/>
      <c r="B440" s="85"/>
      <c r="C440" s="4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4"/>
      <c r="P440" s="4"/>
      <c r="Q440" s="4"/>
      <c r="R440" s="4"/>
      <c r="S440" s="4"/>
      <c r="T440" s="4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4"/>
      <c r="AG440" s="3"/>
      <c r="AH440" s="82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82"/>
      <c r="BC440" s="82"/>
      <c r="BD440" s="82"/>
      <c r="BE440" s="82"/>
      <c r="BF440" s="82"/>
      <c r="BG440" s="4"/>
      <c r="BH440" s="4"/>
      <c r="BI440" s="4"/>
      <c r="BJ440" s="4"/>
    </row>
    <row r="441" spans="1:62" ht="12.75" x14ac:dyDescent="0.2">
      <c r="A441" s="63"/>
      <c r="B441" s="85"/>
      <c r="C441" s="4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4"/>
      <c r="P441" s="4"/>
      <c r="Q441" s="4"/>
      <c r="R441" s="4"/>
      <c r="S441" s="4"/>
      <c r="T441" s="4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4"/>
      <c r="AG441" s="3"/>
      <c r="AH441" s="82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82"/>
      <c r="BC441" s="82"/>
      <c r="BD441" s="82"/>
      <c r="BE441" s="82"/>
      <c r="BF441" s="82"/>
      <c r="BG441" s="4"/>
      <c r="BH441" s="4"/>
      <c r="BI441" s="4"/>
      <c r="BJ441" s="4"/>
    </row>
    <row r="442" spans="1:62" ht="12.75" x14ac:dyDescent="0.2">
      <c r="A442" s="63"/>
      <c r="B442" s="85"/>
      <c r="C442" s="4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4"/>
      <c r="P442" s="4"/>
      <c r="Q442" s="4"/>
      <c r="R442" s="4"/>
      <c r="S442" s="4"/>
      <c r="T442" s="4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4"/>
      <c r="AG442" s="3"/>
      <c r="AH442" s="82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82"/>
      <c r="BC442" s="82"/>
      <c r="BD442" s="82"/>
      <c r="BE442" s="82"/>
      <c r="BF442" s="82"/>
      <c r="BG442" s="4"/>
      <c r="BH442" s="4"/>
      <c r="BI442" s="4"/>
      <c r="BJ442" s="4"/>
    </row>
    <row r="443" spans="1:62" ht="12.75" x14ac:dyDescent="0.2">
      <c r="A443" s="63"/>
      <c r="B443" s="85"/>
      <c r="C443" s="4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4"/>
      <c r="P443" s="4"/>
      <c r="Q443" s="4"/>
      <c r="R443" s="4"/>
      <c r="S443" s="4"/>
      <c r="T443" s="4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4"/>
      <c r="AG443" s="3"/>
      <c r="AH443" s="82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82"/>
      <c r="BC443" s="82"/>
      <c r="BD443" s="82"/>
      <c r="BE443" s="82"/>
      <c r="BF443" s="82"/>
      <c r="BG443" s="4"/>
      <c r="BH443" s="4"/>
      <c r="BI443" s="4"/>
      <c r="BJ443" s="4"/>
    </row>
    <row r="444" spans="1:62" ht="12.75" x14ac:dyDescent="0.2">
      <c r="A444" s="63"/>
      <c r="B444" s="85"/>
      <c r="C444" s="4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4"/>
      <c r="P444" s="4"/>
      <c r="Q444" s="4"/>
      <c r="R444" s="4"/>
      <c r="S444" s="4"/>
      <c r="T444" s="4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4"/>
      <c r="AG444" s="3"/>
      <c r="AH444" s="82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82"/>
      <c r="BC444" s="82"/>
      <c r="BD444" s="82"/>
      <c r="BE444" s="82"/>
      <c r="BF444" s="82"/>
      <c r="BG444" s="4"/>
      <c r="BH444" s="4"/>
      <c r="BI444" s="4"/>
      <c r="BJ444" s="4"/>
    </row>
    <row r="445" spans="1:62" ht="12.75" x14ac:dyDescent="0.2">
      <c r="A445" s="63"/>
      <c r="B445" s="85"/>
      <c r="C445" s="4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4"/>
      <c r="P445" s="4"/>
      <c r="Q445" s="4"/>
      <c r="R445" s="4"/>
      <c r="S445" s="4"/>
      <c r="T445" s="4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4"/>
      <c r="AG445" s="3"/>
      <c r="AH445" s="82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82"/>
      <c r="BC445" s="82"/>
      <c r="BD445" s="82"/>
      <c r="BE445" s="82"/>
      <c r="BF445" s="82"/>
      <c r="BG445" s="4"/>
      <c r="BH445" s="4"/>
      <c r="BI445" s="4"/>
      <c r="BJ445" s="4"/>
    </row>
    <row r="446" spans="1:62" ht="12.75" x14ac:dyDescent="0.2">
      <c r="A446" s="63"/>
      <c r="B446" s="85"/>
      <c r="C446" s="4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4"/>
      <c r="P446" s="4"/>
      <c r="Q446" s="4"/>
      <c r="R446" s="4"/>
      <c r="S446" s="4"/>
      <c r="T446" s="4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4"/>
      <c r="AG446" s="3"/>
      <c r="AH446" s="82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82"/>
      <c r="BC446" s="82"/>
      <c r="BD446" s="82"/>
      <c r="BE446" s="82"/>
      <c r="BF446" s="82"/>
      <c r="BG446" s="4"/>
      <c r="BH446" s="4"/>
      <c r="BI446" s="4"/>
      <c r="BJ446" s="4"/>
    </row>
    <row r="447" spans="1:62" ht="12.75" x14ac:dyDescent="0.2">
      <c r="A447" s="63"/>
      <c r="B447" s="85"/>
      <c r="C447" s="4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4"/>
      <c r="P447" s="4"/>
      <c r="Q447" s="4"/>
      <c r="R447" s="4"/>
      <c r="S447" s="4"/>
      <c r="T447" s="4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4"/>
      <c r="AG447" s="3"/>
      <c r="AH447" s="82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82"/>
      <c r="BC447" s="82"/>
      <c r="BD447" s="82"/>
      <c r="BE447" s="82"/>
      <c r="BF447" s="82"/>
      <c r="BG447" s="4"/>
      <c r="BH447" s="4"/>
      <c r="BI447" s="4"/>
      <c r="BJ447" s="4"/>
    </row>
    <row r="448" spans="1:62" ht="12.75" x14ac:dyDescent="0.2">
      <c r="A448" s="63"/>
      <c r="B448" s="85"/>
      <c r="C448" s="4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4"/>
      <c r="P448" s="4"/>
      <c r="Q448" s="4"/>
      <c r="R448" s="4"/>
      <c r="S448" s="4"/>
      <c r="T448" s="4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4"/>
      <c r="AG448" s="3"/>
      <c r="AH448" s="82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82"/>
      <c r="BC448" s="82"/>
      <c r="BD448" s="82"/>
      <c r="BE448" s="82"/>
      <c r="BF448" s="82"/>
      <c r="BG448" s="4"/>
      <c r="BH448" s="4"/>
      <c r="BI448" s="4"/>
      <c r="BJ448" s="4"/>
    </row>
    <row r="449" spans="1:62" ht="12.75" x14ac:dyDescent="0.2">
      <c r="A449" s="63"/>
      <c r="B449" s="85"/>
      <c r="C449" s="4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4"/>
      <c r="P449" s="4"/>
      <c r="Q449" s="4"/>
      <c r="R449" s="4"/>
      <c r="S449" s="4"/>
      <c r="T449" s="4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4"/>
      <c r="AG449" s="3"/>
      <c r="AH449" s="82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82"/>
      <c r="BC449" s="82"/>
      <c r="BD449" s="82"/>
      <c r="BE449" s="82"/>
      <c r="BF449" s="82"/>
      <c r="BG449" s="4"/>
      <c r="BH449" s="4"/>
      <c r="BI449" s="4"/>
      <c r="BJ449" s="4"/>
    </row>
    <row r="450" spans="1:62" ht="12.75" x14ac:dyDescent="0.2">
      <c r="A450" s="63"/>
      <c r="B450" s="85"/>
      <c r="C450" s="4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4"/>
      <c r="P450" s="4"/>
      <c r="Q450" s="4"/>
      <c r="R450" s="4"/>
      <c r="S450" s="4"/>
      <c r="T450" s="4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4"/>
      <c r="AG450" s="3"/>
      <c r="AH450" s="82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82"/>
      <c r="BC450" s="82"/>
      <c r="BD450" s="82"/>
      <c r="BE450" s="82"/>
      <c r="BF450" s="82"/>
      <c r="BG450" s="4"/>
      <c r="BH450" s="4"/>
      <c r="BI450" s="4"/>
      <c r="BJ450" s="4"/>
    </row>
    <row r="451" spans="1:62" ht="12.75" x14ac:dyDescent="0.2">
      <c r="A451" s="63"/>
      <c r="B451" s="85"/>
      <c r="C451" s="4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4"/>
      <c r="P451" s="4"/>
      <c r="Q451" s="4"/>
      <c r="R451" s="4"/>
      <c r="S451" s="4"/>
      <c r="T451" s="4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4"/>
      <c r="AG451" s="3"/>
      <c r="AH451" s="82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82"/>
      <c r="BC451" s="82"/>
      <c r="BD451" s="82"/>
      <c r="BE451" s="82"/>
      <c r="BF451" s="82"/>
      <c r="BG451" s="4"/>
      <c r="BH451" s="4"/>
      <c r="BI451" s="4"/>
      <c r="BJ451" s="4"/>
    </row>
    <row r="452" spans="1:62" ht="12.75" x14ac:dyDescent="0.2">
      <c r="A452" s="63"/>
      <c r="B452" s="85"/>
      <c r="C452" s="4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4"/>
      <c r="P452" s="4"/>
      <c r="Q452" s="4"/>
      <c r="R452" s="4"/>
      <c r="S452" s="4"/>
      <c r="T452" s="4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4"/>
      <c r="AG452" s="3"/>
      <c r="AH452" s="82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82"/>
      <c r="BC452" s="82"/>
      <c r="BD452" s="82"/>
      <c r="BE452" s="82"/>
      <c r="BF452" s="82"/>
      <c r="BG452" s="4"/>
      <c r="BH452" s="4"/>
      <c r="BI452" s="4"/>
      <c r="BJ452" s="4"/>
    </row>
    <row r="453" spans="1:62" ht="12.75" x14ac:dyDescent="0.2">
      <c r="A453" s="63"/>
      <c r="B453" s="85"/>
      <c r="C453" s="4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4"/>
      <c r="P453" s="4"/>
      <c r="Q453" s="4"/>
      <c r="R453" s="4"/>
      <c r="S453" s="4"/>
      <c r="T453" s="4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4"/>
      <c r="AG453" s="3"/>
      <c r="AH453" s="82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82"/>
      <c r="BC453" s="82"/>
      <c r="BD453" s="82"/>
      <c r="BE453" s="82"/>
      <c r="BF453" s="82"/>
      <c r="BG453" s="4"/>
      <c r="BH453" s="4"/>
      <c r="BI453" s="4"/>
      <c r="BJ453" s="4"/>
    </row>
    <row r="454" spans="1:62" ht="12.75" x14ac:dyDescent="0.2">
      <c r="A454" s="63"/>
      <c r="B454" s="85"/>
      <c r="C454" s="4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4"/>
      <c r="P454" s="4"/>
      <c r="Q454" s="4"/>
      <c r="R454" s="4"/>
      <c r="S454" s="4"/>
      <c r="T454" s="4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4"/>
      <c r="AG454" s="3"/>
      <c r="AH454" s="82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82"/>
      <c r="BC454" s="82"/>
      <c r="BD454" s="82"/>
      <c r="BE454" s="82"/>
      <c r="BF454" s="82"/>
      <c r="BG454" s="4"/>
      <c r="BH454" s="4"/>
      <c r="BI454" s="4"/>
      <c r="BJ454" s="4"/>
    </row>
    <row r="455" spans="1:62" ht="12.75" x14ac:dyDescent="0.2">
      <c r="A455" s="63"/>
      <c r="B455" s="85"/>
      <c r="C455" s="4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4"/>
      <c r="P455" s="4"/>
      <c r="Q455" s="4"/>
      <c r="R455" s="4"/>
      <c r="S455" s="4"/>
      <c r="T455" s="4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4"/>
      <c r="AG455" s="3"/>
      <c r="AH455" s="82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82"/>
      <c r="BC455" s="82"/>
      <c r="BD455" s="82"/>
      <c r="BE455" s="82"/>
      <c r="BF455" s="82"/>
      <c r="BG455" s="4"/>
      <c r="BH455" s="4"/>
      <c r="BI455" s="4"/>
      <c r="BJ455" s="4"/>
    </row>
    <row r="456" spans="1:62" ht="12.75" x14ac:dyDescent="0.2">
      <c r="A456" s="63"/>
      <c r="B456" s="85"/>
      <c r="C456" s="4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4"/>
      <c r="P456" s="4"/>
      <c r="Q456" s="4"/>
      <c r="R456" s="4"/>
      <c r="S456" s="4"/>
      <c r="T456" s="4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4"/>
      <c r="AG456" s="3"/>
      <c r="AH456" s="82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82"/>
      <c r="BC456" s="82"/>
      <c r="BD456" s="82"/>
      <c r="BE456" s="82"/>
      <c r="BF456" s="82"/>
      <c r="BG456" s="4"/>
      <c r="BH456" s="4"/>
      <c r="BI456" s="4"/>
      <c r="BJ456" s="4"/>
    </row>
    <row r="457" spans="1:62" ht="12.75" x14ac:dyDescent="0.2">
      <c r="A457" s="63"/>
      <c r="B457" s="85"/>
      <c r="C457" s="4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4"/>
      <c r="P457" s="4"/>
      <c r="Q457" s="4"/>
      <c r="R457" s="4"/>
      <c r="S457" s="4"/>
      <c r="T457" s="4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4"/>
      <c r="AG457" s="3"/>
      <c r="AH457" s="82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82"/>
      <c r="BC457" s="82"/>
      <c r="BD457" s="82"/>
      <c r="BE457" s="82"/>
      <c r="BF457" s="82"/>
      <c r="BG457" s="4"/>
      <c r="BH457" s="4"/>
      <c r="BI457" s="4"/>
      <c r="BJ457" s="4"/>
    </row>
    <row r="458" spans="1:62" ht="12.75" x14ac:dyDescent="0.2">
      <c r="A458" s="63"/>
      <c r="B458" s="85"/>
      <c r="C458" s="4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4"/>
      <c r="P458" s="4"/>
      <c r="Q458" s="4"/>
      <c r="R458" s="4"/>
      <c r="S458" s="4"/>
      <c r="T458" s="4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4"/>
      <c r="AG458" s="3"/>
      <c r="AH458" s="82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82"/>
      <c r="BC458" s="82"/>
      <c r="BD458" s="82"/>
      <c r="BE458" s="82"/>
      <c r="BF458" s="82"/>
      <c r="BG458" s="4"/>
      <c r="BH458" s="4"/>
      <c r="BI458" s="4"/>
      <c r="BJ458" s="4"/>
    </row>
    <row r="459" spans="1:62" ht="12.75" x14ac:dyDescent="0.2">
      <c r="A459" s="63"/>
      <c r="B459" s="85"/>
      <c r="C459" s="4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4"/>
      <c r="P459" s="4"/>
      <c r="Q459" s="4"/>
      <c r="R459" s="4"/>
      <c r="S459" s="4"/>
      <c r="T459" s="4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4"/>
      <c r="AG459" s="3"/>
      <c r="AH459" s="82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82"/>
      <c r="BC459" s="82"/>
      <c r="BD459" s="82"/>
      <c r="BE459" s="82"/>
      <c r="BF459" s="82"/>
      <c r="BG459" s="4"/>
      <c r="BH459" s="4"/>
      <c r="BI459" s="4"/>
      <c r="BJ459" s="4"/>
    </row>
    <row r="460" spans="1:62" ht="12.75" x14ac:dyDescent="0.2">
      <c r="A460" s="63"/>
      <c r="B460" s="85"/>
      <c r="C460" s="4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4"/>
      <c r="P460" s="4"/>
      <c r="Q460" s="4"/>
      <c r="R460" s="4"/>
      <c r="S460" s="4"/>
      <c r="T460" s="4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4"/>
      <c r="AG460" s="3"/>
      <c r="AH460" s="82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82"/>
      <c r="BC460" s="82"/>
      <c r="BD460" s="82"/>
      <c r="BE460" s="82"/>
      <c r="BF460" s="82"/>
      <c r="BG460" s="4"/>
      <c r="BH460" s="4"/>
      <c r="BI460" s="4"/>
      <c r="BJ460" s="4"/>
    </row>
    <row r="461" spans="1:62" ht="12.75" x14ac:dyDescent="0.2">
      <c r="A461" s="63"/>
      <c r="B461" s="85"/>
      <c r="C461" s="4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4"/>
      <c r="P461" s="4"/>
      <c r="Q461" s="4"/>
      <c r="R461" s="4"/>
      <c r="S461" s="4"/>
      <c r="T461" s="4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4"/>
      <c r="AG461" s="3"/>
      <c r="AH461" s="82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82"/>
      <c r="BC461" s="82"/>
      <c r="BD461" s="82"/>
      <c r="BE461" s="82"/>
      <c r="BF461" s="82"/>
      <c r="BG461" s="4"/>
      <c r="BH461" s="4"/>
      <c r="BI461" s="4"/>
      <c r="BJ461" s="4"/>
    </row>
    <row r="462" spans="1:62" ht="12.75" x14ac:dyDescent="0.2">
      <c r="A462" s="63"/>
      <c r="B462" s="85"/>
      <c r="C462" s="4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4"/>
      <c r="P462" s="4"/>
      <c r="Q462" s="4"/>
      <c r="R462" s="4"/>
      <c r="S462" s="4"/>
      <c r="T462" s="4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4"/>
      <c r="AG462" s="3"/>
      <c r="AH462" s="82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82"/>
      <c r="BC462" s="82"/>
      <c r="BD462" s="82"/>
      <c r="BE462" s="82"/>
      <c r="BF462" s="82"/>
      <c r="BG462" s="4"/>
      <c r="BH462" s="4"/>
      <c r="BI462" s="4"/>
      <c r="BJ462" s="4"/>
    </row>
    <row r="463" spans="1:62" ht="12.75" x14ac:dyDescent="0.2">
      <c r="A463" s="63"/>
      <c r="B463" s="85"/>
      <c r="C463" s="4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4"/>
      <c r="P463" s="4"/>
      <c r="Q463" s="4"/>
      <c r="R463" s="4"/>
      <c r="S463" s="4"/>
      <c r="T463" s="4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4"/>
      <c r="AG463" s="3"/>
      <c r="AH463" s="82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82"/>
      <c r="BC463" s="82"/>
      <c r="BD463" s="82"/>
      <c r="BE463" s="82"/>
      <c r="BF463" s="82"/>
      <c r="BG463" s="4"/>
      <c r="BH463" s="4"/>
      <c r="BI463" s="4"/>
      <c r="BJ463" s="4"/>
    </row>
    <row r="464" spans="1:62" ht="12.75" x14ac:dyDescent="0.2">
      <c r="A464" s="63"/>
      <c r="B464" s="85"/>
      <c r="C464" s="4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4"/>
      <c r="P464" s="4"/>
      <c r="Q464" s="4"/>
      <c r="R464" s="4"/>
      <c r="S464" s="4"/>
      <c r="T464" s="4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4"/>
      <c r="AG464" s="3"/>
      <c r="AH464" s="82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82"/>
      <c r="BC464" s="82"/>
      <c r="BD464" s="82"/>
      <c r="BE464" s="82"/>
      <c r="BF464" s="82"/>
      <c r="BG464" s="4"/>
      <c r="BH464" s="4"/>
      <c r="BI464" s="4"/>
      <c r="BJ464" s="4"/>
    </row>
    <row r="465" spans="1:62" ht="12.75" x14ac:dyDescent="0.2">
      <c r="A465" s="63"/>
      <c r="B465" s="85"/>
      <c r="C465" s="4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4"/>
      <c r="P465" s="4"/>
      <c r="Q465" s="4"/>
      <c r="R465" s="4"/>
      <c r="S465" s="4"/>
      <c r="T465" s="4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4"/>
      <c r="AG465" s="3"/>
      <c r="AH465" s="82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82"/>
      <c r="BC465" s="82"/>
      <c r="BD465" s="82"/>
      <c r="BE465" s="82"/>
      <c r="BF465" s="82"/>
      <c r="BG465" s="4"/>
      <c r="BH465" s="4"/>
      <c r="BI465" s="4"/>
      <c r="BJ465" s="4"/>
    </row>
    <row r="466" spans="1:62" ht="12.75" x14ac:dyDescent="0.2">
      <c r="A466" s="63"/>
      <c r="B466" s="85"/>
      <c r="C466" s="4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4"/>
      <c r="P466" s="4"/>
      <c r="Q466" s="4"/>
      <c r="R466" s="4"/>
      <c r="S466" s="4"/>
      <c r="T466" s="4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4"/>
      <c r="AG466" s="3"/>
      <c r="AH466" s="82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82"/>
      <c r="BC466" s="82"/>
      <c r="BD466" s="82"/>
      <c r="BE466" s="82"/>
      <c r="BF466" s="82"/>
      <c r="BG466" s="4"/>
      <c r="BH466" s="4"/>
      <c r="BI466" s="4"/>
      <c r="BJ466" s="4"/>
    </row>
    <row r="467" spans="1:62" ht="12.75" x14ac:dyDescent="0.2">
      <c r="A467" s="63"/>
      <c r="B467" s="85"/>
      <c r="C467" s="4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4"/>
      <c r="P467" s="4"/>
      <c r="Q467" s="4"/>
      <c r="R467" s="4"/>
      <c r="S467" s="4"/>
      <c r="T467" s="4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4"/>
      <c r="AG467" s="3"/>
      <c r="AH467" s="82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82"/>
      <c r="BC467" s="82"/>
      <c r="BD467" s="82"/>
      <c r="BE467" s="82"/>
      <c r="BF467" s="82"/>
      <c r="BG467" s="4"/>
      <c r="BH467" s="4"/>
      <c r="BI467" s="4"/>
      <c r="BJ467" s="4"/>
    </row>
    <row r="468" spans="1:62" ht="12.75" x14ac:dyDescent="0.2">
      <c r="A468" s="63"/>
      <c r="B468" s="85"/>
      <c r="C468" s="4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4"/>
      <c r="P468" s="4"/>
      <c r="Q468" s="4"/>
      <c r="R468" s="4"/>
      <c r="S468" s="4"/>
      <c r="T468" s="4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4"/>
      <c r="AG468" s="3"/>
      <c r="AH468" s="82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82"/>
      <c r="BC468" s="82"/>
      <c r="BD468" s="82"/>
      <c r="BE468" s="82"/>
      <c r="BF468" s="82"/>
      <c r="BG468" s="4"/>
      <c r="BH468" s="4"/>
      <c r="BI468" s="4"/>
      <c r="BJ468" s="4"/>
    </row>
    <row r="469" spans="1:62" ht="12.75" x14ac:dyDescent="0.2">
      <c r="A469" s="63"/>
      <c r="B469" s="85"/>
      <c r="C469" s="4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4"/>
      <c r="P469" s="4"/>
      <c r="Q469" s="4"/>
      <c r="R469" s="4"/>
      <c r="S469" s="4"/>
      <c r="T469" s="4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4"/>
      <c r="AG469" s="3"/>
      <c r="AH469" s="82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82"/>
      <c r="BC469" s="82"/>
      <c r="BD469" s="82"/>
      <c r="BE469" s="82"/>
      <c r="BF469" s="82"/>
      <c r="BG469" s="4"/>
      <c r="BH469" s="4"/>
      <c r="BI469" s="4"/>
      <c r="BJ469" s="4"/>
    </row>
    <row r="470" spans="1:62" ht="12.75" x14ac:dyDescent="0.2">
      <c r="A470" s="63"/>
      <c r="B470" s="85"/>
      <c r="C470" s="4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4"/>
      <c r="P470" s="4"/>
      <c r="Q470" s="4"/>
      <c r="R470" s="4"/>
      <c r="S470" s="4"/>
      <c r="T470" s="4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4"/>
      <c r="AG470" s="3"/>
      <c r="AH470" s="82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82"/>
      <c r="BC470" s="82"/>
      <c r="BD470" s="82"/>
      <c r="BE470" s="82"/>
      <c r="BF470" s="82"/>
      <c r="BG470" s="4"/>
      <c r="BH470" s="4"/>
      <c r="BI470" s="4"/>
      <c r="BJ470" s="4"/>
    </row>
    <row r="471" spans="1:62" ht="12.75" x14ac:dyDescent="0.2">
      <c r="A471" s="63"/>
      <c r="B471" s="85"/>
      <c r="C471" s="4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4"/>
      <c r="P471" s="4"/>
      <c r="Q471" s="4"/>
      <c r="R471" s="4"/>
      <c r="S471" s="4"/>
      <c r="T471" s="4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4"/>
      <c r="AG471" s="3"/>
      <c r="AH471" s="82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82"/>
      <c r="BC471" s="82"/>
      <c r="BD471" s="82"/>
      <c r="BE471" s="82"/>
      <c r="BF471" s="82"/>
      <c r="BG471" s="4"/>
      <c r="BH471" s="4"/>
      <c r="BI471" s="4"/>
      <c r="BJ471" s="4"/>
    </row>
    <row r="472" spans="1:62" ht="12.75" x14ac:dyDescent="0.2">
      <c r="A472" s="63"/>
      <c r="B472" s="85"/>
      <c r="C472" s="4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4"/>
      <c r="P472" s="4"/>
      <c r="Q472" s="4"/>
      <c r="R472" s="4"/>
      <c r="S472" s="4"/>
      <c r="T472" s="4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4"/>
      <c r="AG472" s="3"/>
      <c r="AH472" s="82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82"/>
      <c r="BC472" s="82"/>
      <c r="BD472" s="82"/>
      <c r="BE472" s="82"/>
      <c r="BF472" s="82"/>
      <c r="BG472" s="4"/>
      <c r="BH472" s="4"/>
      <c r="BI472" s="4"/>
      <c r="BJ472" s="4"/>
    </row>
    <row r="473" spans="1:62" ht="12.75" x14ac:dyDescent="0.2">
      <c r="A473" s="63"/>
      <c r="B473" s="85"/>
      <c r="C473" s="4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4"/>
      <c r="P473" s="4"/>
      <c r="Q473" s="4"/>
      <c r="R473" s="4"/>
      <c r="S473" s="4"/>
      <c r="T473" s="4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4"/>
      <c r="AG473" s="3"/>
      <c r="AH473" s="82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82"/>
      <c r="BC473" s="82"/>
      <c r="BD473" s="82"/>
      <c r="BE473" s="82"/>
      <c r="BF473" s="82"/>
      <c r="BG473" s="4"/>
      <c r="BH473" s="4"/>
      <c r="BI473" s="4"/>
      <c r="BJ473" s="4"/>
    </row>
    <row r="474" spans="1:62" ht="12.75" x14ac:dyDescent="0.2">
      <c r="A474" s="63"/>
      <c r="B474" s="85"/>
      <c r="C474" s="4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4"/>
      <c r="P474" s="4"/>
      <c r="Q474" s="4"/>
      <c r="R474" s="4"/>
      <c r="S474" s="4"/>
      <c r="T474" s="4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4"/>
      <c r="AG474" s="3"/>
      <c r="AH474" s="82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82"/>
      <c r="BC474" s="82"/>
      <c r="BD474" s="82"/>
      <c r="BE474" s="82"/>
      <c r="BF474" s="82"/>
      <c r="BG474" s="4"/>
      <c r="BH474" s="4"/>
      <c r="BI474" s="4"/>
      <c r="BJ474" s="4"/>
    </row>
    <row r="475" spans="1:62" ht="12.75" x14ac:dyDescent="0.2">
      <c r="A475" s="63"/>
      <c r="B475" s="85"/>
      <c r="C475" s="4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4"/>
      <c r="P475" s="4"/>
      <c r="Q475" s="4"/>
      <c r="R475" s="4"/>
      <c r="S475" s="4"/>
      <c r="T475" s="4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4"/>
      <c r="AG475" s="3"/>
      <c r="AH475" s="82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82"/>
      <c r="BC475" s="82"/>
      <c r="BD475" s="82"/>
      <c r="BE475" s="82"/>
      <c r="BF475" s="82"/>
      <c r="BG475" s="4"/>
      <c r="BH475" s="4"/>
      <c r="BI475" s="4"/>
      <c r="BJ475" s="4"/>
    </row>
    <row r="476" spans="1:62" ht="12.75" x14ac:dyDescent="0.2">
      <c r="A476" s="63"/>
      <c r="B476" s="85"/>
      <c r="C476" s="4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4"/>
      <c r="P476" s="4"/>
      <c r="Q476" s="4"/>
      <c r="R476" s="4"/>
      <c r="S476" s="4"/>
      <c r="T476" s="4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4"/>
      <c r="AG476" s="3"/>
      <c r="AH476" s="82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82"/>
      <c r="BC476" s="82"/>
      <c r="BD476" s="82"/>
      <c r="BE476" s="82"/>
      <c r="BF476" s="82"/>
      <c r="BG476" s="4"/>
      <c r="BH476" s="4"/>
      <c r="BI476" s="4"/>
      <c r="BJ476" s="4"/>
    </row>
    <row r="477" spans="1:62" ht="12.75" x14ac:dyDescent="0.2">
      <c r="A477" s="63"/>
      <c r="B477" s="85"/>
      <c r="C477" s="4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4"/>
      <c r="P477" s="4"/>
      <c r="Q477" s="4"/>
      <c r="R477" s="4"/>
      <c r="S477" s="4"/>
      <c r="T477" s="4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4"/>
      <c r="AG477" s="3"/>
      <c r="AH477" s="82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82"/>
      <c r="BC477" s="82"/>
      <c r="BD477" s="82"/>
      <c r="BE477" s="82"/>
      <c r="BF477" s="82"/>
      <c r="BG477" s="4"/>
      <c r="BH477" s="4"/>
      <c r="BI477" s="4"/>
      <c r="BJ477" s="4"/>
    </row>
    <row r="478" spans="1:62" ht="12.75" x14ac:dyDescent="0.2">
      <c r="A478" s="63"/>
      <c r="B478" s="85"/>
      <c r="C478" s="4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4"/>
      <c r="P478" s="4"/>
      <c r="Q478" s="4"/>
      <c r="R478" s="4"/>
      <c r="S478" s="4"/>
      <c r="T478" s="4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4"/>
      <c r="AG478" s="3"/>
      <c r="AH478" s="82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82"/>
      <c r="BC478" s="82"/>
      <c r="BD478" s="82"/>
      <c r="BE478" s="82"/>
      <c r="BF478" s="82"/>
      <c r="BG478" s="4"/>
      <c r="BH478" s="4"/>
      <c r="BI478" s="4"/>
      <c r="BJ478" s="4"/>
    </row>
    <row r="479" spans="1:62" ht="12.75" x14ac:dyDescent="0.2">
      <c r="A479" s="63"/>
      <c r="B479" s="85"/>
      <c r="C479" s="4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4"/>
      <c r="P479" s="4"/>
      <c r="Q479" s="4"/>
      <c r="R479" s="4"/>
      <c r="S479" s="4"/>
      <c r="T479" s="4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4"/>
      <c r="AG479" s="3"/>
      <c r="AH479" s="82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82"/>
      <c r="BC479" s="82"/>
      <c r="BD479" s="82"/>
      <c r="BE479" s="82"/>
      <c r="BF479" s="82"/>
      <c r="BG479" s="4"/>
      <c r="BH479" s="4"/>
      <c r="BI479" s="4"/>
      <c r="BJ479" s="4"/>
    </row>
    <row r="480" spans="1:62" ht="12.75" x14ac:dyDescent="0.2">
      <c r="A480" s="63"/>
      <c r="B480" s="85"/>
      <c r="C480" s="4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4"/>
      <c r="P480" s="4"/>
      <c r="Q480" s="4"/>
      <c r="R480" s="4"/>
      <c r="S480" s="4"/>
      <c r="T480" s="4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4"/>
      <c r="AG480" s="3"/>
      <c r="AH480" s="82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82"/>
      <c r="BC480" s="82"/>
      <c r="BD480" s="82"/>
      <c r="BE480" s="82"/>
      <c r="BF480" s="82"/>
      <c r="BG480" s="4"/>
      <c r="BH480" s="4"/>
      <c r="BI480" s="4"/>
      <c r="BJ480" s="4"/>
    </row>
    <row r="481" spans="1:62" ht="12.75" x14ac:dyDescent="0.2">
      <c r="A481" s="63"/>
      <c r="B481" s="85"/>
      <c r="C481" s="4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4"/>
      <c r="P481" s="4"/>
      <c r="Q481" s="4"/>
      <c r="R481" s="4"/>
      <c r="S481" s="4"/>
      <c r="T481" s="4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4"/>
      <c r="AG481" s="3"/>
      <c r="AH481" s="82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82"/>
      <c r="BC481" s="82"/>
      <c r="BD481" s="82"/>
      <c r="BE481" s="82"/>
      <c r="BF481" s="82"/>
      <c r="BG481" s="4"/>
      <c r="BH481" s="4"/>
      <c r="BI481" s="4"/>
      <c r="BJ481" s="4"/>
    </row>
    <row r="482" spans="1:62" ht="12.75" x14ac:dyDescent="0.2">
      <c r="A482" s="63"/>
      <c r="B482" s="85"/>
      <c r="C482" s="4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4"/>
      <c r="P482" s="4"/>
      <c r="Q482" s="4"/>
      <c r="R482" s="4"/>
      <c r="S482" s="4"/>
      <c r="T482" s="4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4"/>
      <c r="AG482" s="3"/>
      <c r="AH482" s="82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82"/>
      <c r="BC482" s="82"/>
      <c r="BD482" s="82"/>
      <c r="BE482" s="82"/>
      <c r="BF482" s="82"/>
      <c r="BG482" s="4"/>
      <c r="BH482" s="4"/>
      <c r="BI482" s="4"/>
      <c r="BJ482" s="4"/>
    </row>
    <row r="483" spans="1:62" ht="12.75" x14ac:dyDescent="0.2">
      <c r="A483" s="63"/>
      <c r="B483" s="85"/>
      <c r="C483" s="4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4"/>
      <c r="P483" s="4"/>
      <c r="Q483" s="4"/>
      <c r="R483" s="4"/>
      <c r="S483" s="4"/>
      <c r="T483" s="4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4"/>
      <c r="AG483" s="3"/>
      <c r="AH483" s="82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82"/>
      <c r="BC483" s="82"/>
      <c r="BD483" s="82"/>
      <c r="BE483" s="82"/>
      <c r="BF483" s="82"/>
      <c r="BG483" s="4"/>
      <c r="BH483" s="4"/>
      <c r="BI483" s="4"/>
      <c r="BJ483" s="4"/>
    </row>
    <row r="484" spans="1:62" ht="12.75" x14ac:dyDescent="0.2">
      <c r="A484" s="63"/>
      <c r="B484" s="85"/>
      <c r="C484" s="4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4"/>
      <c r="P484" s="4"/>
      <c r="Q484" s="4"/>
      <c r="R484" s="4"/>
      <c r="S484" s="4"/>
      <c r="T484" s="4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4"/>
      <c r="AG484" s="3"/>
      <c r="AH484" s="82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82"/>
      <c r="BC484" s="82"/>
      <c r="BD484" s="82"/>
      <c r="BE484" s="82"/>
      <c r="BF484" s="82"/>
      <c r="BG484" s="4"/>
      <c r="BH484" s="4"/>
      <c r="BI484" s="4"/>
      <c r="BJ484" s="4"/>
    </row>
    <row r="485" spans="1:62" ht="12.75" x14ac:dyDescent="0.2">
      <c r="A485" s="63"/>
      <c r="B485" s="85"/>
      <c r="C485" s="4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4"/>
      <c r="P485" s="4"/>
      <c r="Q485" s="4"/>
      <c r="R485" s="4"/>
      <c r="S485" s="4"/>
      <c r="T485" s="4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4"/>
      <c r="AG485" s="3"/>
      <c r="AH485" s="82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82"/>
      <c r="BC485" s="82"/>
      <c r="BD485" s="82"/>
      <c r="BE485" s="82"/>
      <c r="BF485" s="82"/>
      <c r="BG485" s="4"/>
      <c r="BH485" s="4"/>
      <c r="BI485" s="4"/>
      <c r="BJ485" s="4"/>
    </row>
    <row r="486" spans="1:62" ht="12.75" x14ac:dyDescent="0.2">
      <c r="A486" s="63"/>
      <c r="B486" s="85"/>
      <c r="C486" s="4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4"/>
      <c r="P486" s="4"/>
      <c r="Q486" s="4"/>
      <c r="R486" s="4"/>
      <c r="S486" s="4"/>
      <c r="T486" s="4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4"/>
      <c r="AG486" s="3"/>
      <c r="AH486" s="82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82"/>
      <c r="BC486" s="82"/>
      <c r="BD486" s="82"/>
      <c r="BE486" s="82"/>
      <c r="BF486" s="82"/>
      <c r="BG486" s="4"/>
      <c r="BH486" s="4"/>
      <c r="BI486" s="4"/>
      <c r="BJ486" s="4"/>
    </row>
    <row r="487" spans="1:62" ht="12.75" x14ac:dyDescent="0.2">
      <c r="A487" s="63"/>
      <c r="B487" s="85"/>
      <c r="C487" s="4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4"/>
      <c r="P487" s="4"/>
      <c r="Q487" s="4"/>
      <c r="R487" s="4"/>
      <c r="S487" s="4"/>
      <c r="T487" s="4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4"/>
      <c r="AG487" s="3"/>
      <c r="AH487" s="82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82"/>
      <c r="BC487" s="82"/>
      <c r="BD487" s="82"/>
      <c r="BE487" s="82"/>
      <c r="BF487" s="82"/>
      <c r="BG487" s="4"/>
      <c r="BH487" s="4"/>
      <c r="BI487" s="4"/>
      <c r="BJ487" s="4"/>
    </row>
    <row r="488" spans="1:62" ht="12.75" x14ac:dyDescent="0.2">
      <c r="A488" s="63"/>
      <c r="B488" s="85"/>
      <c r="C488" s="4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4"/>
      <c r="P488" s="4"/>
      <c r="Q488" s="4"/>
      <c r="R488" s="4"/>
      <c r="S488" s="4"/>
      <c r="T488" s="4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4"/>
      <c r="AG488" s="3"/>
      <c r="AH488" s="82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82"/>
      <c r="BC488" s="82"/>
      <c r="BD488" s="82"/>
      <c r="BE488" s="82"/>
      <c r="BF488" s="82"/>
      <c r="BG488" s="4"/>
      <c r="BH488" s="4"/>
      <c r="BI488" s="4"/>
      <c r="BJ488" s="4"/>
    </row>
    <row r="489" spans="1:62" ht="12.75" x14ac:dyDescent="0.2">
      <c r="A489" s="63"/>
      <c r="B489" s="85"/>
      <c r="C489" s="4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4"/>
      <c r="P489" s="4"/>
      <c r="Q489" s="4"/>
      <c r="R489" s="4"/>
      <c r="S489" s="4"/>
      <c r="T489" s="4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4"/>
      <c r="AG489" s="3"/>
      <c r="AH489" s="82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82"/>
      <c r="BC489" s="82"/>
      <c r="BD489" s="82"/>
      <c r="BE489" s="82"/>
      <c r="BF489" s="82"/>
      <c r="BG489" s="4"/>
      <c r="BH489" s="4"/>
      <c r="BI489" s="4"/>
      <c r="BJ489" s="4"/>
    </row>
    <row r="490" spans="1:62" ht="12.75" x14ac:dyDescent="0.2">
      <c r="A490" s="63"/>
      <c r="B490" s="85"/>
      <c r="C490" s="4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4"/>
      <c r="P490" s="4"/>
      <c r="Q490" s="4"/>
      <c r="R490" s="4"/>
      <c r="S490" s="4"/>
      <c r="T490" s="4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4"/>
      <c r="AG490" s="3"/>
      <c r="AH490" s="82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82"/>
      <c r="BC490" s="82"/>
      <c r="BD490" s="82"/>
      <c r="BE490" s="82"/>
      <c r="BF490" s="82"/>
      <c r="BG490" s="4"/>
      <c r="BH490" s="4"/>
      <c r="BI490" s="4"/>
      <c r="BJ490" s="4"/>
    </row>
    <row r="491" spans="1:62" ht="12.75" x14ac:dyDescent="0.2">
      <c r="A491" s="63"/>
      <c r="B491" s="85"/>
      <c r="C491" s="4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4"/>
      <c r="P491" s="4"/>
      <c r="Q491" s="4"/>
      <c r="R491" s="4"/>
      <c r="S491" s="4"/>
      <c r="T491" s="4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4"/>
      <c r="AG491" s="3"/>
      <c r="AH491" s="82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82"/>
      <c r="BC491" s="82"/>
      <c r="BD491" s="82"/>
      <c r="BE491" s="82"/>
      <c r="BF491" s="82"/>
      <c r="BG491" s="4"/>
      <c r="BH491" s="4"/>
      <c r="BI491" s="4"/>
      <c r="BJ491" s="4"/>
    </row>
    <row r="492" spans="1:62" ht="12.75" x14ac:dyDescent="0.2">
      <c r="A492" s="63"/>
      <c r="B492" s="85"/>
      <c r="C492" s="4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4"/>
      <c r="P492" s="4"/>
      <c r="Q492" s="4"/>
      <c r="R492" s="4"/>
      <c r="S492" s="4"/>
      <c r="T492" s="4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4"/>
      <c r="AG492" s="3"/>
      <c r="AH492" s="82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82"/>
      <c r="BC492" s="82"/>
      <c r="BD492" s="82"/>
      <c r="BE492" s="82"/>
      <c r="BF492" s="82"/>
      <c r="BG492" s="4"/>
      <c r="BH492" s="4"/>
      <c r="BI492" s="4"/>
      <c r="BJ492" s="4"/>
    </row>
    <row r="493" spans="1:62" ht="12.75" x14ac:dyDescent="0.2">
      <c r="A493" s="63"/>
      <c r="B493" s="85"/>
      <c r="C493" s="4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4"/>
      <c r="P493" s="4"/>
      <c r="Q493" s="4"/>
      <c r="R493" s="4"/>
      <c r="S493" s="4"/>
      <c r="T493" s="4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4"/>
      <c r="AG493" s="3"/>
      <c r="AH493" s="82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82"/>
      <c r="BC493" s="82"/>
      <c r="BD493" s="82"/>
      <c r="BE493" s="82"/>
      <c r="BF493" s="82"/>
      <c r="BG493" s="4"/>
      <c r="BH493" s="4"/>
      <c r="BI493" s="4"/>
      <c r="BJ493" s="4"/>
    </row>
    <row r="494" spans="1:62" ht="12.75" x14ac:dyDescent="0.2">
      <c r="A494" s="63"/>
      <c r="B494" s="85"/>
      <c r="C494" s="4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4"/>
      <c r="P494" s="4"/>
      <c r="Q494" s="4"/>
      <c r="R494" s="4"/>
      <c r="S494" s="4"/>
      <c r="T494" s="4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4"/>
      <c r="AG494" s="3"/>
      <c r="AH494" s="82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82"/>
      <c r="BC494" s="82"/>
      <c r="BD494" s="82"/>
      <c r="BE494" s="82"/>
      <c r="BF494" s="82"/>
      <c r="BG494" s="4"/>
      <c r="BH494" s="4"/>
      <c r="BI494" s="4"/>
      <c r="BJ494" s="4"/>
    </row>
    <row r="495" spans="1:62" ht="12.75" x14ac:dyDescent="0.2">
      <c r="A495" s="63"/>
      <c r="B495" s="85"/>
      <c r="C495" s="4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4"/>
      <c r="P495" s="4"/>
      <c r="Q495" s="4"/>
      <c r="R495" s="4"/>
      <c r="S495" s="4"/>
      <c r="T495" s="4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4"/>
      <c r="AG495" s="3"/>
      <c r="AH495" s="82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82"/>
      <c r="BC495" s="82"/>
      <c r="BD495" s="82"/>
      <c r="BE495" s="82"/>
      <c r="BF495" s="82"/>
      <c r="BG495" s="4"/>
      <c r="BH495" s="4"/>
      <c r="BI495" s="4"/>
      <c r="BJ495" s="4"/>
    </row>
    <row r="496" spans="1:62" ht="12.75" x14ac:dyDescent="0.2">
      <c r="A496" s="63"/>
      <c r="B496" s="85"/>
      <c r="C496" s="4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4"/>
      <c r="P496" s="4"/>
      <c r="Q496" s="4"/>
      <c r="R496" s="4"/>
      <c r="S496" s="4"/>
      <c r="T496" s="4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4"/>
      <c r="AG496" s="3"/>
      <c r="AH496" s="82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82"/>
      <c r="BC496" s="82"/>
      <c r="BD496" s="82"/>
      <c r="BE496" s="82"/>
      <c r="BF496" s="82"/>
      <c r="BG496" s="4"/>
      <c r="BH496" s="4"/>
      <c r="BI496" s="4"/>
      <c r="BJ496" s="4"/>
    </row>
    <row r="497" spans="1:62" ht="12.75" x14ac:dyDescent="0.2">
      <c r="A497" s="63"/>
      <c r="B497" s="85"/>
      <c r="C497" s="4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4"/>
      <c r="P497" s="4"/>
      <c r="Q497" s="4"/>
      <c r="R497" s="4"/>
      <c r="S497" s="4"/>
      <c r="T497" s="4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4"/>
      <c r="AG497" s="3"/>
      <c r="AH497" s="82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82"/>
      <c r="BC497" s="82"/>
      <c r="BD497" s="82"/>
      <c r="BE497" s="82"/>
      <c r="BF497" s="82"/>
      <c r="BG497" s="4"/>
      <c r="BH497" s="4"/>
      <c r="BI497" s="4"/>
      <c r="BJ497" s="4"/>
    </row>
    <row r="498" spans="1:62" ht="12.75" x14ac:dyDescent="0.2">
      <c r="A498" s="63"/>
      <c r="B498" s="85"/>
      <c r="C498" s="4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4"/>
      <c r="P498" s="4"/>
      <c r="Q498" s="4"/>
      <c r="R498" s="4"/>
      <c r="S498" s="4"/>
      <c r="T498" s="4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4"/>
      <c r="AG498" s="3"/>
      <c r="AH498" s="82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82"/>
      <c r="BC498" s="82"/>
      <c r="BD498" s="82"/>
      <c r="BE498" s="82"/>
      <c r="BF498" s="82"/>
      <c r="BG498" s="4"/>
      <c r="BH498" s="4"/>
      <c r="BI498" s="4"/>
      <c r="BJ498" s="4"/>
    </row>
    <row r="499" spans="1:62" ht="12.75" x14ac:dyDescent="0.2">
      <c r="A499" s="63"/>
      <c r="B499" s="85"/>
      <c r="C499" s="4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4"/>
      <c r="P499" s="4"/>
      <c r="Q499" s="4"/>
      <c r="R499" s="4"/>
      <c r="S499" s="4"/>
      <c r="T499" s="4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4"/>
      <c r="AG499" s="3"/>
      <c r="AH499" s="82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82"/>
      <c r="BC499" s="82"/>
      <c r="BD499" s="82"/>
      <c r="BE499" s="82"/>
      <c r="BF499" s="82"/>
      <c r="BG499" s="4"/>
      <c r="BH499" s="4"/>
      <c r="BI499" s="4"/>
      <c r="BJ499" s="4"/>
    </row>
    <row r="500" spans="1:62" ht="12.75" x14ac:dyDescent="0.2">
      <c r="A500" s="63"/>
      <c r="B500" s="85"/>
      <c r="C500" s="4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4"/>
      <c r="P500" s="4"/>
      <c r="Q500" s="4"/>
      <c r="R500" s="4"/>
      <c r="S500" s="4"/>
      <c r="T500" s="4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4"/>
      <c r="AG500" s="3"/>
      <c r="AH500" s="82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82"/>
      <c r="BC500" s="82"/>
      <c r="BD500" s="82"/>
      <c r="BE500" s="82"/>
      <c r="BF500" s="82"/>
      <c r="BG500" s="4"/>
      <c r="BH500" s="4"/>
      <c r="BI500" s="4"/>
      <c r="BJ500" s="4"/>
    </row>
    <row r="501" spans="1:62" ht="12.75" x14ac:dyDescent="0.2">
      <c r="A501" s="63"/>
      <c r="B501" s="85"/>
      <c r="C501" s="4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4"/>
      <c r="P501" s="4"/>
      <c r="Q501" s="4"/>
      <c r="R501" s="4"/>
      <c r="S501" s="4"/>
      <c r="T501" s="4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4"/>
      <c r="AG501" s="3"/>
      <c r="AH501" s="82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82"/>
      <c r="BC501" s="82"/>
      <c r="BD501" s="82"/>
      <c r="BE501" s="82"/>
      <c r="BF501" s="82"/>
      <c r="BG501" s="4"/>
      <c r="BH501" s="4"/>
      <c r="BI501" s="4"/>
      <c r="BJ501" s="4"/>
    </row>
    <row r="502" spans="1:62" ht="12.75" x14ac:dyDescent="0.2">
      <c r="A502" s="63"/>
      <c r="B502" s="85"/>
      <c r="C502" s="4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4"/>
      <c r="P502" s="4"/>
      <c r="Q502" s="4"/>
      <c r="R502" s="4"/>
      <c r="S502" s="4"/>
      <c r="T502" s="4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4"/>
      <c r="AG502" s="3"/>
      <c r="AH502" s="82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82"/>
      <c r="BC502" s="82"/>
      <c r="BD502" s="82"/>
      <c r="BE502" s="82"/>
      <c r="BF502" s="82"/>
      <c r="BG502" s="4"/>
      <c r="BH502" s="4"/>
      <c r="BI502" s="4"/>
      <c r="BJ502" s="4"/>
    </row>
    <row r="503" spans="1:62" ht="12.75" x14ac:dyDescent="0.2">
      <c r="A503" s="63"/>
      <c r="B503" s="85"/>
      <c r="C503" s="4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4"/>
      <c r="P503" s="4"/>
      <c r="Q503" s="4"/>
      <c r="R503" s="4"/>
      <c r="S503" s="4"/>
      <c r="T503" s="4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4"/>
      <c r="AG503" s="3"/>
      <c r="AH503" s="82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82"/>
      <c r="BC503" s="82"/>
      <c r="BD503" s="82"/>
      <c r="BE503" s="82"/>
      <c r="BF503" s="82"/>
      <c r="BG503" s="4"/>
      <c r="BH503" s="4"/>
      <c r="BI503" s="4"/>
      <c r="BJ503" s="4"/>
    </row>
    <row r="504" spans="1:62" ht="12.75" x14ac:dyDescent="0.2">
      <c r="A504" s="63"/>
      <c r="B504" s="85"/>
      <c r="C504" s="4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4"/>
      <c r="P504" s="4"/>
      <c r="Q504" s="4"/>
      <c r="R504" s="4"/>
      <c r="S504" s="4"/>
      <c r="T504" s="4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4"/>
      <c r="AG504" s="3"/>
      <c r="AH504" s="82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82"/>
      <c r="BC504" s="82"/>
      <c r="BD504" s="82"/>
      <c r="BE504" s="82"/>
      <c r="BF504" s="82"/>
      <c r="BG504" s="4"/>
      <c r="BH504" s="4"/>
      <c r="BI504" s="4"/>
      <c r="BJ504" s="4"/>
    </row>
    <row r="505" spans="1:62" ht="12.75" x14ac:dyDescent="0.2">
      <c r="A505" s="63"/>
      <c r="B505" s="85"/>
      <c r="C505" s="4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4"/>
      <c r="P505" s="4"/>
      <c r="Q505" s="4"/>
      <c r="R505" s="4"/>
      <c r="S505" s="4"/>
      <c r="T505" s="4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4"/>
      <c r="AG505" s="3"/>
      <c r="AH505" s="82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82"/>
      <c r="BC505" s="82"/>
      <c r="BD505" s="82"/>
      <c r="BE505" s="82"/>
      <c r="BF505" s="82"/>
      <c r="BG505" s="4"/>
      <c r="BH505" s="4"/>
      <c r="BI505" s="4"/>
      <c r="BJ505" s="4"/>
    </row>
    <row r="506" spans="1:62" ht="12.75" x14ac:dyDescent="0.2">
      <c r="A506" s="63"/>
      <c r="B506" s="85"/>
      <c r="C506" s="4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4"/>
      <c r="P506" s="4"/>
      <c r="Q506" s="4"/>
      <c r="R506" s="4"/>
      <c r="S506" s="4"/>
      <c r="T506" s="4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4"/>
      <c r="AG506" s="3"/>
      <c r="AH506" s="82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82"/>
      <c r="BC506" s="82"/>
      <c r="BD506" s="82"/>
      <c r="BE506" s="82"/>
      <c r="BF506" s="82"/>
      <c r="BG506" s="4"/>
      <c r="BH506" s="4"/>
      <c r="BI506" s="4"/>
      <c r="BJ506" s="4"/>
    </row>
    <row r="507" spans="1:62" ht="12.75" x14ac:dyDescent="0.2">
      <c r="A507" s="63"/>
      <c r="B507" s="85"/>
      <c r="C507" s="4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4"/>
      <c r="P507" s="4"/>
      <c r="Q507" s="4"/>
      <c r="R507" s="4"/>
      <c r="S507" s="4"/>
      <c r="T507" s="4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4"/>
      <c r="AG507" s="3"/>
      <c r="AH507" s="82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82"/>
      <c r="BC507" s="82"/>
      <c r="BD507" s="82"/>
      <c r="BE507" s="82"/>
      <c r="BF507" s="82"/>
      <c r="BG507" s="4"/>
      <c r="BH507" s="4"/>
      <c r="BI507" s="4"/>
      <c r="BJ507" s="4"/>
    </row>
    <row r="508" spans="1:62" ht="12.75" x14ac:dyDescent="0.2">
      <c r="A508" s="63"/>
      <c r="B508" s="85"/>
      <c r="C508" s="4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4"/>
      <c r="P508" s="4"/>
      <c r="Q508" s="4"/>
      <c r="R508" s="4"/>
      <c r="S508" s="4"/>
      <c r="T508" s="4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4"/>
      <c r="AG508" s="3"/>
      <c r="AH508" s="82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82"/>
      <c r="BC508" s="82"/>
      <c r="BD508" s="82"/>
      <c r="BE508" s="82"/>
      <c r="BF508" s="82"/>
      <c r="BG508" s="4"/>
      <c r="BH508" s="4"/>
      <c r="BI508" s="4"/>
      <c r="BJ508" s="4"/>
    </row>
    <row r="509" spans="1:62" ht="12.75" x14ac:dyDescent="0.2">
      <c r="A509" s="63"/>
      <c r="B509" s="85"/>
      <c r="C509" s="4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4"/>
      <c r="P509" s="4"/>
      <c r="Q509" s="4"/>
      <c r="R509" s="4"/>
      <c r="S509" s="4"/>
      <c r="T509" s="4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4"/>
      <c r="AG509" s="3"/>
      <c r="AH509" s="82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82"/>
      <c r="BC509" s="82"/>
      <c r="BD509" s="82"/>
      <c r="BE509" s="82"/>
      <c r="BF509" s="82"/>
      <c r="BG509" s="4"/>
      <c r="BH509" s="4"/>
      <c r="BI509" s="4"/>
      <c r="BJ509" s="4"/>
    </row>
    <row r="510" spans="1:62" ht="12.75" x14ac:dyDescent="0.2">
      <c r="A510" s="63"/>
      <c r="B510" s="85"/>
      <c r="C510" s="4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4"/>
      <c r="P510" s="4"/>
      <c r="Q510" s="4"/>
      <c r="R510" s="4"/>
      <c r="S510" s="4"/>
      <c r="T510" s="4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4"/>
      <c r="AG510" s="3"/>
      <c r="AH510" s="82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82"/>
      <c r="BC510" s="82"/>
      <c r="BD510" s="82"/>
      <c r="BE510" s="82"/>
      <c r="BF510" s="82"/>
      <c r="BG510" s="4"/>
      <c r="BH510" s="4"/>
      <c r="BI510" s="4"/>
      <c r="BJ510" s="4"/>
    </row>
    <row r="511" spans="1:62" ht="12.75" x14ac:dyDescent="0.2">
      <c r="A511" s="63"/>
      <c r="B511" s="85"/>
      <c r="C511" s="4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4"/>
      <c r="P511" s="4"/>
      <c r="Q511" s="4"/>
      <c r="R511" s="4"/>
      <c r="S511" s="4"/>
      <c r="T511" s="4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4"/>
      <c r="AG511" s="3"/>
      <c r="AH511" s="82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82"/>
      <c r="BC511" s="82"/>
      <c r="BD511" s="82"/>
      <c r="BE511" s="82"/>
      <c r="BF511" s="82"/>
      <c r="BG511" s="4"/>
      <c r="BH511" s="4"/>
      <c r="BI511" s="4"/>
      <c r="BJ511" s="4"/>
    </row>
    <row r="512" spans="1:62" ht="12.75" x14ac:dyDescent="0.2">
      <c r="A512" s="63"/>
      <c r="B512" s="85"/>
      <c r="C512" s="4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4"/>
      <c r="P512" s="4"/>
      <c r="Q512" s="4"/>
      <c r="R512" s="4"/>
      <c r="S512" s="4"/>
      <c r="T512" s="4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4"/>
      <c r="AG512" s="3"/>
      <c r="AH512" s="82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82"/>
      <c r="BC512" s="82"/>
      <c r="BD512" s="82"/>
      <c r="BE512" s="82"/>
      <c r="BF512" s="82"/>
      <c r="BG512" s="4"/>
      <c r="BH512" s="4"/>
      <c r="BI512" s="4"/>
      <c r="BJ512" s="4"/>
    </row>
    <row r="513" spans="1:62" ht="12.75" x14ac:dyDescent="0.2">
      <c r="A513" s="63"/>
      <c r="B513" s="85"/>
      <c r="C513" s="4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4"/>
      <c r="P513" s="4"/>
      <c r="Q513" s="4"/>
      <c r="R513" s="4"/>
      <c r="S513" s="4"/>
      <c r="T513" s="4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4"/>
      <c r="AG513" s="3"/>
      <c r="AH513" s="82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82"/>
      <c r="BC513" s="82"/>
      <c r="BD513" s="82"/>
      <c r="BE513" s="82"/>
      <c r="BF513" s="82"/>
      <c r="BG513" s="4"/>
      <c r="BH513" s="4"/>
      <c r="BI513" s="4"/>
      <c r="BJ513" s="4"/>
    </row>
    <row r="514" spans="1:62" ht="12.75" x14ac:dyDescent="0.2">
      <c r="A514" s="63"/>
      <c r="B514" s="85"/>
      <c r="C514" s="4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4"/>
      <c r="P514" s="4"/>
      <c r="Q514" s="4"/>
      <c r="R514" s="4"/>
      <c r="S514" s="4"/>
      <c r="T514" s="4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4"/>
      <c r="AG514" s="3"/>
      <c r="AH514" s="82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82"/>
      <c r="BC514" s="82"/>
      <c r="BD514" s="82"/>
      <c r="BE514" s="82"/>
      <c r="BF514" s="82"/>
      <c r="BG514" s="4"/>
      <c r="BH514" s="4"/>
      <c r="BI514" s="4"/>
      <c r="BJ514" s="4"/>
    </row>
    <row r="515" spans="1:62" ht="12.75" x14ac:dyDescent="0.2">
      <c r="A515" s="63"/>
      <c r="B515" s="85"/>
      <c r="C515" s="4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4"/>
      <c r="P515" s="4"/>
      <c r="Q515" s="4"/>
      <c r="R515" s="4"/>
      <c r="S515" s="4"/>
      <c r="T515" s="4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4"/>
      <c r="AG515" s="3"/>
      <c r="AH515" s="82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82"/>
      <c r="BC515" s="82"/>
      <c r="BD515" s="82"/>
      <c r="BE515" s="82"/>
      <c r="BF515" s="82"/>
      <c r="BG515" s="4"/>
      <c r="BH515" s="4"/>
      <c r="BI515" s="4"/>
      <c r="BJ515" s="4"/>
    </row>
    <row r="516" spans="1:62" ht="12.75" x14ac:dyDescent="0.2">
      <c r="A516" s="63"/>
      <c r="B516" s="85"/>
      <c r="C516" s="4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4"/>
      <c r="P516" s="4"/>
      <c r="Q516" s="4"/>
      <c r="R516" s="4"/>
      <c r="S516" s="4"/>
      <c r="T516" s="4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4"/>
      <c r="AG516" s="3"/>
      <c r="AH516" s="82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82"/>
      <c r="BC516" s="82"/>
      <c r="BD516" s="82"/>
      <c r="BE516" s="82"/>
      <c r="BF516" s="82"/>
      <c r="BG516" s="4"/>
      <c r="BH516" s="4"/>
      <c r="BI516" s="4"/>
      <c r="BJ516" s="4"/>
    </row>
    <row r="517" spans="1:62" ht="12.75" x14ac:dyDescent="0.2">
      <c r="A517" s="63"/>
      <c r="B517" s="85"/>
      <c r="C517" s="4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4"/>
      <c r="P517" s="4"/>
      <c r="Q517" s="4"/>
      <c r="R517" s="4"/>
      <c r="S517" s="4"/>
      <c r="T517" s="4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4"/>
      <c r="AG517" s="3"/>
      <c r="AH517" s="82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82"/>
      <c r="BC517" s="82"/>
      <c r="BD517" s="82"/>
      <c r="BE517" s="82"/>
      <c r="BF517" s="82"/>
      <c r="BG517" s="4"/>
      <c r="BH517" s="4"/>
      <c r="BI517" s="4"/>
      <c r="BJ517" s="4"/>
    </row>
    <row r="518" spans="1:62" ht="12.75" x14ac:dyDescent="0.2">
      <c r="A518" s="63"/>
      <c r="B518" s="85"/>
      <c r="C518" s="4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4"/>
      <c r="P518" s="4"/>
      <c r="Q518" s="4"/>
      <c r="R518" s="4"/>
      <c r="S518" s="4"/>
      <c r="T518" s="4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4"/>
      <c r="AG518" s="3"/>
      <c r="AH518" s="82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82"/>
      <c r="BC518" s="82"/>
      <c r="BD518" s="82"/>
      <c r="BE518" s="82"/>
      <c r="BF518" s="82"/>
      <c r="BG518" s="4"/>
      <c r="BH518" s="4"/>
      <c r="BI518" s="4"/>
      <c r="BJ518" s="4"/>
    </row>
    <row r="519" spans="1:62" ht="12.75" x14ac:dyDescent="0.2">
      <c r="A519" s="63"/>
      <c r="B519" s="85"/>
      <c r="C519" s="4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4"/>
      <c r="P519" s="4"/>
      <c r="Q519" s="4"/>
      <c r="R519" s="4"/>
      <c r="S519" s="4"/>
      <c r="T519" s="4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4"/>
      <c r="AG519" s="3"/>
      <c r="AH519" s="82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82"/>
      <c r="BC519" s="82"/>
      <c r="BD519" s="82"/>
      <c r="BE519" s="82"/>
      <c r="BF519" s="82"/>
      <c r="BG519" s="4"/>
      <c r="BH519" s="4"/>
      <c r="BI519" s="4"/>
      <c r="BJ519" s="4"/>
    </row>
    <row r="520" spans="1:62" ht="12.75" x14ac:dyDescent="0.2">
      <c r="A520" s="63"/>
      <c r="B520" s="85"/>
      <c r="C520" s="4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4"/>
      <c r="P520" s="4"/>
      <c r="Q520" s="4"/>
      <c r="R520" s="4"/>
      <c r="S520" s="4"/>
      <c r="T520" s="4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4"/>
      <c r="AG520" s="3"/>
      <c r="AH520" s="82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82"/>
      <c r="BC520" s="82"/>
      <c r="BD520" s="82"/>
      <c r="BE520" s="82"/>
      <c r="BF520" s="82"/>
      <c r="BG520" s="4"/>
      <c r="BH520" s="4"/>
      <c r="BI520" s="4"/>
      <c r="BJ520" s="4"/>
    </row>
    <row r="521" spans="1:62" ht="12.75" x14ac:dyDescent="0.2">
      <c r="A521" s="63"/>
      <c r="B521" s="85"/>
      <c r="C521" s="4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4"/>
      <c r="P521" s="4"/>
      <c r="Q521" s="4"/>
      <c r="R521" s="4"/>
      <c r="S521" s="4"/>
      <c r="T521" s="4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4"/>
      <c r="AG521" s="3"/>
      <c r="AH521" s="82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82"/>
      <c r="BC521" s="82"/>
      <c r="BD521" s="82"/>
      <c r="BE521" s="82"/>
      <c r="BF521" s="82"/>
      <c r="BG521" s="4"/>
      <c r="BH521" s="4"/>
      <c r="BI521" s="4"/>
      <c r="BJ521" s="4"/>
    </row>
    <row r="522" spans="1:62" ht="12.75" x14ac:dyDescent="0.2">
      <c r="A522" s="63"/>
      <c r="B522" s="85"/>
      <c r="C522" s="4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4"/>
      <c r="P522" s="4"/>
      <c r="Q522" s="4"/>
      <c r="R522" s="4"/>
      <c r="S522" s="4"/>
      <c r="T522" s="4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4"/>
      <c r="AG522" s="3"/>
      <c r="AH522" s="82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82"/>
      <c r="BC522" s="82"/>
      <c r="BD522" s="82"/>
      <c r="BE522" s="82"/>
      <c r="BF522" s="82"/>
      <c r="BG522" s="4"/>
      <c r="BH522" s="4"/>
      <c r="BI522" s="4"/>
      <c r="BJ522" s="4"/>
    </row>
    <row r="523" spans="1:62" ht="12.75" x14ac:dyDescent="0.2">
      <c r="A523" s="63"/>
      <c r="B523" s="85"/>
      <c r="C523" s="4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4"/>
      <c r="P523" s="4"/>
      <c r="Q523" s="4"/>
      <c r="R523" s="4"/>
      <c r="S523" s="4"/>
      <c r="T523" s="4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4"/>
      <c r="AG523" s="3"/>
      <c r="AH523" s="82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82"/>
      <c r="BC523" s="82"/>
      <c r="BD523" s="82"/>
      <c r="BE523" s="82"/>
      <c r="BF523" s="82"/>
      <c r="BG523" s="4"/>
      <c r="BH523" s="4"/>
      <c r="BI523" s="4"/>
      <c r="BJ523" s="4"/>
    </row>
    <row r="524" spans="1:62" ht="12.75" x14ac:dyDescent="0.2">
      <c r="A524" s="63"/>
      <c r="B524" s="85"/>
      <c r="C524" s="4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4"/>
      <c r="P524" s="4"/>
      <c r="Q524" s="4"/>
      <c r="R524" s="4"/>
      <c r="S524" s="4"/>
      <c r="T524" s="4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4"/>
      <c r="AG524" s="3"/>
      <c r="AH524" s="82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82"/>
      <c r="BC524" s="82"/>
      <c r="BD524" s="82"/>
      <c r="BE524" s="82"/>
      <c r="BF524" s="82"/>
      <c r="BG524" s="4"/>
      <c r="BH524" s="4"/>
      <c r="BI524" s="4"/>
      <c r="BJ524" s="4"/>
    </row>
    <row r="525" spans="1:62" ht="12.75" x14ac:dyDescent="0.2">
      <c r="A525" s="63"/>
      <c r="B525" s="85"/>
      <c r="C525" s="4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4"/>
      <c r="P525" s="4"/>
      <c r="Q525" s="4"/>
      <c r="R525" s="4"/>
      <c r="S525" s="4"/>
      <c r="T525" s="4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4"/>
      <c r="AG525" s="3"/>
      <c r="AH525" s="82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82"/>
      <c r="BC525" s="82"/>
      <c r="BD525" s="82"/>
      <c r="BE525" s="82"/>
      <c r="BF525" s="82"/>
      <c r="BG525" s="4"/>
      <c r="BH525" s="4"/>
      <c r="BI525" s="4"/>
      <c r="BJ525" s="4"/>
    </row>
    <row r="526" spans="1:62" ht="12.75" x14ac:dyDescent="0.2">
      <c r="A526" s="63"/>
      <c r="B526" s="85"/>
      <c r="C526" s="4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4"/>
      <c r="P526" s="4"/>
      <c r="Q526" s="4"/>
      <c r="R526" s="4"/>
      <c r="S526" s="4"/>
      <c r="T526" s="4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4"/>
      <c r="AG526" s="3"/>
      <c r="AH526" s="82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82"/>
      <c r="BC526" s="82"/>
      <c r="BD526" s="82"/>
      <c r="BE526" s="82"/>
      <c r="BF526" s="82"/>
      <c r="BG526" s="4"/>
      <c r="BH526" s="4"/>
      <c r="BI526" s="4"/>
      <c r="BJ526" s="4"/>
    </row>
    <row r="527" spans="1:62" ht="12.75" x14ac:dyDescent="0.2">
      <c r="A527" s="63"/>
      <c r="B527" s="85"/>
      <c r="C527" s="4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4"/>
      <c r="P527" s="4"/>
      <c r="Q527" s="4"/>
      <c r="R527" s="4"/>
      <c r="S527" s="4"/>
      <c r="T527" s="4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4"/>
      <c r="AG527" s="3"/>
      <c r="AH527" s="82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82"/>
      <c r="BC527" s="82"/>
      <c r="BD527" s="82"/>
      <c r="BE527" s="82"/>
      <c r="BF527" s="82"/>
      <c r="BG527" s="4"/>
      <c r="BH527" s="4"/>
      <c r="BI527" s="4"/>
      <c r="BJ527" s="4"/>
    </row>
    <row r="528" spans="1:62" ht="12.75" x14ac:dyDescent="0.2">
      <c r="A528" s="63"/>
      <c r="B528" s="85"/>
      <c r="C528" s="4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4"/>
      <c r="P528" s="4"/>
      <c r="Q528" s="4"/>
      <c r="R528" s="4"/>
      <c r="S528" s="4"/>
      <c r="T528" s="4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4"/>
      <c r="AG528" s="3"/>
      <c r="AH528" s="82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82"/>
      <c r="BC528" s="82"/>
      <c r="BD528" s="82"/>
      <c r="BE528" s="82"/>
      <c r="BF528" s="82"/>
      <c r="BG528" s="4"/>
      <c r="BH528" s="4"/>
      <c r="BI528" s="4"/>
      <c r="BJ528" s="4"/>
    </row>
    <row r="529" spans="1:62" ht="12.75" x14ac:dyDescent="0.2">
      <c r="A529" s="63"/>
      <c r="B529" s="85"/>
      <c r="C529" s="4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4"/>
      <c r="P529" s="4"/>
      <c r="Q529" s="4"/>
      <c r="R529" s="4"/>
      <c r="S529" s="4"/>
      <c r="T529" s="4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4"/>
      <c r="AG529" s="3"/>
      <c r="AH529" s="82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82"/>
      <c r="BC529" s="82"/>
      <c r="BD529" s="82"/>
      <c r="BE529" s="82"/>
      <c r="BF529" s="82"/>
      <c r="BG529" s="4"/>
      <c r="BH529" s="4"/>
      <c r="BI529" s="4"/>
      <c r="BJ529" s="4"/>
    </row>
    <row r="530" spans="1:62" ht="12.75" x14ac:dyDescent="0.2">
      <c r="A530" s="63"/>
      <c r="B530" s="85"/>
      <c r="C530" s="4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4"/>
      <c r="P530" s="4"/>
      <c r="Q530" s="4"/>
      <c r="R530" s="4"/>
      <c r="S530" s="4"/>
      <c r="T530" s="4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4"/>
      <c r="AG530" s="3"/>
      <c r="AH530" s="82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82"/>
      <c r="BC530" s="82"/>
      <c r="BD530" s="82"/>
      <c r="BE530" s="82"/>
      <c r="BF530" s="82"/>
      <c r="BG530" s="4"/>
      <c r="BH530" s="4"/>
      <c r="BI530" s="4"/>
      <c r="BJ530" s="4"/>
    </row>
    <row r="531" spans="1:62" ht="12.75" x14ac:dyDescent="0.2">
      <c r="A531" s="63"/>
      <c r="B531" s="85"/>
      <c r="C531" s="4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4"/>
      <c r="P531" s="4"/>
      <c r="Q531" s="4"/>
      <c r="R531" s="4"/>
      <c r="S531" s="4"/>
      <c r="T531" s="4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4"/>
      <c r="AG531" s="3"/>
      <c r="AH531" s="82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82"/>
      <c r="BC531" s="82"/>
      <c r="BD531" s="82"/>
      <c r="BE531" s="82"/>
      <c r="BF531" s="82"/>
      <c r="BG531" s="4"/>
      <c r="BH531" s="4"/>
      <c r="BI531" s="4"/>
      <c r="BJ531" s="4"/>
    </row>
    <row r="532" spans="1:62" ht="12.75" x14ac:dyDescent="0.2">
      <c r="A532" s="63"/>
      <c r="B532" s="85"/>
      <c r="C532" s="4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4"/>
      <c r="P532" s="4"/>
      <c r="Q532" s="4"/>
      <c r="R532" s="4"/>
      <c r="S532" s="4"/>
      <c r="T532" s="4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4"/>
      <c r="AG532" s="3"/>
      <c r="AH532" s="82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82"/>
      <c r="BC532" s="82"/>
      <c r="BD532" s="82"/>
      <c r="BE532" s="82"/>
      <c r="BF532" s="82"/>
      <c r="BG532" s="4"/>
      <c r="BH532" s="4"/>
      <c r="BI532" s="4"/>
      <c r="BJ532" s="4"/>
    </row>
    <row r="533" spans="1:62" ht="12.75" x14ac:dyDescent="0.2">
      <c r="A533" s="63"/>
      <c r="B533" s="85"/>
      <c r="C533" s="4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4"/>
      <c r="P533" s="4"/>
      <c r="Q533" s="4"/>
      <c r="R533" s="4"/>
      <c r="S533" s="4"/>
      <c r="T533" s="4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4"/>
      <c r="AG533" s="3"/>
      <c r="AH533" s="82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82"/>
      <c r="BC533" s="82"/>
      <c r="BD533" s="82"/>
      <c r="BE533" s="82"/>
      <c r="BF533" s="82"/>
      <c r="BG533" s="4"/>
      <c r="BH533" s="4"/>
      <c r="BI533" s="4"/>
      <c r="BJ533" s="4"/>
    </row>
    <row r="534" spans="1:62" ht="12.75" x14ac:dyDescent="0.2">
      <c r="A534" s="63"/>
      <c r="B534" s="85"/>
      <c r="C534" s="4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4"/>
      <c r="P534" s="4"/>
      <c r="Q534" s="4"/>
      <c r="R534" s="4"/>
      <c r="S534" s="4"/>
      <c r="T534" s="4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4"/>
      <c r="AG534" s="3"/>
      <c r="AH534" s="82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82"/>
      <c r="BC534" s="82"/>
      <c r="BD534" s="82"/>
      <c r="BE534" s="82"/>
      <c r="BF534" s="82"/>
      <c r="BG534" s="4"/>
      <c r="BH534" s="4"/>
      <c r="BI534" s="4"/>
      <c r="BJ534" s="4"/>
    </row>
    <row r="535" spans="1:62" ht="12.75" x14ac:dyDescent="0.2">
      <c r="A535" s="63"/>
      <c r="B535" s="85"/>
      <c r="C535" s="4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4"/>
      <c r="P535" s="4"/>
      <c r="Q535" s="4"/>
      <c r="R535" s="4"/>
      <c r="S535" s="4"/>
      <c r="T535" s="4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4"/>
      <c r="AG535" s="3"/>
      <c r="AH535" s="82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82"/>
      <c r="BC535" s="82"/>
      <c r="BD535" s="82"/>
      <c r="BE535" s="82"/>
      <c r="BF535" s="82"/>
      <c r="BG535" s="4"/>
      <c r="BH535" s="4"/>
      <c r="BI535" s="4"/>
      <c r="BJ535" s="4"/>
    </row>
    <row r="536" spans="1:62" ht="12.75" x14ac:dyDescent="0.2">
      <c r="A536" s="63"/>
      <c r="B536" s="85"/>
      <c r="C536" s="4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4"/>
      <c r="P536" s="4"/>
      <c r="Q536" s="4"/>
      <c r="R536" s="4"/>
      <c r="S536" s="4"/>
      <c r="T536" s="4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4"/>
      <c r="AG536" s="3"/>
      <c r="AH536" s="82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82"/>
      <c r="BC536" s="82"/>
      <c r="BD536" s="82"/>
      <c r="BE536" s="82"/>
      <c r="BF536" s="82"/>
      <c r="BG536" s="4"/>
      <c r="BH536" s="4"/>
      <c r="BI536" s="4"/>
      <c r="BJ536" s="4"/>
    </row>
    <row r="537" spans="1:62" ht="12.75" x14ac:dyDescent="0.2">
      <c r="A537" s="63"/>
      <c r="B537" s="85"/>
      <c r="C537" s="4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4"/>
      <c r="P537" s="4"/>
      <c r="Q537" s="4"/>
      <c r="R537" s="4"/>
      <c r="S537" s="4"/>
      <c r="T537" s="4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4"/>
      <c r="AG537" s="3"/>
      <c r="AH537" s="82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82"/>
      <c r="BC537" s="82"/>
      <c r="BD537" s="82"/>
      <c r="BE537" s="82"/>
      <c r="BF537" s="82"/>
      <c r="BG537" s="4"/>
      <c r="BH537" s="4"/>
      <c r="BI537" s="4"/>
      <c r="BJ537" s="4"/>
    </row>
    <row r="538" spans="1:62" ht="12.75" x14ac:dyDescent="0.2">
      <c r="A538" s="63"/>
      <c r="B538" s="85"/>
      <c r="C538" s="4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4"/>
      <c r="P538" s="4"/>
      <c r="Q538" s="4"/>
      <c r="R538" s="4"/>
      <c r="S538" s="4"/>
      <c r="T538" s="4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4"/>
      <c r="AG538" s="3"/>
      <c r="AH538" s="82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82"/>
      <c r="BC538" s="82"/>
      <c r="BD538" s="82"/>
      <c r="BE538" s="82"/>
      <c r="BF538" s="82"/>
      <c r="BG538" s="4"/>
      <c r="BH538" s="4"/>
      <c r="BI538" s="4"/>
      <c r="BJ538" s="4"/>
    </row>
    <row r="539" spans="1:62" ht="12.75" x14ac:dyDescent="0.2">
      <c r="A539" s="63"/>
      <c r="B539" s="85"/>
      <c r="C539" s="4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4"/>
      <c r="P539" s="4"/>
      <c r="Q539" s="4"/>
      <c r="R539" s="4"/>
      <c r="S539" s="4"/>
      <c r="T539" s="4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4"/>
      <c r="AG539" s="3"/>
      <c r="AH539" s="82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82"/>
      <c r="BC539" s="82"/>
      <c r="BD539" s="82"/>
      <c r="BE539" s="82"/>
      <c r="BF539" s="82"/>
      <c r="BG539" s="4"/>
      <c r="BH539" s="4"/>
      <c r="BI539" s="4"/>
      <c r="BJ539" s="4"/>
    </row>
    <row r="540" spans="1:62" ht="12.75" x14ac:dyDescent="0.2">
      <c r="A540" s="63"/>
      <c r="B540" s="85"/>
      <c r="C540" s="4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4"/>
      <c r="P540" s="4"/>
      <c r="Q540" s="4"/>
      <c r="R540" s="4"/>
      <c r="S540" s="4"/>
      <c r="T540" s="4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4"/>
      <c r="AG540" s="3"/>
      <c r="AH540" s="82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82"/>
      <c r="BC540" s="82"/>
      <c r="BD540" s="82"/>
      <c r="BE540" s="82"/>
      <c r="BF540" s="82"/>
      <c r="BG540" s="4"/>
      <c r="BH540" s="4"/>
      <c r="BI540" s="4"/>
      <c r="BJ540" s="4"/>
    </row>
    <row r="541" spans="1:62" ht="12.75" x14ac:dyDescent="0.2">
      <c r="A541" s="63"/>
      <c r="B541" s="85"/>
      <c r="C541" s="4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4"/>
      <c r="P541" s="4"/>
      <c r="Q541" s="4"/>
      <c r="R541" s="4"/>
      <c r="S541" s="4"/>
      <c r="T541" s="4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4"/>
      <c r="AG541" s="3"/>
      <c r="AH541" s="82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82"/>
      <c r="BC541" s="82"/>
      <c r="BD541" s="82"/>
      <c r="BE541" s="82"/>
      <c r="BF541" s="82"/>
      <c r="BG541" s="4"/>
      <c r="BH541" s="4"/>
      <c r="BI541" s="4"/>
      <c r="BJ541" s="4"/>
    </row>
    <row r="542" spans="1:62" ht="12.75" x14ac:dyDescent="0.2">
      <c r="A542" s="63"/>
      <c r="B542" s="85"/>
      <c r="C542" s="4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4"/>
      <c r="P542" s="4"/>
      <c r="Q542" s="4"/>
      <c r="R542" s="4"/>
      <c r="S542" s="4"/>
      <c r="T542" s="4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4"/>
      <c r="AG542" s="3"/>
      <c r="AH542" s="82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82"/>
      <c r="BC542" s="82"/>
      <c r="BD542" s="82"/>
      <c r="BE542" s="82"/>
      <c r="BF542" s="82"/>
      <c r="BG542" s="4"/>
      <c r="BH542" s="4"/>
      <c r="BI542" s="4"/>
      <c r="BJ542" s="4"/>
    </row>
    <row r="543" spans="1:62" ht="12.75" x14ac:dyDescent="0.2">
      <c r="A543" s="63"/>
      <c r="B543" s="85"/>
      <c r="C543" s="4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4"/>
      <c r="P543" s="4"/>
      <c r="Q543" s="4"/>
      <c r="R543" s="4"/>
      <c r="S543" s="4"/>
      <c r="T543" s="4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4"/>
      <c r="AG543" s="3"/>
      <c r="AH543" s="82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82"/>
      <c r="BC543" s="82"/>
      <c r="BD543" s="82"/>
      <c r="BE543" s="82"/>
      <c r="BF543" s="82"/>
      <c r="BG543" s="4"/>
      <c r="BH543" s="4"/>
      <c r="BI543" s="4"/>
      <c r="BJ543" s="4"/>
    </row>
    <row r="544" spans="1:62" ht="12.75" x14ac:dyDescent="0.2">
      <c r="A544" s="63"/>
      <c r="B544" s="85"/>
      <c r="C544" s="4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4"/>
      <c r="P544" s="4"/>
      <c r="Q544" s="4"/>
      <c r="R544" s="4"/>
      <c r="S544" s="4"/>
      <c r="T544" s="4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4"/>
      <c r="AG544" s="3"/>
      <c r="AH544" s="82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82"/>
      <c r="BC544" s="82"/>
      <c r="BD544" s="82"/>
      <c r="BE544" s="82"/>
      <c r="BF544" s="82"/>
      <c r="BG544" s="4"/>
      <c r="BH544" s="4"/>
      <c r="BI544" s="4"/>
      <c r="BJ544" s="4"/>
    </row>
    <row r="545" spans="1:62" ht="12.75" x14ac:dyDescent="0.2">
      <c r="A545" s="63"/>
      <c r="B545" s="85"/>
      <c r="C545" s="4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4"/>
      <c r="P545" s="4"/>
      <c r="Q545" s="4"/>
      <c r="R545" s="4"/>
      <c r="S545" s="4"/>
      <c r="T545" s="4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4"/>
      <c r="AG545" s="3"/>
      <c r="AH545" s="82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82"/>
      <c r="BC545" s="82"/>
      <c r="BD545" s="82"/>
      <c r="BE545" s="82"/>
      <c r="BF545" s="82"/>
      <c r="BG545" s="4"/>
      <c r="BH545" s="4"/>
      <c r="BI545" s="4"/>
      <c r="BJ545" s="4"/>
    </row>
    <row r="546" spans="1:62" ht="12.75" x14ac:dyDescent="0.2">
      <c r="A546" s="63"/>
      <c r="B546" s="85"/>
      <c r="C546" s="4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4"/>
      <c r="P546" s="4"/>
      <c r="Q546" s="4"/>
      <c r="R546" s="4"/>
      <c r="S546" s="4"/>
      <c r="T546" s="4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4"/>
      <c r="AG546" s="3"/>
      <c r="AH546" s="82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82"/>
      <c r="BC546" s="82"/>
      <c r="BD546" s="82"/>
      <c r="BE546" s="82"/>
      <c r="BF546" s="82"/>
      <c r="BG546" s="4"/>
      <c r="BH546" s="4"/>
      <c r="BI546" s="4"/>
      <c r="BJ546" s="4"/>
    </row>
    <row r="547" spans="1:62" ht="12.75" x14ac:dyDescent="0.2">
      <c r="A547" s="63"/>
      <c r="B547" s="85"/>
      <c r="C547" s="4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4"/>
      <c r="P547" s="4"/>
      <c r="Q547" s="4"/>
      <c r="R547" s="4"/>
      <c r="S547" s="4"/>
      <c r="T547" s="4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4"/>
      <c r="AG547" s="3"/>
      <c r="AH547" s="82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82"/>
      <c r="BC547" s="82"/>
      <c r="BD547" s="82"/>
      <c r="BE547" s="82"/>
      <c r="BF547" s="82"/>
      <c r="BG547" s="4"/>
      <c r="BH547" s="4"/>
      <c r="BI547" s="4"/>
      <c r="BJ547" s="4"/>
    </row>
    <row r="548" spans="1:62" ht="12.75" x14ac:dyDescent="0.2">
      <c r="A548" s="63"/>
      <c r="B548" s="85"/>
      <c r="C548" s="4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4"/>
      <c r="P548" s="4"/>
      <c r="Q548" s="4"/>
      <c r="R548" s="4"/>
      <c r="S548" s="4"/>
      <c r="T548" s="4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4"/>
      <c r="AG548" s="3"/>
      <c r="AH548" s="82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82"/>
      <c r="BC548" s="82"/>
      <c r="BD548" s="82"/>
      <c r="BE548" s="82"/>
      <c r="BF548" s="82"/>
      <c r="BG548" s="4"/>
      <c r="BH548" s="4"/>
      <c r="BI548" s="4"/>
      <c r="BJ548" s="4"/>
    </row>
    <row r="549" spans="1:62" ht="12.75" x14ac:dyDescent="0.2">
      <c r="A549" s="63"/>
      <c r="B549" s="85"/>
      <c r="C549" s="4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4"/>
      <c r="P549" s="4"/>
      <c r="Q549" s="4"/>
      <c r="R549" s="4"/>
      <c r="S549" s="4"/>
      <c r="T549" s="4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4"/>
      <c r="AG549" s="3"/>
      <c r="AH549" s="82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82"/>
      <c r="BC549" s="82"/>
      <c r="BD549" s="82"/>
      <c r="BE549" s="82"/>
      <c r="BF549" s="82"/>
      <c r="BG549" s="4"/>
      <c r="BH549" s="4"/>
      <c r="BI549" s="4"/>
      <c r="BJ549" s="4"/>
    </row>
    <row r="550" spans="1:62" ht="12.75" x14ac:dyDescent="0.2">
      <c r="A550" s="63"/>
      <c r="B550" s="85"/>
      <c r="C550" s="4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4"/>
      <c r="P550" s="4"/>
      <c r="Q550" s="4"/>
      <c r="R550" s="4"/>
      <c r="S550" s="4"/>
      <c r="T550" s="4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4"/>
      <c r="AG550" s="3"/>
      <c r="AH550" s="82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82"/>
      <c r="BC550" s="82"/>
      <c r="BD550" s="82"/>
      <c r="BE550" s="82"/>
      <c r="BF550" s="82"/>
      <c r="BG550" s="4"/>
      <c r="BH550" s="4"/>
      <c r="BI550" s="4"/>
      <c r="BJ550" s="4"/>
    </row>
    <row r="551" spans="1:62" ht="12.75" x14ac:dyDescent="0.2">
      <c r="A551" s="63"/>
      <c r="B551" s="85"/>
      <c r="C551" s="4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4"/>
      <c r="P551" s="4"/>
      <c r="Q551" s="4"/>
      <c r="R551" s="4"/>
      <c r="S551" s="4"/>
      <c r="T551" s="4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4"/>
      <c r="AG551" s="3"/>
      <c r="AH551" s="82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82"/>
      <c r="BC551" s="82"/>
      <c r="BD551" s="82"/>
      <c r="BE551" s="82"/>
      <c r="BF551" s="82"/>
      <c r="BG551" s="4"/>
      <c r="BH551" s="4"/>
      <c r="BI551" s="4"/>
      <c r="BJ551" s="4"/>
    </row>
    <row r="552" spans="1:62" ht="12.75" x14ac:dyDescent="0.2">
      <c r="A552" s="63"/>
      <c r="B552" s="85"/>
      <c r="C552" s="4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4"/>
      <c r="P552" s="4"/>
      <c r="Q552" s="4"/>
      <c r="R552" s="4"/>
      <c r="S552" s="4"/>
      <c r="T552" s="4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4"/>
      <c r="AG552" s="3"/>
      <c r="AH552" s="82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82"/>
      <c r="BC552" s="82"/>
      <c r="BD552" s="82"/>
      <c r="BE552" s="82"/>
      <c r="BF552" s="82"/>
      <c r="BG552" s="4"/>
      <c r="BH552" s="4"/>
      <c r="BI552" s="4"/>
      <c r="BJ552" s="4"/>
    </row>
    <row r="553" spans="1:62" ht="12.75" x14ac:dyDescent="0.2">
      <c r="A553" s="63"/>
      <c r="B553" s="85"/>
      <c r="C553" s="4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4"/>
      <c r="P553" s="4"/>
      <c r="Q553" s="4"/>
      <c r="R553" s="4"/>
      <c r="S553" s="4"/>
      <c r="T553" s="4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4"/>
      <c r="AG553" s="3"/>
      <c r="AH553" s="82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82"/>
      <c r="BC553" s="82"/>
      <c r="BD553" s="82"/>
      <c r="BE553" s="82"/>
      <c r="BF553" s="82"/>
      <c r="BG553" s="4"/>
      <c r="BH553" s="4"/>
      <c r="BI553" s="4"/>
      <c r="BJ553" s="4"/>
    </row>
    <row r="554" spans="1:62" ht="12.75" x14ac:dyDescent="0.2">
      <c r="A554" s="63"/>
      <c r="B554" s="85"/>
      <c r="C554" s="4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4"/>
      <c r="P554" s="4"/>
      <c r="Q554" s="4"/>
      <c r="R554" s="4"/>
      <c r="S554" s="4"/>
      <c r="T554" s="4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4"/>
      <c r="AG554" s="3"/>
      <c r="AH554" s="82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82"/>
      <c r="BC554" s="82"/>
      <c r="BD554" s="82"/>
      <c r="BE554" s="82"/>
      <c r="BF554" s="82"/>
      <c r="BG554" s="4"/>
      <c r="BH554" s="4"/>
      <c r="BI554" s="4"/>
      <c r="BJ554" s="4"/>
    </row>
    <row r="555" spans="1:62" ht="12.75" x14ac:dyDescent="0.2">
      <c r="A555" s="63"/>
      <c r="B555" s="85"/>
      <c r="C555" s="4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4"/>
      <c r="P555" s="4"/>
      <c r="Q555" s="4"/>
      <c r="R555" s="4"/>
      <c r="S555" s="4"/>
      <c r="T555" s="4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4"/>
      <c r="AG555" s="3"/>
      <c r="AH555" s="82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82"/>
      <c r="BC555" s="82"/>
      <c r="BD555" s="82"/>
      <c r="BE555" s="82"/>
      <c r="BF555" s="82"/>
      <c r="BG555" s="4"/>
      <c r="BH555" s="4"/>
      <c r="BI555" s="4"/>
      <c r="BJ555" s="4"/>
    </row>
    <row r="556" spans="1:62" ht="12.75" x14ac:dyDescent="0.2">
      <c r="A556" s="63"/>
      <c r="B556" s="85"/>
      <c r="C556" s="4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4"/>
      <c r="P556" s="4"/>
      <c r="Q556" s="4"/>
      <c r="R556" s="4"/>
      <c r="S556" s="4"/>
      <c r="T556" s="4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4"/>
      <c r="AG556" s="3"/>
      <c r="AH556" s="82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82"/>
      <c r="BC556" s="82"/>
      <c r="BD556" s="82"/>
      <c r="BE556" s="82"/>
      <c r="BF556" s="82"/>
      <c r="BG556" s="4"/>
      <c r="BH556" s="4"/>
      <c r="BI556" s="4"/>
      <c r="BJ556" s="4"/>
    </row>
    <row r="557" spans="1:62" ht="12.75" x14ac:dyDescent="0.2">
      <c r="A557" s="63"/>
      <c r="B557" s="85"/>
      <c r="C557" s="4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4"/>
      <c r="P557" s="4"/>
      <c r="Q557" s="4"/>
      <c r="R557" s="4"/>
      <c r="S557" s="4"/>
      <c r="T557" s="4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4"/>
      <c r="AG557" s="3"/>
      <c r="AH557" s="82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82"/>
      <c r="BC557" s="82"/>
      <c r="BD557" s="82"/>
      <c r="BE557" s="82"/>
      <c r="BF557" s="82"/>
      <c r="BG557" s="4"/>
      <c r="BH557" s="4"/>
      <c r="BI557" s="4"/>
      <c r="BJ557" s="4"/>
    </row>
    <row r="558" spans="1:62" ht="12.75" x14ac:dyDescent="0.2">
      <c r="A558" s="63"/>
      <c r="B558" s="85"/>
      <c r="C558" s="4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4"/>
      <c r="P558" s="4"/>
      <c r="Q558" s="4"/>
      <c r="R558" s="4"/>
      <c r="S558" s="4"/>
      <c r="T558" s="4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4"/>
      <c r="AG558" s="3"/>
      <c r="AH558" s="82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82"/>
      <c r="BC558" s="82"/>
      <c r="BD558" s="82"/>
      <c r="BE558" s="82"/>
      <c r="BF558" s="82"/>
      <c r="BG558" s="4"/>
      <c r="BH558" s="4"/>
      <c r="BI558" s="4"/>
      <c r="BJ558" s="4"/>
    </row>
    <row r="559" spans="1:62" ht="12.75" x14ac:dyDescent="0.2">
      <c r="A559" s="63"/>
      <c r="B559" s="85"/>
      <c r="C559" s="4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4"/>
      <c r="P559" s="4"/>
      <c r="Q559" s="4"/>
      <c r="R559" s="4"/>
      <c r="S559" s="4"/>
      <c r="T559" s="4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4"/>
      <c r="AG559" s="3"/>
      <c r="AH559" s="82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82"/>
      <c r="BC559" s="82"/>
      <c r="BD559" s="82"/>
      <c r="BE559" s="82"/>
      <c r="BF559" s="82"/>
      <c r="BG559" s="4"/>
      <c r="BH559" s="4"/>
      <c r="BI559" s="4"/>
      <c r="BJ559" s="4"/>
    </row>
    <row r="560" spans="1:62" ht="12.75" x14ac:dyDescent="0.2">
      <c r="A560" s="63"/>
      <c r="B560" s="85"/>
      <c r="C560" s="4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4"/>
      <c r="P560" s="4"/>
      <c r="Q560" s="4"/>
      <c r="R560" s="4"/>
      <c r="S560" s="4"/>
      <c r="T560" s="4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4"/>
      <c r="AG560" s="3"/>
      <c r="AH560" s="82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82"/>
      <c r="BC560" s="82"/>
      <c r="BD560" s="82"/>
      <c r="BE560" s="82"/>
      <c r="BF560" s="82"/>
      <c r="BG560" s="4"/>
      <c r="BH560" s="4"/>
      <c r="BI560" s="4"/>
      <c r="BJ560" s="4"/>
    </row>
    <row r="561" spans="1:62" ht="12.75" x14ac:dyDescent="0.2">
      <c r="A561" s="63"/>
      <c r="B561" s="85"/>
      <c r="C561" s="4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4"/>
      <c r="P561" s="4"/>
      <c r="Q561" s="4"/>
      <c r="R561" s="4"/>
      <c r="S561" s="4"/>
      <c r="T561" s="4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4"/>
      <c r="AG561" s="3"/>
      <c r="AH561" s="82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82"/>
      <c r="BC561" s="82"/>
      <c r="BD561" s="82"/>
      <c r="BE561" s="82"/>
      <c r="BF561" s="82"/>
      <c r="BG561" s="4"/>
      <c r="BH561" s="4"/>
      <c r="BI561" s="4"/>
      <c r="BJ561" s="4"/>
    </row>
    <row r="562" spans="1:62" ht="12.75" x14ac:dyDescent="0.2">
      <c r="A562" s="63"/>
      <c r="B562" s="85"/>
      <c r="C562" s="4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4"/>
      <c r="P562" s="4"/>
      <c r="Q562" s="4"/>
      <c r="R562" s="4"/>
      <c r="S562" s="4"/>
      <c r="T562" s="4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4"/>
      <c r="AG562" s="3"/>
      <c r="AH562" s="82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82"/>
      <c r="BC562" s="82"/>
      <c r="BD562" s="82"/>
      <c r="BE562" s="82"/>
      <c r="BF562" s="82"/>
      <c r="BG562" s="4"/>
      <c r="BH562" s="4"/>
      <c r="BI562" s="4"/>
      <c r="BJ562" s="4"/>
    </row>
    <row r="563" spans="1:62" ht="12.75" x14ac:dyDescent="0.2">
      <c r="A563" s="63"/>
      <c r="B563" s="85"/>
      <c r="C563" s="4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4"/>
      <c r="P563" s="4"/>
      <c r="Q563" s="4"/>
      <c r="R563" s="4"/>
      <c r="S563" s="4"/>
      <c r="T563" s="4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4"/>
      <c r="AG563" s="3"/>
      <c r="AH563" s="82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82"/>
      <c r="BC563" s="82"/>
      <c r="BD563" s="82"/>
      <c r="BE563" s="82"/>
      <c r="BF563" s="82"/>
      <c r="BG563" s="4"/>
      <c r="BH563" s="4"/>
      <c r="BI563" s="4"/>
      <c r="BJ563" s="4"/>
    </row>
    <row r="564" spans="1:62" ht="12.75" x14ac:dyDescent="0.2">
      <c r="A564" s="63"/>
      <c r="B564" s="85"/>
      <c r="C564" s="4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4"/>
      <c r="P564" s="4"/>
      <c r="Q564" s="4"/>
      <c r="R564" s="4"/>
      <c r="S564" s="4"/>
      <c r="T564" s="4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4"/>
      <c r="AG564" s="3"/>
      <c r="AH564" s="82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82"/>
      <c r="BC564" s="82"/>
      <c r="BD564" s="82"/>
      <c r="BE564" s="82"/>
      <c r="BF564" s="82"/>
      <c r="BG564" s="4"/>
      <c r="BH564" s="4"/>
      <c r="BI564" s="4"/>
      <c r="BJ564" s="4"/>
    </row>
    <row r="565" spans="1:62" ht="12.75" x14ac:dyDescent="0.2">
      <c r="A565" s="63"/>
      <c r="B565" s="85"/>
      <c r="C565" s="4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4"/>
      <c r="P565" s="4"/>
      <c r="Q565" s="4"/>
      <c r="R565" s="4"/>
      <c r="S565" s="4"/>
      <c r="T565" s="4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4"/>
      <c r="AG565" s="3"/>
      <c r="AH565" s="82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82"/>
      <c r="BC565" s="82"/>
      <c r="BD565" s="82"/>
      <c r="BE565" s="82"/>
      <c r="BF565" s="82"/>
      <c r="BG565" s="4"/>
      <c r="BH565" s="4"/>
      <c r="BI565" s="4"/>
      <c r="BJ565" s="4"/>
    </row>
    <row r="566" spans="1:62" ht="12.75" x14ac:dyDescent="0.2">
      <c r="A566" s="63"/>
      <c r="B566" s="85"/>
      <c r="C566" s="4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4"/>
      <c r="P566" s="4"/>
      <c r="Q566" s="4"/>
      <c r="R566" s="4"/>
      <c r="S566" s="4"/>
      <c r="T566" s="4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4"/>
      <c r="AG566" s="3"/>
      <c r="AH566" s="82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82"/>
      <c r="BC566" s="82"/>
      <c r="BD566" s="82"/>
      <c r="BE566" s="82"/>
      <c r="BF566" s="82"/>
      <c r="BG566" s="4"/>
      <c r="BH566" s="4"/>
      <c r="BI566" s="4"/>
      <c r="BJ566" s="4"/>
    </row>
    <row r="567" spans="1:62" ht="12.75" x14ac:dyDescent="0.2">
      <c r="A567" s="63"/>
      <c r="B567" s="85"/>
      <c r="C567" s="4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4"/>
      <c r="P567" s="4"/>
      <c r="Q567" s="4"/>
      <c r="R567" s="4"/>
      <c r="S567" s="4"/>
      <c r="T567" s="4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4"/>
      <c r="AG567" s="3"/>
      <c r="AH567" s="82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82"/>
      <c r="BC567" s="82"/>
      <c r="BD567" s="82"/>
      <c r="BE567" s="82"/>
      <c r="BF567" s="82"/>
      <c r="BG567" s="4"/>
      <c r="BH567" s="4"/>
      <c r="BI567" s="4"/>
      <c r="BJ567" s="4"/>
    </row>
    <row r="568" spans="1:62" ht="12.75" x14ac:dyDescent="0.2">
      <c r="A568" s="63"/>
      <c r="B568" s="85"/>
      <c r="C568" s="4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4"/>
      <c r="P568" s="4"/>
      <c r="Q568" s="4"/>
      <c r="R568" s="4"/>
      <c r="S568" s="4"/>
      <c r="T568" s="4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4"/>
      <c r="AG568" s="3"/>
      <c r="AH568" s="82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82"/>
      <c r="BC568" s="82"/>
      <c r="BD568" s="82"/>
      <c r="BE568" s="82"/>
      <c r="BF568" s="82"/>
      <c r="BG568" s="4"/>
      <c r="BH568" s="4"/>
      <c r="BI568" s="4"/>
      <c r="BJ568" s="4"/>
    </row>
    <row r="569" spans="1:62" ht="12.75" x14ac:dyDescent="0.2">
      <c r="A569" s="63"/>
      <c r="B569" s="85"/>
      <c r="C569" s="4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4"/>
      <c r="P569" s="4"/>
      <c r="Q569" s="4"/>
      <c r="R569" s="4"/>
      <c r="S569" s="4"/>
      <c r="T569" s="4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4"/>
      <c r="AG569" s="3"/>
      <c r="AH569" s="82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82"/>
      <c r="BC569" s="82"/>
      <c r="BD569" s="82"/>
      <c r="BE569" s="82"/>
      <c r="BF569" s="82"/>
      <c r="BG569" s="4"/>
      <c r="BH569" s="4"/>
      <c r="BI569" s="4"/>
      <c r="BJ569" s="4"/>
    </row>
    <row r="570" spans="1:62" ht="12.75" x14ac:dyDescent="0.2">
      <c r="A570" s="63"/>
      <c r="B570" s="85"/>
      <c r="C570" s="4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4"/>
      <c r="P570" s="4"/>
      <c r="Q570" s="4"/>
      <c r="R570" s="4"/>
      <c r="S570" s="4"/>
      <c r="T570" s="4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4"/>
      <c r="AG570" s="3"/>
      <c r="AH570" s="82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82"/>
      <c r="BC570" s="82"/>
      <c r="BD570" s="82"/>
      <c r="BE570" s="82"/>
      <c r="BF570" s="82"/>
      <c r="BG570" s="4"/>
      <c r="BH570" s="4"/>
      <c r="BI570" s="4"/>
      <c r="BJ570" s="4"/>
    </row>
    <row r="571" spans="1:62" ht="12.75" x14ac:dyDescent="0.2">
      <c r="A571" s="63"/>
      <c r="B571" s="85"/>
      <c r="C571" s="4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4"/>
      <c r="P571" s="4"/>
      <c r="Q571" s="4"/>
      <c r="R571" s="4"/>
      <c r="S571" s="4"/>
      <c r="T571" s="4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4"/>
      <c r="AG571" s="3"/>
      <c r="AH571" s="82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82"/>
      <c r="BC571" s="82"/>
      <c r="BD571" s="82"/>
      <c r="BE571" s="82"/>
      <c r="BF571" s="82"/>
      <c r="BG571" s="4"/>
      <c r="BH571" s="4"/>
      <c r="BI571" s="4"/>
      <c r="BJ571" s="4"/>
    </row>
    <row r="572" spans="1:62" ht="12.75" x14ac:dyDescent="0.2">
      <c r="A572" s="63"/>
      <c r="B572" s="85"/>
      <c r="C572" s="4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4"/>
      <c r="P572" s="4"/>
      <c r="Q572" s="4"/>
      <c r="R572" s="4"/>
      <c r="S572" s="4"/>
      <c r="T572" s="4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4"/>
      <c r="AG572" s="3"/>
      <c r="AH572" s="82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82"/>
      <c r="BC572" s="82"/>
      <c r="BD572" s="82"/>
      <c r="BE572" s="82"/>
      <c r="BF572" s="82"/>
      <c r="BG572" s="4"/>
      <c r="BH572" s="4"/>
      <c r="BI572" s="4"/>
      <c r="BJ572" s="4"/>
    </row>
    <row r="573" spans="1:62" ht="12.75" x14ac:dyDescent="0.2">
      <c r="A573" s="63"/>
      <c r="B573" s="85"/>
      <c r="C573" s="4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4"/>
      <c r="P573" s="4"/>
      <c r="Q573" s="4"/>
      <c r="R573" s="4"/>
      <c r="S573" s="4"/>
      <c r="T573" s="4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4"/>
      <c r="AG573" s="3"/>
      <c r="AH573" s="82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82"/>
      <c r="BC573" s="82"/>
      <c r="BD573" s="82"/>
      <c r="BE573" s="82"/>
      <c r="BF573" s="82"/>
      <c r="BG573" s="4"/>
      <c r="BH573" s="4"/>
      <c r="BI573" s="4"/>
      <c r="BJ573" s="4"/>
    </row>
    <row r="574" spans="1:62" ht="12.75" x14ac:dyDescent="0.2">
      <c r="A574" s="63"/>
      <c r="B574" s="85"/>
      <c r="C574" s="4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4"/>
      <c r="P574" s="4"/>
      <c r="Q574" s="4"/>
      <c r="R574" s="4"/>
      <c r="S574" s="4"/>
      <c r="T574" s="4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4"/>
      <c r="AG574" s="3"/>
      <c r="AH574" s="82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82"/>
      <c r="BC574" s="82"/>
      <c r="BD574" s="82"/>
      <c r="BE574" s="82"/>
      <c r="BF574" s="82"/>
      <c r="BG574" s="4"/>
      <c r="BH574" s="4"/>
      <c r="BI574" s="4"/>
      <c r="BJ574" s="4"/>
    </row>
    <row r="575" spans="1:62" ht="12.75" x14ac:dyDescent="0.2">
      <c r="A575" s="63"/>
      <c r="B575" s="85"/>
      <c r="C575" s="4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4"/>
      <c r="P575" s="4"/>
      <c r="Q575" s="4"/>
      <c r="R575" s="4"/>
      <c r="S575" s="4"/>
      <c r="T575" s="4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4"/>
      <c r="AG575" s="3"/>
      <c r="AH575" s="82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82"/>
      <c r="BC575" s="82"/>
      <c r="BD575" s="82"/>
      <c r="BE575" s="82"/>
      <c r="BF575" s="82"/>
      <c r="BG575" s="4"/>
      <c r="BH575" s="4"/>
      <c r="BI575" s="4"/>
      <c r="BJ575" s="4"/>
    </row>
    <row r="576" spans="1:62" ht="12.75" x14ac:dyDescent="0.2">
      <c r="A576" s="63"/>
      <c r="B576" s="85"/>
      <c r="C576" s="4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4"/>
      <c r="P576" s="4"/>
      <c r="Q576" s="4"/>
      <c r="R576" s="4"/>
      <c r="S576" s="4"/>
      <c r="T576" s="4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4"/>
      <c r="AG576" s="3"/>
      <c r="AH576" s="82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82"/>
      <c r="BC576" s="82"/>
      <c r="BD576" s="82"/>
      <c r="BE576" s="82"/>
      <c r="BF576" s="82"/>
      <c r="BG576" s="4"/>
      <c r="BH576" s="4"/>
      <c r="BI576" s="4"/>
      <c r="BJ576" s="4"/>
    </row>
    <row r="577" spans="1:62" ht="12.75" x14ac:dyDescent="0.2">
      <c r="A577" s="63"/>
      <c r="B577" s="85"/>
      <c r="C577" s="4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4"/>
      <c r="P577" s="4"/>
      <c r="Q577" s="4"/>
      <c r="R577" s="4"/>
      <c r="S577" s="4"/>
      <c r="T577" s="4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4"/>
      <c r="AG577" s="3"/>
      <c r="AH577" s="82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82"/>
      <c r="BC577" s="82"/>
      <c r="BD577" s="82"/>
      <c r="BE577" s="82"/>
      <c r="BF577" s="82"/>
      <c r="BG577" s="4"/>
      <c r="BH577" s="4"/>
      <c r="BI577" s="4"/>
      <c r="BJ577" s="4"/>
    </row>
    <row r="578" spans="1:62" ht="12.75" x14ac:dyDescent="0.2">
      <c r="A578" s="63"/>
      <c r="B578" s="85"/>
      <c r="C578" s="4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4"/>
      <c r="P578" s="4"/>
      <c r="Q578" s="4"/>
      <c r="R578" s="4"/>
      <c r="S578" s="4"/>
      <c r="T578" s="4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4"/>
      <c r="AG578" s="3"/>
      <c r="AH578" s="82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82"/>
      <c r="BC578" s="82"/>
      <c r="BD578" s="82"/>
      <c r="BE578" s="82"/>
      <c r="BF578" s="82"/>
      <c r="BG578" s="4"/>
      <c r="BH578" s="4"/>
      <c r="BI578" s="4"/>
      <c r="BJ578" s="4"/>
    </row>
    <row r="579" spans="1:62" ht="12.75" x14ac:dyDescent="0.2">
      <c r="A579" s="63"/>
      <c r="B579" s="85"/>
      <c r="C579" s="4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4"/>
      <c r="P579" s="4"/>
      <c r="Q579" s="4"/>
      <c r="R579" s="4"/>
      <c r="S579" s="4"/>
      <c r="T579" s="4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4"/>
      <c r="AG579" s="3"/>
      <c r="AH579" s="82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82"/>
      <c r="BC579" s="82"/>
      <c r="BD579" s="82"/>
      <c r="BE579" s="82"/>
      <c r="BF579" s="82"/>
      <c r="BG579" s="4"/>
      <c r="BH579" s="4"/>
      <c r="BI579" s="4"/>
      <c r="BJ579" s="4"/>
    </row>
    <row r="580" spans="1:62" ht="12.75" x14ac:dyDescent="0.2">
      <c r="A580" s="63"/>
      <c r="B580" s="85"/>
      <c r="C580" s="4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4"/>
      <c r="P580" s="4"/>
      <c r="Q580" s="4"/>
      <c r="R580" s="4"/>
      <c r="S580" s="4"/>
      <c r="T580" s="4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4"/>
      <c r="AG580" s="3"/>
      <c r="AH580" s="82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82"/>
      <c r="BC580" s="82"/>
      <c r="BD580" s="82"/>
      <c r="BE580" s="82"/>
      <c r="BF580" s="82"/>
      <c r="BG580" s="4"/>
      <c r="BH580" s="4"/>
      <c r="BI580" s="4"/>
      <c r="BJ580" s="4"/>
    </row>
    <row r="581" spans="1:62" ht="12.75" x14ac:dyDescent="0.2">
      <c r="A581" s="63"/>
      <c r="B581" s="85"/>
      <c r="C581" s="4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4"/>
      <c r="P581" s="4"/>
      <c r="Q581" s="4"/>
      <c r="R581" s="4"/>
      <c r="S581" s="4"/>
      <c r="T581" s="4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4"/>
      <c r="AG581" s="3"/>
      <c r="AH581" s="82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82"/>
      <c r="BC581" s="82"/>
      <c r="BD581" s="82"/>
      <c r="BE581" s="82"/>
      <c r="BF581" s="82"/>
      <c r="BG581" s="4"/>
      <c r="BH581" s="4"/>
      <c r="BI581" s="4"/>
      <c r="BJ581" s="4"/>
    </row>
    <row r="582" spans="1:62" ht="12.75" x14ac:dyDescent="0.2">
      <c r="A582" s="63"/>
      <c r="B582" s="85"/>
      <c r="C582" s="4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4"/>
      <c r="P582" s="4"/>
      <c r="Q582" s="4"/>
      <c r="R582" s="4"/>
      <c r="S582" s="4"/>
      <c r="T582" s="4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4"/>
      <c r="AG582" s="3"/>
      <c r="AH582" s="82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82"/>
      <c r="BC582" s="82"/>
      <c r="BD582" s="82"/>
      <c r="BE582" s="82"/>
      <c r="BF582" s="82"/>
      <c r="BG582" s="4"/>
      <c r="BH582" s="4"/>
      <c r="BI582" s="4"/>
      <c r="BJ582" s="4"/>
    </row>
    <row r="583" spans="1:62" ht="12.75" x14ac:dyDescent="0.2">
      <c r="A583" s="63"/>
      <c r="B583" s="85"/>
      <c r="C583" s="4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4"/>
      <c r="P583" s="4"/>
      <c r="Q583" s="4"/>
      <c r="R583" s="4"/>
      <c r="S583" s="4"/>
      <c r="T583" s="4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4"/>
      <c r="AG583" s="3"/>
      <c r="AH583" s="82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82"/>
      <c r="BC583" s="82"/>
      <c r="BD583" s="82"/>
      <c r="BE583" s="82"/>
      <c r="BF583" s="82"/>
      <c r="BG583" s="4"/>
      <c r="BH583" s="4"/>
      <c r="BI583" s="4"/>
      <c r="BJ583" s="4"/>
    </row>
    <row r="584" spans="1:62" ht="12.75" x14ac:dyDescent="0.2">
      <c r="A584" s="63"/>
      <c r="B584" s="85"/>
      <c r="C584" s="4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4"/>
      <c r="P584" s="4"/>
      <c r="Q584" s="4"/>
      <c r="R584" s="4"/>
      <c r="S584" s="4"/>
      <c r="T584" s="4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4"/>
      <c r="AG584" s="3"/>
      <c r="AH584" s="82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82"/>
      <c r="BC584" s="82"/>
      <c r="BD584" s="82"/>
      <c r="BE584" s="82"/>
      <c r="BF584" s="82"/>
      <c r="BG584" s="4"/>
      <c r="BH584" s="4"/>
      <c r="BI584" s="4"/>
      <c r="BJ584" s="4"/>
    </row>
    <row r="585" spans="1:62" ht="12.75" x14ac:dyDescent="0.2">
      <c r="A585" s="63"/>
      <c r="B585" s="85"/>
      <c r="C585" s="4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4"/>
      <c r="P585" s="4"/>
      <c r="Q585" s="4"/>
      <c r="R585" s="4"/>
      <c r="S585" s="4"/>
      <c r="T585" s="4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4"/>
      <c r="AG585" s="3"/>
      <c r="AH585" s="82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82"/>
      <c r="BC585" s="82"/>
      <c r="BD585" s="82"/>
      <c r="BE585" s="82"/>
      <c r="BF585" s="82"/>
      <c r="BG585" s="4"/>
      <c r="BH585" s="4"/>
      <c r="BI585" s="4"/>
      <c r="BJ585" s="4"/>
    </row>
    <row r="586" spans="1:62" ht="12.75" x14ac:dyDescent="0.2">
      <c r="A586" s="63"/>
      <c r="B586" s="85"/>
      <c r="C586" s="4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4"/>
      <c r="P586" s="4"/>
      <c r="Q586" s="4"/>
      <c r="R586" s="4"/>
      <c r="S586" s="4"/>
      <c r="T586" s="4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4"/>
      <c r="AG586" s="3"/>
      <c r="AH586" s="82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82"/>
      <c r="BC586" s="82"/>
      <c r="BD586" s="82"/>
      <c r="BE586" s="82"/>
      <c r="BF586" s="82"/>
      <c r="BG586" s="4"/>
      <c r="BH586" s="4"/>
      <c r="BI586" s="4"/>
      <c r="BJ586" s="4"/>
    </row>
    <row r="587" spans="1:62" ht="12.75" x14ac:dyDescent="0.2">
      <c r="A587" s="63"/>
      <c r="B587" s="85"/>
      <c r="C587" s="4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4"/>
      <c r="P587" s="4"/>
      <c r="Q587" s="4"/>
      <c r="R587" s="4"/>
      <c r="S587" s="4"/>
      <c r="T587" s="4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4"/>
      <c r="AG587" s="3"/>
      <c r="AH587" s="82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82"/>
      <c r="BC587" s="82"/>
      <c r="BD587" s="82"/>
      <c r="BE587" s="82"/>
      <c r="BF587" s="82"/>
      <c r="BG587" s="4"/>
      <c r="BH587" s="4"/>
      <c r="BI587" s="4"/>
      <c r="BJ587" s="4"/>
    </row>
    <row r="588" spans="1:62" ht="12.75" x14ac:dyDescent="0.2">
      <c r="A588" s="63"/>
      <c r="B588" s="85"/>
      <c r="C588" s="4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4"/>
      <c r="P588" s="4"/>
      <c r="Q588" s="4"/>
      <c r="R588" s="4"/>
      <c r="S588" s="4"/>
      <c r="T588" s="4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4"/>
      <c r="AG588" s="3"/>
      <c r="AH588" s="82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82"/>
      <c r="BC588" s="82"/>
      <c r="BD588" s="82"/>
      <c r="BE588" s="82"/>
      <c r="BF588" s="82"/>
      <c r="BG588" s="4"/>
      <c r="BH588" s="4"/>
      <c r="BI588" s="4"/>
      <c r="BJ588" s="4"/>
    </row>
    <row r="589" spans="1:62" ht="12.75" x14ac:dyDescent="0.2">
      <c r="A589" s="63"/>
      <c r="B589" s="85"/>
      <c r="C589" s="4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4"/>
      <c r="P589" s="4"/>
      <c r="Q589" s="4"/>
      <c r="R589" s="4"/>
      <c r="S589" s="4"/>
      <c r="T589" s="4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4"/>
      <c r="AG589" s="3"/>
      <c r="AH589" s="82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82"/>
      <c r="BC589" s="82"/>
      <c r="BD589" s="82"/>
      <c r="BE589" s="82"/>
      <c r="BF589" s="82"/>
      <c r="BG589" s="4"/>
      <c r="BH589" s="4"/>
      <c r="BI589" s="4"/>
      <c r="BJ589" s="4"/>
    </row>
    <row r="590" spans="1:62" ht="12.75" x14ac:dyDescent="0.2">
      <c r="A590" s="63"/>
      <c r="B590" s="85"/>
      <c r="C590" s="4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4"/>
      <c r="P590" s="4"/>
      <c r="Q590" s="4"/>
      <c r="R590" s="4"/>
      <c r="S590" s="4"/>
      <c r="T590" s="4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4"/>
      <c r="AG590" s="3"/>
      <c r="AH590" s="82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82"/>
      <c r="BC590" s="82"/>
      <c r="BD590" s="82"/>
      <c r="BE590" s="82"/>
      <c r="BF590" s="82"/>
      <c r="BG590" s="4"/>
      <c r="BH590" s="4"/>
      <c r="BI590" s="4"/>
      <c r="BJ590" s="4"/>
    </row>
    <row r="591" spans="1:62" ht="12.75" x14ac:dyDescent="0.2">
      <c r="A591" s="63"/>
      <c r="B591" s="85"/>
      <c r="C591" s="4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4"/>
      <c r="P591" s="4"/>
      <c r="Q591" s="4"/>
      <c r="R591" s="4"/>
      <c r="S591" s="4"/>
      <c r="T591" s="4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4"/>
      <c r="AG591" s="3"/>
      <c r="AH591" s="82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82"/>
      <c r="BC591" s="82"/>
      <c r="BD591" s="82"/>
      <c r="BE591" s="82"/>
      <c r="BF591" s="82"/>
      <c r="BG591" s="4"/>
      <c r="BH591" s="4"/>
      <c r="BI591" s="4"/>
      <c r="BJ591" s="4"/>
    </row>
    <row r="592" spans="1:62" ht="12.75" x14ac:dyDescent="0.2">
      <c r="A592" s="63"/>
      <c r="B592" s="85"/>
      <c r="C592" s="4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4"/>
      <c r="P592" s="4"/>
      <c r="Q592" s="4"/>
      <c r="R592" s="4"/>
      <c r="S592" s="4"/>
      <c r="T592" s="4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4"/>
      <c r="AG592" s="3"/>
      <c r="AH592" s="82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82"/>
      <c r="BC592" s="82"/>
      <c r="BD592" s="82"/>
      <c r="BE592" s="82"/>
      <c r="BF592" s="82"/>
      <c r="BG592" s="4"/>
      <c r="BH592" s="4"/>
      <c r="BI592" s="4"/>
      <c r="BJ592" s="4"/>
    </row>
    <row r="593" spans="1:62" ht="12.75" x14ac:dyDescent="0.2">
      <c r="A593" s="63"/>
      <c r="B593" s="85"/>
      <c r="C593" s="4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4"/>
      <c r="P593" s="4"/>
      <c r="Q593" s="4"/>
      <c r="R593" s="4"/>
      <c r="S593" s="4"/>
      <c r="T593" s="4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4"/>
      <c r="AG593" s="3"/>
      <c r="AH593" s="82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82"/>
      <c r="BC593" s="82"/>
      <c r="BD593" s="82"/>
      <c r="BE593" s="82"/>
      <c r="BF593" s="82"/>
      <c r="BG593" s="4"/>
      <c r="BH593" s="4"/>
      <c r="BI593" s="4"/>
      <c r="BJ593" s="4"/>
    </row>
    <row r="594" spans="1:62" ht="12.75" x14ac:dyDescent="0.2">
      <c r="A594" s="63"/>
      <c r="B594" s="85"/>
      <c r="C594" s="4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4"/>
      <c r="P594" s="4"/>
      <c r="Q594" s="4"/>
      <c r="R594" s="4"/>
      <c r="S594" s="4"/>
      <c r="T594" s="4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4"/>
      <c r="AG594" s="3"/>
      <c r="AH594" s="82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82"/>
      <c r="BC594" s="82"/>
      <c r="BD594" s="82"/>
      <c r="BE594" s="82"/>
      <c r="BF594" s="82"/>
      <c r="BG594" s="4"/>
      <c r="BH594" s="4"/>
      <c r="BI594" s="4"/>
      <c r="BJ594" s="4"/>
    </row>
    <row r="595" spans="1:62" ht="12.75" x14ac:dyDescent="0.2">
      <c r="A595" s="63"/>
      <c r="B595" s="85"/>
      <c r="C595" s="4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4"/>
      <c r="P595" s="4"/>
      <c r="Q595" s="4"/>
      <c r="R595" s="4"/>
      <c r="S595" s="4"/>
      <c r="T595" s="4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4"/>
      <c r="AG595" s="3"/>
      <c r="AH595" s="82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82"/>
      <c r="BC595" s="82"/>
      <c r="BD595" s="82"/>
      <c r="BE595" s="82"/>
      <c r="BF595" s="82"/>
      <c r="BG595" s="4"/>
      <c r="BH595" s="4"/>
      <c r="BI595" s="4"/>
      <c r="BJ595" s="4"/>
    </row>
    <row r="596" spans="1:62" ht="12.75" x14ac:dyDescent="0.2">
      <c r="A596" s="63"/>
      <c r="B596" s="85"/>
      <c r="C596" s="4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4"/>
      <c r="P596" s="4"/>
      <c r="Q596" s="4"/>
      <c r="R596" s="4"/>
      <c r="S596" s="4"/>
      <c r="T596" s="4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4"/>
      <c r="AG596" s="3"/>
      <c r="AH596" s="82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82"/>
      <c r="BC596" s="82"/>
      <c r="BD596" s="82"/>
      <c r="BE596" s="82"/>
      <c r="BF596" s="82"/>
      <c r="BG596" s="4"/>
      <c r="BH596" s="4"/>
      <c r="BI596" s="4"/>
      <c r="BJ596" s="4"/>
    </row>
    <row r="597" spans="1:62" ht="12.75" x14ac:dyDescent="0.2">
      <c r="A597" s="63"/>
      <c r="B597" s="85"/>
      <c r="C597" s="4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4"/>
      <c r="P597" s="4"/>
      <c r="Q597" s="4"/>
      <c r="R597" s="4"/>
      <c r="S597" s="4"/>
      <c r="T597" s="4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4"/>
      <c r="AG597" s="3"/>
      <c r="AH597" s="82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82"/>
      <c r="BC597" s="82"/>
      <c r="BD597" s="82"/>
      <c r="BE597" s="82"/>
      <c r="BF597" s="82"/>
      <c r="BG597" s="4"/>
      <c r="BH597" s="4"/>
      <c r="BI597" s="4"/>
      <c r="BJ597" s="4"/>
    </row>
    <row r="598" spans="1:62" ht="12.75" x14ac:dyDescent="0.2">
      <c r="A598" s="63"/>
      <c r="B598" s="85"/>
      <c r="C598" s="4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4"/>
      <c r="P598" s="4"/>
      <c r="Q598" s="4"/>
      <c r="R598" s="4"/>
      <c r="S598" s="4"/>
      <c r="T598" s="4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4"/>
      <c r="AG598" s="3"/>
      <c r="AH598" s="82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82"/>
      <c r="BC598" s="82"/>
      <c r="BD598" s="82"/>
      <c r="BE598" s="82"/>
      <c r="BF598" s="82"/>
      <c r="BG598" s="4"/>
      <c r="BH598" s="4"/>
      <c r="BI598" s="4"/>
      <c r="BJ598" s="4"/>
    </row>
    <row r="599" spans="1:62" ht="12.75" x14ac:dyDescent="0.2">
      <c r="A599" s="63"/>
      <c r="B599" s="85"/>
      <c r="C599" s="4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4"/>
      <c r="P599" s="4"/>
      <c r="Q599" s="4"/>
      <c r="R599" s="4"/>
      <c r="S599" s="4"/>
      <c r="T599" s="4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4"/>
      <c r="AG599" s="3"/>
      <c r="AH599" s="82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82"/>
      <c r="BC599" s="82"/>
      <c r="BD599" s="82"/>
      <c r="BE599" s="82"/>
      <c r="BF599" s="82"/>
      <c r="BG599" s="4"/>
      <c r="BH599" s="4"/>
      <c r="BI599" s="4"/>
      <c r="BJ599" s="4"/>
    </row>
    <row r="600" spans="1:62" ht="12.75" x14ac:dyDescent="0.2">
      <c r="A600" s="63"/>
      <c r="B600" s="85"/>
      <c r="C600" s="4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4"/>
      <c r="P600" s="4"/>
      <c r="Q600" s="4"/>
      <c r="R600" s="4"/>
      <c r="S600" s="4"/>
      <c r="T600" s="4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4"/>
      <c r="AG600" s="3"/>
      <c r="AH600" s="82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82"/>
      <c r="BC600" s="82"/>
      <c r="BD600" s="82"/>
      <c r="BE600" s="82"/>
      <c r="BF600" s="82"/>
      <c r="BG600" s="4"/>
      <c r="BH600" s="4"/>
      <c r="BI600" s="4"/>
      <c r="BJ600" s="4"/>
    </row>
    <row r="601" spans="1:62" ht="12.75" x14ac:dyDescent="0.2">
      <c r="A601" s="63"/>
      <c r="B601" s="85"/>
      <c r="C601" s="4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4"/>
      <c r="P601" s="4"/>
      <c r="Q601" s="4"/>
      <c r="R601" s="4"/>
      <c r="S601" s="4"/>
      <c r="T601" s="4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4"/>
      <c r="AG601" s="3"/>
      <c r="AH601" s="82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82"/>
      <c r="BC601" s="82"/>
      <c r="BD601" s="82"/>
      <c r="BE601" s="82"/>
      <c r="BF601" s="82"/>
      <c r="BG601" s="4"/>
      <c r="BH601" s="4"/>
      <c r="BI601" s="4"/>
      <c r="BJ601" s="4"/>
    </row>
    <row r="602" spans="1:62" ht="12.75" x14ac:dyDescent="0.2">
      <c r="A602" s="63"/>
      <c r="B602" s="85"/>
      <c r="C602" s="4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4"/>
      <c r="P602" s="4"/>
      <c r="Q602" s="4"/>
      <c r="R602" s="4"/>
      <c r="S602" s="4"/>
      <c r="T602" s="4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4"/>
      <c r="AG602" s="3"/>
      <c r="AH602" s="82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82"/>
      <c r="BC602" s="82"/>
      <c r="BD602" s="82"/>
      <c r="BE602" s="82"/>
      <c r="BF602" s="82"/>
      <c r="BG602" s="4"/>
      <c r="BH602" s="4"/>
      <c r="BI602" s="4"/>
      <c r="BJ602" s="4"/>
    </row>
    <row r="603" spans="1:62" ht="12.75" x14ac:dyDescent="0.2">
      <c r="A603" s="63"/>
      <c r="B603" s="85"/>
      <c r="C603" s="4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4"/>
      <c r="P603" s="4"/>
      <c r="Q603" s="4"/>
      <c r="R603" s="4"/>
      <c r="S603" s="4"/>
      <c r="T603" s="4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4"/>
      <c r="AG603" s="3"/>
      <c r="AH603" s="82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82"/>
      <c r="BC603" s="82"/>
      <c r="BD603" s="82"/>
      <c r="BE603" s="82"/>
      <c r="BF603" s="82"/>
      <c r="BG603" s="4"/>
      <c r="BH603" s="4"/>
      <c r="BI603" s="4"/>
      <c r="BJ603" s="4"/>
    </row>
    <row r="604" spans="1:62" ht="12.75" x14ac:dyDescent="0.2">
      <c r="A604" s="63"/>
      <c r="B604" s="85"/>
      <c r="C604" s="4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4"/>
      <c r="P604" s="4"/>
      <c r="Q604" s="4"/>
      <c r="R604" s="4"/>
      <c r="S604" s="4"/>
      <c r="T604" s="4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4"/>
      <c r="AG604" s="3"/>
      <c r="AH604" s="82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82"/>
      <c r="BC604" s="82"/>
      <c r="BD604" s="82"/>
      <c r="BE604" s="82"/>
      <c r="BF604" s="82"/>
      <c r="BG604" s="4"/>
      <c r="BH604" s="4"/>
      <c r="BI604" s="4"/>
      <c r="BJ604" s="4"/>
    </row>
    <row r="605" spans="1:62" ht="12.75" x14ac:dyDescent="0.2">
      <c r="A605" s="63"/>
      <c r="B605" s="85"/>
      <c r="C605" s="4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4"/>
      <c r="P605" s="4"/>
      <c r="Q605" s="4"/>
      <c r="R605" s="4"/>
      <c r="S605" s="4"/>
      <c r="T605" s="4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4"/>
      <c r="AG605" s="3"/>
      <c r="AH605" s="82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82"/>
      <c r="BC605" s="82"/>
      <c r="BD605" s="82"/>
      <c r="BE605" s="82"/>
      <c r="BF605" s="82"/>
      <c r="BG605" s="4"/>
      <c r="BH605" s="4"/>
      <c r="BI605" s="4"/>
      <c r="BJ605" s="4"/>
    </row>
    <row r="606" spans="1:62" ht="12.75" x14ac:dyDescent="0.2">
      <c r="A606" s="63"/>
      <c r="B606" s="85"/>
      <c r="C606" s="4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4"/>
      <c r="P606" s="4"/>
      <c r="Q606" s="4"/>
      <c r="R606" s="4"/>
      <c r="S606" s="4"/>
      <c r="T606" s="4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4"/>
      <c r="AG606" s="3"/>
      <c r="AH606" s="82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82"/>
      <c r="BC606" s="82"/>
      <c r="BD606" s="82"/>
      <c r="BE606" s="82"/>
      <c r="BF606" s="82"/>
      <c r="BG606" s="4"/>
      <c r="BH606" s="4"/>
      <c r="BI606" s="4"/>
      <c r="BJ606" s="4"/>
    </row>
    <row r="607" spans="1:62" ht="12.75" x14ac:dyDescent="0.2">
      <c r="A607" s="63"/>
      <c r="B607" s="85"/>
      <c r="C607" s="4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4"/>
      <c r="P607" s="4"/>
      <c r="Q607" s="4"/>
      <c r="R607" s="4"/>
      <c r="S607" s="4"/>
      <c r="T607" s="4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4"/>
      <c r="AG607" s="3"/>
      <c r="AH607" s="82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82"/>
      <c r="BC607" s="82"/>
      <c r="BD607" s="82"/>
      <c r="BE607" s="82"/>
      <c r="BF607" s="82"/>
      <c r="BG607" s="4"/>
      <c r="BH607" s="4"/>
      <c r="BI607" s="4"/>
      <c r="BJ607" s="4"/>
    </row>
    <row r="608" spans="1:62" ht="12.75" x14ac:dyDescent="0.2">
      <c r="A608" s="63"/>
      <c r="B608" s="85"/>
      <c r="C608" s="4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4"/>
      <c r="P608" s="4"/>
      <c r="Q608" s="4"/>
      <c r="R608" s="4"/>
      <c r="S608" s="4"/>
      <c r="T608" s="4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4"/>
      <c r="AG608" s="3"/>
      <c r="AH608" s="82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82"/>
      <c r="BC608" s="82"/>
      <c r="BD608" s="82"/>
      <c r="BE608" s="82"/>
      <c r="BF608" s="82"/>
      <c r="BG608" s="4"/>
      <c r="BH608" s="4"/>
      <c r="BI608" s="4"/>
      <c r="BJ608" s="4"/>
    </row>
    <row r="609" spans="1:62" ht="12.75" x14ac:dyDescent="0.2">
      <c r="A609" s="63"/>
      <c r="B609" s="85"/>
      <c r="C609" s="4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4"/>
      <c r="P609" s="4"/>
      <c r="Q609" s="4"/>
      <c r="R609" s="4"/>
      <c r="S609" s="4"/>
      <c r="T609" s="4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4"/>
      <c r="AG609" s="3"/>
      <c r="AH609" s="82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82"/>
      <c r="BC609" s="82"/>
      <c r="BD609" s="82"/>
      <c r="BE609" s="82"/>
      <c r="BF609" s="82"/>
      <c r="BG609" s="4"/>
      <c r="BH609" s="4"/>
      <c r="BI609" s="4"/>
      <c r="BJ609" s="4"/>
    </row>
    <row r="610" spans="1:62" ht="12.75" x14ac:dyDescent="0.2">
      <c r="A610" s="63"/>
      <c r="B610" s="85"/>
      <c r="C610" s="4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4"/>
      <c r="P610" s="4"/>
      <c r="Q610" s="4"/>
      <c r="R610" s="4"/>
      <c r="S610" s="4"/>
      <c r="T610" s="4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4"/>
      <c r="AG610" s="3"/>
      <c r="AH610" s="82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82"/>
      <c r="BC610" s="82"/>
      <c r="BD610" s="82"/>
      <c r="BE610" s="82"/>
      <c r="BF610" s="82"/>
      <c r="BG610" s="4"/>
      <c r="BH610" s="4"/>
      <c r="BI610" s="4"/>
      <c r="BJ610" s="4"/>
    </row>
    <row r="611" spans="1:62" ht="12.75" x14ac:dyDescent="0.2">
      <c r="A611" s="63"/>
      <c r="B611" s="85"/>
      <c r="C611" s="4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4"/>
      <c r="P611" s="4"/>
      <c r="Q611" s="4"/>
      <c r="R611" s="4"/>
      <c r="S611" s="4"/>
      <c r="T611" s="4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4"/>
      <c r="AG611" s="3"/>
      <c r="AH611" s="82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82"/>
      <c r="BC611" s="82"/>
      <c r="BD611" s="82"/>
      <c r="BE611" s="82"/>
      <c r="BF611" s="82"/>
      <c r="BG611" s="4"/>
      <c r="BH611" s="4"/>
      <c r="BI611" s="4"/>
      <c r="BJ611" s="4"/>
    </row>
    <row r="612" spans="1:62" ht="12.75" x14ac:dyDescent="0.2">
      <c r="A612" s="63"/>
      <c r="B612" s="85"/>
      <c r="C612" s="4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4"/>
      <c r="P612" s="4"/>
      <c r="Q612" s="4"/>
      <c r="R612" s="4"/>
      <c r="S612" s="4"/>
      <c r="T612" s="4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4"/>
      <c r="AG612" s="3"/>
      <c r="AH612" s="82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82"/>
      <c r="BC612" s="82"/>
      <c r="BD612" s="82"/>
      <c r="BE612" s="82"/>
      <c r="BF612" s="82"/>
      <c r="BG612" s="4"/>
      <c r="BH612" s="4"/>
      <c r="BI612" s="4"/>
      <c r="BJ612" s="4"/>
    </row>
    <row r="613" spans="1:62" ht="12.75" x14ac:dyDescent="0.2">
      <c r="A613" s="63"/>
      <c r="B613" s="85"/>
      <c r="C613" s="4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4"/>
      <c r="P613" s="4"/>
      <c r="Q613" s="4"/>
      <c r="R613" s="4"/>
      <c r="S613" s="4"/>
      <c r="T613" s="4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4"/>
      <c r="AG613" s="3"/>
      <c r="AH613" s="82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82"/>
      <c r="BC613" s="82"/>
      <c r="BD613" s="82"/>
      <c r="BE613" s="82"/>
      <c r="BF613" s="82"/>
      <c r="BG613" s="4"/>
      <c r="BH613" s="4"/>
      <c r="BI613" s="4"/>
      <c r="BJ613" s="4"/>
    </row>
    <row r="614" spans="1:62" ht="12.75" x14ac:dyDescent="0.2">
      <c r="A614" s="63"/>
      <c r="B614" s="85"/>
      <c r="C614" s="4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4"/>
      <c r="P614" s="4"/>
      <c r="Q614" s="4"/>
      <c r="R614" s="4"/>
      <c r="S614" s="4"/>
      <c r="T614" s="4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4"/>
      <c r="AG614" s="3"/>
      <c r="AH614" s="82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82"/>
      <c r="BC614" s="82"/>
      <c r="BD614" s="82"/>
      <c r="BE614" s="82"/>
      <c r="BF614" s="82"/>
      <c r="BG614" s="4"/>
      <c r="BH614" s="4"/>
      <c r="BI614" s="4"/>
      <c r="BJ614" s="4"/>
    </row>
    <row r="615" spans="1:62" ht="12.75" x14ac:dyDescent="0.2">
      <c r="A615" s="63"/>
      <c r="B615" s="85"/>
      <c r="C615" s="4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4"/>
      <c r="P615" s="4"/>
      <c r="Q615" s="4"/>
      <c r="R615" s="4"/>
      <c r="S615" s="4"/>
      <c r="T615" s="4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4"/>
      <c r="AG615" s="3"/>
      <c r="AH615" s="82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82"/>
      <c r="BC615" s="82"/>
      <c r="BD615" s="82"/>
      <c r="BE615" s="82"/>
      <c r="BF615" s="82"/>
      <c r="BG615" s="4"/>
      <c r="BH615" s="4"/>
      <c r="BI615" s="4"/>
      <c r="BJ615" s="4"/>
    </row>
    <row r="616" spans="1:62" ht="12.75" x14ac:dyDescent="0.2">
      <c r="A616" s="63"/>
      <c r="B616" s="85"/>
      <c r="C616" s="4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4"/>
      <c r="P616" s="4"/>
      <c r="Q616" s="4"/>
      <c r="R616" s="4"/>
      <c r="S616" s="4"/>
      <c r="T616" s="4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4"/>
      <c r="AG616" s="3"/>
      <c r="AH616" s="82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82"/>
      <c r="BC616" s="82"/>
      <c r="BD616" s="82"/>
      <c r="BE616" s="82"/>
      <c r="BF616" s="82"/>
      <c r="BG616" s="4"/>
      <c r="BH616" s="4"/>
      <c r="BI616" s="4"/>
      <c r="BJ616" s="4"/>
    </row>
    <row r="617" spans="1:62" ht="12.75" x14ac:dyDescent="0.2">
      <c r="A617" s="63"/>
      <c r="B617" s="85"/>
      <c r="C617" s="4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4"/>
      <c r="P617" s="4"/>
      <c r="Q617" s="4"/>
      <c r="R617" s="4"/>
      <c r="S617" s="4"/>
      <c r="T617" s="4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4"/>
      <c r="AG617" s="3"/>
      <c r="AH617" s="82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82"/>
      <c r="BC617" s="82"/>
      <c r="BD617" s="82"/>
      <c r="BE617" s="82"/>
      <c r="BF617" s="82"/>
      <c r="BG617" s="4"/>
      <c r="BH617" s="4"/>
      <c r="BI617" s="4"/>
      <c r="BJ617" s="4"/>
    </row>
    <row r="618" spans="1:62" ht="12.75" x14ac:dyDescent="0.2">
      <c r="A618" s="63"/>
      <c r="B618" s="85"/>
      <c r="C618" s="4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4"/>
      <c r="P618" s="4"/>
      <c r="Q618" s="4"/>
      <c r="R618" s="4"/>
      <c r="S618" s="4"/>
      <c r="T618" s="4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4"/>
      <c r="AG618" s="3"/>
      <c r="AH618" s="82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82"/>
      <c r="BC618" s="82"/>
      <c r="BD618" s="82"/>
      <c r="BE618" s="82"/>
      <c r="BF618" s="82"/>
      <c r="BG618" s="4"/>
      <c r="BH618" s="4"/>
      <c r="BI618" s="4"/>
      <c r="BJ618" s="4"/>
    </row>
    <row r="619" spans="1:62" ht="12.75" x14ac:dyDescent="0.2">
      <c r="A619" s="63"/>
      <c r="B619" s="85"/>
      <c r="C619" s="4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4"/>
      <c r="P619" s="4"/>
      <c r="Q619" s="4"/>
      <c r="R619" s="4"/>
      <c r="S619" s="4"/>
      <c r="T619" s="4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4"/>
      <c r="AG619" s="3"/>
      <c r="AH619" s="82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82"/>
      <c r="BC619" s="82"/>
      <c r="BD619" s="82"/>
      <c r="BE619" s="82"/>
      <c r="BF619" s="82"/>
      <c r="BG619" s="4"/>
      <c r="BH619" s="4"/>
      <c r="BI619" s="4"/>
      <c r="BJ619" s="4"/>
    </row>
    <row r="620" spans="1:62" ht="12.75" x14ac:dyDescent="0.2">
      <c r="A620" s="63"/>
      <c r="B620" s="85"/>
      <c r="C620" s="4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4"/>
      <c r="P620" s="4"/>
      <c r="Q620" s="4"/>
      <c r="R620" s="4"/>
      <c r="S620" s="4"/>
      <c r="T620" s="4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4"/>
      <c r="AG620" s="3"/>
      <c r="AH620" s="82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82"/>
      <c r="BC620" s="82"/>
      <c r="BD620" s="82"/>
      <c r="BE620" s="82"/>
      <c r="BF620" s="82"/>
      <c r="BG620" s="4"/>
      <c r="BH620" s="4"/>
      <c r="BI620" s="4"/>
      <c r="BJ620" s="4"/>
    </row>
    <row r="621" spans="1:62" ht="12.75" x14ac:dyDescent="0.2">
      <c r="A621" s="63"/>
      <c r="B621" s="85"/>
      <c r="C621" s="4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4"/>
      <c r="P621" s="4"/>
      <c r="Q621" s="4"/>
      <c r="R621" s="4"/>
      <c r="S621" s="4"/>
      <c r="T621" s="4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4"/>
      <c r="AG621" s="3"/>
      <c r="AH621" s="82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82"/>
      <c r="BC621" s="82"/>
      <c r="BD621" s="82"/>
      <c r="BE621" s="82"/>
      <c r="BF621" s="82"/>
      <c r="BG621" s="4"/>
      <c r="BH621" s="4"/>
      <c r="BI621" s="4"/>
      <c r="BJ621" s="4"/>
    </row>
    <row r="622" spans="1:62" ht="12.75" x14ac:dyDescent="0.2">
      <c r="A622" s="63"/>
      <c r="B622" s="85"/>
      <c r="C622" s="4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4"/>
      <c r="P622" s="4"/>
      <c r="Q622" s="4"/>
      <c r="R622" s="4"/>
      <c r="S622" s="4"/>
      <c r="T622" s="4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4"/>
      <c r="AG622" s="3"/>
      <c r="AH622" s="82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82"/>
      <c r="BC622" s="82"/>
      <c r="BD622" s="82"/>
      <c r="BE622" s="82"/>
      <c r="BF622" s="82"/>
      <c r="BG622" s="4"/>
      <c r="BH622" s="4"/>
      <c r="BI622" s="4"/>
      <c r="BJ622" s="4"/>
    </row>
    <row r="623" spans="1:62" ht="12.75" x14ac:dyDescent="0.2">
      <c r="A623" s="63"/>
      <c r="B623" s="85"/>
      <c r="C623" s="4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4"/>
      <c r="P623" s="4"/>
      <c r="Q623" s="4"/>
      <c r="R623" s="4"/>
      <c r="S623" s="4"/>
      <c r="T623" s="4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4"/>
      <c r="AG623" s="3"/>
      <c r="AH623" s="82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82"/>
      <c r="BC623" s="82"/>
      <c r="BD623" s="82"/>
      <c r="BE623" s="82"/>
      <c r="BF623" s="82"/>
      <c r="BG623" s="4"/>
      <c r="BH623" s="4"/>
      <c r="BI623" s="4"/>
      <c r="BJ623" s="4"/>
    </row>
    <row r="624" spans="1:62" ht="12.75" x14ac:dyDescent="0.2">
      <c r="A624" s="63"/>
      <c r="B624" s="85"/>
      <c r="C624" s="4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4"/>
      <c r="P624" s="4"/>
      <c r="Q624" s="4"/>
      <c r="R624" s="4"/>
      <c r="S624" s="4"/>
      <c r="T624" s="4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4"/>
      <c r="AG624" s="3"/>
      <c r="AH624" s="82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82"/>
      <c r="BC624" s="82"/>
      <c r="BD624" s="82"/>
      <c r="BE624" s="82"/>
      <c r="BF624" s="82"/>
      <c r="BG624" s="4"/>
      <c r="BH624" s="4"/>
      <c r="BI624" s="4"/>
      <c r="BJ624" s="4"/>
    </row>
    <row r="625" spans="1:62" ht="12.75" x14ac:dyDescent="0.2">
      <c r="A625" s="63"/>
      <c r="B625" s="85"/>
      <c r="C625" s="4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4"/>
      <c r="P625" s="4"/>
      <c r="Q625" s="4"/>
      <c r="R625" s="4"/>
      <c r="S625" s="4"/>
      <c r="T625" s="4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4"/>
      <c r="AG625" s="3"/>
      <c r="AH625" s="82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82"/>
      <c r="BC625" s="82"/>
      <c r="BD625" s="82"/>
      <c r="BE625" s="82"/>
      <c r="BF625" s="82"/>
      <c r="BG625" s="4"/>
      <c r="BH625" s="4"/>
      <c r="BI625" s="4"/>
      <c r="BJ625" s="4"/>
    </row>
    <row r="626" spans="1:62" ht="12.75" x14ac:dyDescent="0.2">
      <c r="A626" s="63"/>
      <c r="B626" s="85"/>
      <c r="C626" s="4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4"/>
      <c r="P626" s="4"/>
      <c r="Q626" s="4"/>
      <c r="R626" s="4"/>
      <c r="S626" s="4"/>
      <c r="T626" s="4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4"/>
      <c r="AG626" s="3"/>
      <c r="AH626" s="82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82"/>
      <c r="BC626" s="82"/>
      <c r="BD626" s="82"/>
      <c r="BE626" s="82"/>
      <c r="BF626" s="82"/>
      <c r="BG626" s="4"/>
      <c r="BH626" s="4"/>
      <c r="BI626" s="4"/>
      <c r="BJ626" s="4"/>
    </row>
    <row r="627" spans="1:62" ht="12.75" x14ac:dyDescent="0.2">
      <c r="A627" s="63"/>
      <c r="B627" s="85"/>
      <c r="C627" s="4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4"/>
      <c r="P627" s="4"/>
      <c r="Q627" s="4"/>
      <c r="R627" s="4"/>
      <c r="S627" s="4"/>
      <c r="T627" s="4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4"/>
      <c r="AG627" s="3"/>
      <c r="AH627" s="82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82"/>
      <c r="BC627" s="82"/>
      <c r="BD627" s="82"/>
      <c r="BE627" s="82"/>
      <c r="BF627" s="82"/>
      <c r="BG627" s="4"/>
      <c r="BH627" s="4"/>
      <c r="BI627" s="4"/>
      <c r="BJ627" s="4"/>
    </row>
    <row r="628" spans="1:62" ht="12.75" x14ac:dyDescent="0.2">
      <c r="A628" s="63"/>
      <c r="B628" s="85"/>
      <c r="C628" s="4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4"/>
      <c r="P628" s="4"/>
      <c r="Q628" s="4"/>
      <c r="R628" s="4"/>
      <c r="S628" s="4"/>
      <c r="T628" s="4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4"/>
      <c r="AG628" s="3"/>
      <c r="AH628" s="82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82"/>
      <c r="BC628" s="82"/>
      <c r="BD628" s="82"/>
      <c r="BE628" s="82"/>
      <c r="BF628" s="82"/>
      <c r="BG628" s="4"/>
      <c r="BH628" s="4"/>
      <c r="BI628" s="4"/>
      <c r="BJ628" s="4"/>
    </row>
    <row r="629" spans="1:62" ht="12.75" x14ac:dyDescent="0.2">
      <c r="A629" s="63"/>
      <c r="B629" s="85"/>
      <c r="C629" s="4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4"/>
      <c r="P629" s="4"/>
      <c r="Q629" s="4"/>
      <c r="R629" s="4"/>
      <c r="S629" s="4"/>
      <c r="T629" s="4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4"/>
      <c r="AG629" s="3"/>
      <c r="AH629" s="82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82"/>
      <c r="BC629" s="82"/>
      <c r="BD629" s="82"/>
      <c r="BE629" s="82"/>
      <c r="BF629" s="82"/>
      <c r="BG629" s="4"/>
      <c r="BH629" s="4"/>
      <c r="BI629" s="4"/>
      <c r="BJ629" s="4"/>
    </row>
    <row r="630" spans="1:62" ht="12.75" x14ac:dyDescent="0.2">
      <c r="A630" s="63"/>
      <c r="B630" s="85"/>
      <c r="C630" s="4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4"/>
      <c r="P630" s="4"/>
      <c r="Q630" s="4"/>
      <c r="R630" s="4"/>
      <c r="S630" s="4"/>
      <c r="T630" s="4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4"/>
      <c r="AG630" s="3"/>
      <c r="AH630" s="82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82"/>
      <c r="BC630" s="82"/>
      <c r="BD630" s="82"/>
      <c r="BE630" s="82"/>
      <c r="BF630" s="82"/>
      <c r="BG630" s="4"/>
      <c r="BH630" s="4"/>
      <c r="BI630" s="4"/>
      <c r="BJ630" s="4"/>
    </row>
    <row r="631" spans="1:62" ht="12.75" x14ac:dyDescent="0.2">
      <c r="A631" s="63"/>
      <c r="B631" s="85"/>
      <c r="C631" s="4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4"/>
      <c r="P631" s="4"/>
      <c r="Q631" s="4"/>
      <c r="R631" s="4"/>
      <c r="S631" s="4"/>
      <c r="T631" s="4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4"/>
      <c r="AG631" s="3"/>
      <c r="AH631" s="82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82"/>
      <c r="BC631" s="82"/>
      <c r="BD631" s="82"/>
      <c r="BE631" s="82"/>
      <c r="BF631" s="82"/>
      <c r="BG631" s="4"/>
      <c r="BH631" s="4"/>
      <c r="BI631" s="4"/>
      <c r="BJ631" s="4"/>
    </row>
    <row r="632" spans="1:62" ht="12.75" x14ac:dyDescent="0.2">
      <c r="A632" s="63"/>
      <c r="B632" s="85"/>
      <c r="C632" s="4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4"/>
      <c r="P632" s="4"/>
      <c r="Q632" s="4"/>
      <c r="R632" s="4"/>
      <c r="S632" s="4"/>
      <c r="T632" s="4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4"/>
      <c r="AG632" s="3"/>
      <c r="AH632" s="82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82"/>
      <c r="BC632" s="82"/>
      <c r="BD632" s="82"/>
      <c r="BE632" s="82"/>
      <c r="BF632" s="82"/>
      <c r="BG632" s="4"/>
      <c r="BH632" s="4"/>
      <c r="BI632" s="4"/>
      <c r="BJ632" s="4"/>
    </row>
    <row r="633" spans="1:62" ht="12.75" x14ac:dyDescent="0.2">
      <c r="A633" s="63"/>
      <c r="B633" s="85"/>
      <c r="C633" s="4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4"/>
      <c r="P633" s="4"/>
      <c r="Q633" s="4"/>
      <c r="R633" s="4"/>
      <c r="S633" s="4"/>
      <c r="T633" s="4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4"/>
      <c r="AG633" s="3"/>
      <c r="AH633" s="82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82"/>
      <c r="BC633" s="82"/>
      <c r="BD633" s="82"/>
      <c r="BE633" s="82"/>
      <c r="BF633" s="82"/>
      <c r="BG633" s="4"/>
      <c r="BH633" s="4"/>
      <c r="BI633" s="4"/>
      <c r="BJ633" s="4"/>
    </row>
    <row r="634" spans="1:62" ht="12.75" x14ac:dyDescent="0.2">
      <c r="A634" s="63"/>
      <c r="B634" s="85"/>
      <c r="C634" s="4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4"/>
      <c r="P634" s="4"/>
      <c r="Q634" s="4"/>
      <c r="R634" s="4"/>
      <c r="S634" s="4"/>
      <c r="T634" s="4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4"/>
      <c r="AG634" s="3"/>
      <c r="AH634" s="82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82"/>
      <c r="BC634" s="82"/>
      <c r="BD634" s="82"/>
      <c r="BE634" s="82"/>
      <c r="BF634" s="82"/>
      <c r="BG634" s="4"/>
      <c r="BH634" s="4"/>
      <c r="BI634" s="4"/>
      <c r="BJ634" s="4"/>
    </row>
    <row r="635" spans="1:62" ht="12.75" x14ac:dyDescent="0.2">
      <c r="A635" s="63"/>
      <c r="B635" s="85"/>
      <c r="C635" s="4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4"/>
      <c r="P635" s="4"/>
      <c r="Q635" s="4"/>
      <c r="R635" s="4"/>
      <c r="S635" s="4"/>
      <c r="T635" s="4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4"/>
      <c r="AG635" s="3"/>
      <c r="AH635" s="82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82"/>
      <c r="BC635" s="82"/>
      <c r="BD635" s="82"/>
      <c r="BE635" s="82"/>
      <c r="BF635" s="82"/>
      <c r="BG635" s="4"/>
      <c r="BH635" s="4"/>
      <c r="BI635" s="4"/>
      <c r="BJ635" s="4"/>
    </row>
    <row r="636" spans="1:62" ht="12.75" x14ac:dyDescent="0.2">
      <c r="A636" s="63"/>
      <c r="B636" s="85"/>
      <c r="C636" s="4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4"/>
      <c r="P636" s="4"/>
      <c r="Q636" s="4"/>
      <c r="R636" s="4"/>
      <c r="S636" s="4"/>
      <c r="T636" s="4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4"/>
      <c r="AG636" s="3"/>
      <c r="AH636" s="82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82"/>
      <c r="BC636" s="82"/>
      <c r="BD636" s="82"/>
      <c r="BE636" s="82"/>
      <c r="BF636" s="82"/>
      <c r="BG636" s="4"/>
      <c r="BH636" s="4"/>
      <c r="BI636" s="4"/>
      <c r="BJ636" s="4"/>
    </row>
    <row r="637" spans="1:62" ht="12.75" x14ac:dyDescent="0.2">
      <c r="A637" s="63"/>
      <c r="B637" s="85"/>
      <c r="C637" s="4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4"/>
      <c r="P637" s="4"/>
      <c r="Q637" s="4"/>
      <c r="R637" s="4"/>
      <c r="S637" s="4"/>
      <c r="T637" s="4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4"/>
      <c r="AG637" s="3"/>
      <c r="AH637" s="82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82"/>
      <c r="BC637" s="82"/>
      <c r="BD637" s="82"/>
      <c r="BE637" s="82"/>
      <c r="BF637" s="82"/>
      <c r="BG637" s="4"/>
      <c r="BH637" s="4"/>
      <c r="BI637" s="4"/>
      <c r="BJ637" s="4"/>
    </row>
    <row r="638" spans="1:62" ht="12.75" x14ac:dyDescent="0.2">
      <c r="A638" s="63"/>
      <c r="B638" s="85"/>
      <c r="C638" s="4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4"/>
      <c r="P638" s="4"/>
      <c r="Q638" s="4"/>
      <c r="R638" s="4"/>
      <c r="S638" s="4"/>
      <c r="T638" s="4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4"/>
      <c r="AG638" s="3"/>
      <c r="AH638" s="82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82"/>
      <c r="BC638" s="82"/>
      <c r="BD638" s="82"/>
      <c r="BE638" s="82"/>
      <c r="BF638" s="82"/>
      <c r="BG638" s="4"/>
      <c r="BH638" s="4"/>
      <c r="BI638" s="4"/>
      <c r="BJ638" s="4"/>
    </row>
    <row r="639" spans="1:62" ht="12.75" x14ac:dyDescent="0.2">
      <c r="A639" s="63"/>
      <c r="B639" s="85"/>
      <c r="C639" s="4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4"/>
      <c r="P639" s="4"/>
      <c r="Q639" s="4"/>
      <c r="R639" s="4"/>
      <c r="S639" s="4"/>
      <c r="T639" s="4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4"/>
      <c r="AG639" s="3"/>
      <c r="AH639" s="82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82"/>
      <c r="BC639" s="82"/>
      <c r="BD639" s="82"/>
      <c r="BE639" s="82"/>
      <c r="BF639" s="82"/>
      <c r="BG639" s="4"/>
      <c r="BH639" s="4"/>
      <c r="BI639" s="4"/>
      <c r="BJ639" s="4"/>
    </row>
    <row r="640" spans="1:62" ht="12.75" x14ac:dyDescent="0.2">
      <c r="A640" s="63"/>
      <c r="B640" s="85"/>
      <c r="C640" s="4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4"/>
      <c r="P640" s="4"/>
      <c r="Q640" s="4"/>
      <c r="R640" s="4"/>
      <c r="S640" s="4"/>
      <c r="T640" s="4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4"/>
      <c r="AG640" s="3"/>
      <c r="AH640" s="82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82"/>
      <c r="BC640" s="82"/>
      <c r="BD640" s="82"/>
      <c r="BE640" s="82"/>
      <c r="BF640" s="82"/>
      <c r="BG640" s="4"/>
      <c r="BH640" s="4"/>
      <c r="BI640" s="4"/>
      <c r="BJ640" s="4"/>
    </row>
    <row r="641" spans="1:62" ht="12.75" x14ac:dyDescent="0.2">
      <c r="A641" s="63"/>
      <c r="B641" s="85"/>
      <c r="C641" s="4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4"/>
      <c r="P641" s="4"/>
      <c r="Q641" s="4"/>
      <c r="R641" s="4"/>
      <c r="S641" s="4"/>
      <c r="T641" s="4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4"/>
      <c r="AG641" s="3"/>
      <c r="AH641" s="82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82"/>
      <c r="BC641" s="82"/>
      <c r="BD641" s="82"/>
      <c r="BE641" s="82"/>
      <c r="BF641" s="82"/>
      <c r="BG641" s="4"/>
      <c r="BH641" s="4"/>
      <c r="BI641" s="4"/>
      <c r="BJ641" s="4"/>
    </row>
    <row r="642" spans="1:62" ht="12.75" x14ac:dyDescent="0.2">
      <c r="A642" s="63"/>
      <c r="B642" s="85"/>
      <c r="C642" s="4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4"/>
      <c r="P642" s="4"/>
      <c r="Q642" s="4"/>
      <c r="R642" s="4"/>
      <c r="S642" s="4"/>
      <c r="T642" s="4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4"/>
      <c r="AG642" s="3"/>
      <c r="AH642" s="82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82"/>
      <c r="BC642" s="82"/>
      <c r="BD642" s="82"/>
      <c r="BE642" s="82"/>
      <c r="BF642" s="82"/>
      <c r="BG642" s="4"/>
      <c r="BH642" s="4"/>
      <c r="BI642" s="4"/>
      <c r="BJ642" s="4"/>
    </row>
    <row r="643" spans="1:62" ht="12.75" x14ac:dyDescent="0.2">
      <c r="A643" s="63"/>
      <c r="B643" s="85"/>
      <c r="C643" s="4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4"/>
      <c r="P643" s="4"/>
      <c r="Q643" s="4"/>
      <c r="R643" s="4"/>
      <c r="S643" s="4"/>
      <c r="T643" s="4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4"/>
      <c r="AG643" s="3"/>
      <c r="AH643" s="82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82"/>
      <c r="BC643" s="82"/>
      <c r="BD643" s="82"/>
      <c r="BE643" s="82"/>
      <c r="BF643" s="82"/>
      <c r="BG643" s="4"/>
      <c r="BH643" s="4"/>
      <c r="BI643" s="4"/>
      <c r="BJ643" s="4"/>
    </row>
    <row r="644" spans="1:62" ht="12.75" x14ac:dyDescent="0.2">
      <c r="A644" s="63"/>
      <c r="B644" s="85"/>
      <c r="C644" s="4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4"/>
      <c r="P644" s="4"/>
      <c r="Q644" s="4"/>
      <c r="R644" s="4"/>
      <c r="S644" s="4"/>
      <c r="T644" s="4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4"/>
      <c r="AG644" s="3"/>
      <c r="AH644" s="82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82"/>
      <c r="BC644" s="82"/>
      <c r="BD644" s="82"/>
      <c r="BE644" s="82"/>
      <c r="BF644" s="82"/>
      <c r="BG644" s="4"/>
      <c r="BH644" s="4"/>
      <c r="BI644" s="4"/>
      <c r="BJ644" s="4"/>
    </row>
    <row r="645" spans="1:62" ht="12.75" x14ac:dyDescent="0.2">
      <c r="A645" s="63"/>
      <c r="B645" s="85"/>
      <c r="C645" s="4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4"/>
      <c r="P645" s="4"/>
      <c r="Q645" s="4"/>
      <c r="R645" s="4"/>
      <c r="S645" s="4"/>
      <c r="T645" s="4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4"/>
      <c r="AG645" s="3"/>
      <c r="AH645" s="82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82"/>
      <c r="BC645" s="82"/>
      <c r="BD645" s="82"/>
      <c r="BE645" s="82"/>
      <c r="BF645" s="82"/>
      <c r="BG645" s="4"/>
      <c r="BH645" s="4"/>
      <c r="BI645" s="4"/>
      <c r="BJ645" s="4"/>
    </row>
    <row r="646" spans="1:62" ht="12.75" x14ac:dyDescent="0.2">
      <c r="A646" s="63"/>
      <c r="B646" s="85"/>
      <c r="C646" s="4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4"/>
      <c r="P646" s="4"/>
      <c r="Q646" s="4"/>
      <c r="R646" s="4"/>
      <c r="S646" s="4"/>
      <c r="T646" s="4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4"/>
      <c r="AG646" s="3"/>
      <c r="AH646" s="82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82"/>
      <c r="BC646" s="82"/>
      <c r="BD646" s="82"/>
      <c r="BE646" s="82"/>
      <c r="BF646" s="82"/>
      <c r="BG646" s="4"/>
      <c r="BH646" s="4"/>
      <c r="BI646" s="4"/>
      <c r="BJ646" s="4"/>
    </row>
    <row r="647" spans="1:62" ht="12.75" x14ac:dyDescent="0.2">
      <c r="A647" s="63"/>
      <c r="B647" s="85"/>
      <c r="C647" s="4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4"/>
      <c r="P647" s="4"/>
      <c r="Q647" s="4"/>
      <c r="R647" s="4"/>
      <c r="S647" s="4"/>
      <c r="T647" s="4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4"/>
      <c r="AG647" s="3"/>
      <c r="AH647" s="82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82"/>
      <c r="BC647" s="82"/>
      <c r="BD647" s="82"/>
      <c r="BE647" s="82"/>
      <c r="BF647" s="82"/>
      <c r="BG647" s="4"/>
      <c r="BH647" s="4"/>
      <c r="BI647" s="4"/>
      <c r="BJ647" s="4"/>
    </row>
    <row r="648" spans="1:62" ht="12.75" x14ac:dyDescent="0.2">
      <c r="A648" s="63"/>
      <c r="B648" s="85"/>
      <c r="C648" s="4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4"/>
      <c r="P648" s="4"/>
      <c r="Q648" s="4"/>
      <c r="R648" s="4"/>
      <c r="S648" s="4"/>
      <c r="T648" s="4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4"/>
      <c r="AG648" s="3"/>
      <c r="AH648" s="82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82"/>
      <c r="BC648" s="82"/>
      <c r="BD648" s="82"/>
      <c r="BE648" s="82"/>
      <c r="BF648" s="82"/>
      <c r="BG648" s="4"/>
      <c r="BH648" s="4"/>
      <c r="BI648" s="4"/>
      <c r="BJ648" s="4"/>
    </row>
    <row r="649" spans="1:62" ht="12.75" x14ac:dyDescent="0.2">
      <c r="A649" s="63"/>
      <c r="B649" s="85"/>
      <c r="C649" s="4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4"/>
      <c r="P649" s="4"/>
      <c r="Q649" s="4"/>
      <c r="R649" s="4"/>
      <c r="S649" s="4"/>
      <c r="T649" s="4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4"/>
      <c r="AG649" s="3"/>
      <c r="AH649" s="82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82"/>
      <c r="BC649" s="82"/>
      <c r="BD649" s="82"/>
      <c r="BE649" s="82"/>
      <c r="BF649" s="82"/>
      <c r="BG649" s="4"/>
      <c r="BH649" s="4"/>
      <c r="BI649" s="4"/>
      <c r="BJ649" s="4"/>
    </row>
    <row r="650" spans="1:62" ht="12.75" x14ac:dyDescent="0.2">
      <c r="A650" s="63"/>
      <c r="B650" s="85"/>
      <c r="C650" s="4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4"/>
      <c r="P650" s="4"/>
      <c r="Q650" s="4"/>
      <c r="R650" s="4"/>
      <c r="S650" s="4"/>
      <c r="T650" s="4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4"/>
      <c r="AG650" s="3"/>
      <c r="AH650" s="82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82"/>
      <c r="BC650" s="82"/>
      <c r="BD650" s="82"/>
      <c r="BE650" s="82"/>
      <c r="BF650" s="82"/>
      <c r="BG650" s="4"/>
      <c r="BH650" s="4"/>
      <c r="BI650" s="4"/>
      <c r="BJ650" s="4"/>
    </row>
    <row r="651" spans="1:62" ht="12.75" x14ac:dyDescent="0.2">
      <c r="A651" s="63"/>
      <c r="B651" s="85"/>
      <c r="C651" s="4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4"/>
      <c r="P651" s="4"/>
      <c r="Q651" s="4"/>
      <c r="R651" s="4"/>
      <c r="S651" s="4"/>
      <c r="T651" s="4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4"/>
      <c r="AG651" s="3"/>
      <c r="AH651" s="82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82"/>
      <c r="BC651" s="82"/>
      <c r="BD651" s="82"/>
      <c r="BE651" s="82"/>
      <c r="BF651" s="82"/>
      <c r="BG651" s="4"/>
      <c r="BH651" s="4"/>
      <c r="BI651" s="4"/>
      <c r="BJ651" s="4"/>
    </row>
    <row r="652" spans="1:62" ht="12.75" x14ac:dyDescent="0.2">
      <c r="A652" s="63"/>
      <c r="B652" s="85"/>
      <c r="C652" s="4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4"/>
      <c r="P652" s="4"/>
      <c r="Q652" s="4"/>
      <c r="R652" s="4"/>
      <c r="S652" s="4"/>
      <c r="T652" s="4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4"/>
      <c r="AG652" s="3"/>
      <c r="AH652" s="82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82"/>
      <c r="BC652" s="82"/>
      <c r="BD652" s="82"/>
      <c r="BE652" s="82"/>
      <c r="BF652" s="82"/>
      <c r="BG652" s="4"/>
      <c r="BH652" s="4"/>
      <c r="BI652" s="4"/>
      <c r="BJ652" s="4"/>
    </row>
    <row r="653" spans="1:62" ht="12.75" x14ac:dyDescent="0.2">
      <c r="A653" s="63"/>
      <c r="B653" s="85"/>
      <c r="C653" s="4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4"/>
      <c r="P653" s="4"/>
      <c r="Q653" s="4"/>
      <c r="R653" s="4"/>
      <c r="S653" s="4"/>
      <c r="T653" s="4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4"/>
      <c r="AG653" s="3"/>
      <c r="AH653" s="82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82"/>
      <c r="BC653" s="82"/>
      <c r="BD653" s="82"/>
      <c r="BE653" s="82"/>
      <c r="BF653" s="82"/>
      <c r="BG653" s="4"/>
      <c r="BH653" s="4"/>
      <c r="BI653" s="4"/>
      <c r="BJ653" s="4"/>
    </row>
    <row r="654" spans="1:62" ht="12.75" x14ac:dyDescent="0.2">
      <c r="A654" s="63"/>
      <c r="B654" s="85"/>
      <c r="C654" s="4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4"/>
      <c r="P654" s="4"/>
      <c r="Q654" s="4"/>
      <c r="R654" s="4"/>
      <c r="S654" s="4"/>
      <c r="T654" s="4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4"/>
      <c r="AG654" s="3"/>
      <c r="AH654" s="82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82"/>
      <c r="BC654" s="82"/>
      <c r="BD654" s="82"/>
      <c r="BE654" s="82"/>
      <c r="BF654" s="82"/>
      <c r="BG654" s="4"/>
      <c r="BH654" s="4"/>
      <c r="BI654" s="4"/>
      <c r="BJ654" s="4"/>
    </row>
    <row r="655" spans="1:62" ht="12.75" x14ac:dyDescent="0.2">
      <c r="A655" s="63"/>
      <c r="B655" s="85"/>
      <c r="C655" s="4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4"/>
      <c r="P655" s="4"/>
      <c r="Q655" s="4"/>
      <c r="R655" s="4"/>
      <c r="S655" s="4"/>
      <c r="T655" s="4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4"/>
      <c r="AG655" s="3"/>
      <c r="AH655" s="82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82"/>
      <c r="BC655" s="82"/>
      <c r="BD655" s="82"/>
      <c r="BE655" s="82"/>
      <c r="BF655" s="82"/>
      <c r="BG655" s="4"/>
      <c r="BH655" s="4"/>
      <c r="BI655" s="4"/>
      <c r="BJ655" s="4"/>
    </row>
    <row r="656" spans="1:62" ht="12.75" x14ac:dyDescent="0.2">
      <c r="A656" s="63"/>
      <c r="B656" s="85"/>
      <c r="C656" s="4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4"/>
      <c r="P656" s="4"/>
      <c r="Q656" s="4"/>
      <c r="R656" s="4"/>
      <c r="S656" s="4"/>
      <c r="T656" s="4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4"/>
      <c r="AG656" s="3"/>
      <c r="AH656" s="82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82"/>
      <c r="BC656" s="82"/>
      <c r="BD656" s="82"/>
      <c r="BE656" s="82"/>
      <c r="BF656" s="82"/>
      <c r="BG656" s="4"/>
      <c r="BH656" s="4"/>
      <c r="BI656" s="4"/>
      <c r="BJ656" s="4"/>
    </row>
    <row r="657" spans="1:62" ht="12.75" x14ac:dyDescent="0.2">
      <c r="A657" s="63"/>
      <c r="B657" s="85"/>
      <c r="C657" s="4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4"/>
      <c r="P657" s="4"/>
      <c r="Q657" s="4"/>
      <c r="R657" s="4"/>
      <c r="S657" s="4"/>
      <c r="T657" s="4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4"/>
      <c r="AG657" s="3"/>
      <c r="AH657" s="82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82"/>
      <c r="BC657" s="82"/>
      <c r="BD657" s="82"/>
      <c r="BE657" s="82"/>
      <c r="BF657" s="82"/>
      <c r="BG657" s="4"/>
      <c r="BH657" s="4"/>
      <c r="BI657" s="4"/>
      <c r="BJ657" s="4"/>
    </row>
    <row r="658" spans="1:62" ht="12.75" x14ac:dyDescent="0.2">
      <c r="A658" s="63"/>
      <c r="B658" s="85"/>
      <c r="C658" s="4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4"/>
      <c r="P658" s="4"/>
      <c r="Q658" s="4"/>
      <c r="R658" s="4"/>
      <c r="S658" s="4"/>
      <c r="T658" s="4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4"/>
      <c r="AG658" s="3"/>
      <c r="AH658" s="82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82"/>
      <c r="BC658" s="82"/>
      <c r="BD658" s="82"/>
      <c r="BE658" s="82"/>
      <c r="BF658" s="82"/>
      <c r="BG658" s="4"/>
      <c r="BH658" s="4"/>
      <c r="BI658" s="4"/>
      <c r="BJ658" s="4"/>
    </row>
    <row r="659" spans="1:62" ht="12.75" x14ac:dyDescent="0.2">
      <c r="A659" s="63"/>
      <c r="B659" s="85"/>
      <c r="C659" s="4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4"/>
      <c r="P659" s="4"/>
      <c r="Q659" s="4"/>
      <c r="R659" s="4"/>
      <c r="S659" s="4"/>
      <c r="T659" s="4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4"/>
      <c r="AG659" s="3"/>
      <c r="AH659" s="82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82"/>
      <c r="BC659" s="82"/>
      <c r="BD659" s="82"/>
      <c r="BE659" s="82"/>
      <c r="BF659" s="82"/>
      <c r="BG659" s="4"/>
      <c r="BH659" s="4"/>
      <c r="BI659" s="4"/>
      <c r="BJ659" s="4"/>
    </row>
    <row r="660" spans="1:62" ht="12.75" x14ac:dyDescent="0.2">
      <c r="A660" s="63"/>
      <c r="B660" s="85"/>
      <c r="C660" s="4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4"/>
      <c r="P660" s="4"/>
      <c r="Q660" s="4"/>
      <c r="R660" s="4"/>
      <c r="S660" s="4"/>
      <c r="T660" s="4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4"/>
      <c r="AG660" s="3"/>
      <c r="AH660" s="82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82"/>
      <c r="BC660" s="82"/>
      <c r="BD660" s="82"/>
      <c r="BE660" s="82"/>
      <c r="BF660" s="82"/>
      <c r="BG660" s="4"/>
      <c r="BH660" s="4"/>
      <c r="BI660" s="4"/>
      <c r="BJ660" s="4"/>
    </row>
    <row r="661" spans="1:62" ht="12.75" x14ac:dyDescent="0.2">
      <c r="A661" s="63"/>
      <c r="B661" s="85"/>
      <c r="C661" s="4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4"/>
      <c r="P661" s="4"/>
      <c r="Q661" s="4"/>
      <c r="R661" s="4"/>
      <c r="S661" s="4"/>
      <c r="T661" s="4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4"/>
      <c r="AG661" s="3"/>
      <c r="AH661" s="82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82"/>
      <c r="BC661" s="82"/>
      <c r="BD661" s="82"/>
      <c r="BE661" s="82"/>
      <c r="BF661" s="82"/>
      <c r="BG661" s="4"/>
      <c r="BH661" s="4"/>
      <c r="BI661" s="4"/>
      <c r="BJ661" s="4"/>
    </row>
    <row r="662" spans="1:62" ht="12.75" x14ac:dyDescent="0.2">
      <c r="A662" s="63"/>
      <c r="B662" s="85"/>
      <c r="C662" s="4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4"/>
      <c r="P662" s="4"/>
      <c r="Q662" s="4"/>
      <c r="R662" s="4"/>
      <c r="S662" s="4"/>
      <c r="T662" s="4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4"/>
      <c r="AG662" s="3"/>
      <c r="AH662" s="82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82"/>
      <c r="BC662" s="82"/>
      <c r="BD662" s="82"/>
      <c r="BE662" s="82"/>
      <c r="BF662" s="82"/>
      <c r="BG662" s="4"/>
      <c r="BH662" s="4"/>
      <c r="BI662" s="4"/>
      <c r="BJ662" s="4"/>
    </row>
    <row r="663" spans="1:62" ht="12.75" x14ac:dyDescent="0.2">
      <c r="A663" s="63"/>
      <c r="B663" s="85"/>
      <c r="C663" s="4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4"/>
      <c r="P663" s="4"/>
      <c r="Q663" s="4"/>
      <c r="R663" s="4"/>
      <c r="S663" s="4"/>
      <c r="T663" s="4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4"/>
      <c r="AG663" s="3"/>
      <c r="AH663" s="82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82"/>
      <c r="BC663" s="82"/>
      <c r="BD663" s="82"/>
      <c r="BE663" s="82"/>
      <c r="BF663" s="82"/>
      <c r="BG663" s="4"/>
      <c r="BH663" s="4"/>
      <c r="BI663" s="4"/>
      <c r="BJ663" s="4"/>
    </row>
    <row r="664" spans="1:62" ht="12.75" x14ac:dyDescent="0.2">
      <c r="A664" s="63"/>
      <c r="B664" s="85"/>
      <c r="C664" s="4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4"/>
      <c r="P664" s="4"/>
      <c r="Q664" s="4"/>
      <c r="R664" s="4"/>
      <c r="S664" s="4"/>
      <c r="T664" s="4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4"/>
      <c r="AG664" s="3"/>
      <c r="AH664" s="82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82"/>
      <c r="BC664" s="82"/>
      <c r="BD664" s="82"/>
      <c r="BE664" s="82"/>
      <c r="BF664" s="82"/>
      <c r="BG664" s="4"/>
      <c r="BH664" s="4"/>
      <c r="BI664" s="4"/>
      <c r="BJ664" s="4"/>
    </row>
    <row r="665" spans="1:62" ht="12.75" x14ac:dyDescent="0.2">
      <c r="A665" s="63"/>
      <c r="B665" s="85"/>
      <c r="C665" s="4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4"/>
      <c r="P665" s="4"/>
      <c r="Q665" s="4"/>
      <c r="R665" s="4"/>
      <c r="S665" s="4"/>
      <c r="T665" s="4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4"/>
      <c r="AG665" s="3"/>
      <c r="AH665" s="82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82"/>
      <c r="BC665" s="82"/>
      <c r="BD665" s="82"/>
      <c r="BE665" s="82"/>
      <c r="BF665" s="82"/>
      <c r="BG665" s="4"/>
      <c r="BH665" s="4"/>
      <c r="BI665" s="4"/>
      <c r="BJ665" s="4"/>
    </row>
    <row r="666" spans="1:62" ht="12.75" x14ac:dyDescent="0.2">
      <c r="A666" s="63"/>
      <c r="B666" s="85"/>
      <c r="C666" s="4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4"/>
      <c r="P666" s="4"/>
      <c r="Q666" s="4"/>
      <c r="R666" s="4"/>
      <c r="S666" s="4"/>
      <c r="T666" s="4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4"/>
      <c r="AG666" s="3"/>
      <c r="AH666" s="82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82"/>
      <c r="BC666" s="82"/>
      <c r="BD666" s="82"/>
      <c r="BE666" s="82"/>
      <c r="BF666" s="82"/>
      <c r="BG666" s="4"/>
      <c r="BH666" s="4"/>
      <c r="BI666" s="4"/>
      <c r="BJ666" s="4"/>
    </row>
    <row r="667" spans="1:62" ht="12.75" x14ac:dyDescent="0.2">
      <c r="A667" s="63"/>
      <c r="B667" s="85"/>
      <c r="C667" s="4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4"/>
      <c r="P667" s="4"/>
      <c r="Q667" s="4"/>
      <c r="R667" s="4"/>
      <c r="S667" s="4"/>
      <c r="T667" s="4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4"/>
      <c r="AG667" s="3"/>
      <c r="AH667" s="82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82"/>
      <c r="BC667" s="82"/>
      <c r="BD667" s="82"/>
      <c r="BE667" s="82"/>
      <c r="BF667" s="82"/>
      <c r="BG667" s="4"/>
      <c r="BH667" s="4"/>
      <c r="BI667" s="4"/>
      <c r="BJ667" s="4"/>
    </row>
    <row r="668" spans="1:62" ht="12.75" x14ac:dyDescent="0.2">
      <c r="A668" s="63"/>
      <c r="B668" s="85"/>
      <c r="C668" s="4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4"/>
      <c r="P668" s="4"/>
      <c r="Q668" s="4"/>
      <c r="R668" s="4"/>
      <c r="S668" s="4"/>
      <c r="T668" s="4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4"/>
      <c r="AG668" s="3"/>
      <c r="AH668" s="82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82"/>
      <c r="BC668" s="82"/>
      <c r="BD668" s="82"/>
      <c r="BE668" s="82"/>
      <c r="BF668" s="82"/>
      <c r="BG668" s="4"/>
      <c r="BH668" s="4"/>
      <c r="BI668" s="4"/>
      <c r="BJ668" s="4"/>
    </row>
    <row r="669" spans="1:62" ht="12.75" x14ac:dyDescent="0.2">
      <c r="A669" s="63"/>
      <c r="B669" s="85"/>
      <c r="C669" s="4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4"/>
      <c r="P669" s="4"/>
      <c r="Q669" s="4"/>
      <c r="R669" s="4"/>
      <c r="S669" s="4"/>
      <c r="T669" s="4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4"/>
      <c r="AG669" s="3"/>
      <c r="AH669" s="82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82"/>
      <c r="BC669" s="82"/>
      <c r="BD669" s="82"/>
      <c r="BE669" s="82"/>
      <c r="BF669" s="82"/>
      <c r="BG669" s="4"/>
      <c r="BH669" s="4"/>
      <c r="BI669" s="4"/>
      <c r="BJ669" s="4"/>
    </row>
    <row r="670" spans="1:62" ht="12.75" x14ac:dyDescent="0.2">
      <c r="A670" s="63"/>
      <c r="B670" s="85"/>
      <c r="C670" s="4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4"/>
      <c r="P670" s="4"/>
      <c r="Q670" s="4"/>
      <c r="R670" s="4"/>
      <c r="S670" s="4"/>
      <c r="T670" s="4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4"/>
      <c r="AG670" s="3"/>
      <c r="AH670" s="82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82"/>
      <c r="BC670" s="82"/>
      <c r="BD670" s="82"/>
      <c r="BE670" s="82"/>
      <c r="BF670" s="82"/>
      <c r="BG670" s="4"/>
      <c r="BH670" s="4"/>
      <c r="BI670" s="4"/>
      <c r="BJ670" s="4"/>
    </row>
    <row r="671" spans="1:62" ht="12.75" x14ac:dyDescent="0.2">
      <c r="A671" s="63"/>
      <c r="B671" s="85"/>
      <c r="C671" s="4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4"/>
      <c r="P671" s="4"/>
      <c r="Q671" s="4"/>
      <c r="R671" s="4"/>
      <c r="S671" s="4"/>
      <c r="T671" s="4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4"/>
      <c r="AG671" s="3"/>
      <c r="AH671" s="82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82"/>
      <c r="BC671" s="82"/>
      <c r="BD671" s="82"/>
      <c r="BE671" s="82"/>
      <c r="BF671" s="82"/>
      <c r="BG671" s="4"/>
      <c r="BH671" s="4"/>
      <c r="BI671" s="4"/>
      <c r="BJ671" s="4"/>
    </row>
    <row r="672" spans="1:62" ht="12.75" x14ac:dyDescent="0.2">
      <c r="A672" s="63"/>
      <c r="B672" s="85"/>
      <c r="C672" s="4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4"/>
      <c r="P672" s="4"/>
      <c r="Q672" s="4"/>
      <c r="R672" s="4"/>
      <c r="S672" s="4"/>
      <c r="T672" s="4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4"/>
      <c r="AG672" s="3"/>
      <c r="AH672" s="82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82"/>
      <c r="BC672" s="82"/>
      <c r="BD672" s="82"/>
      <c r="BE672" s="82"/>
      <c r="BF672" s="82"/>
      <c r="BG672" s="4"/>
      <c r="BH672" s="4"/>
      <c r="BI672" s="4"/>
      <c r="BJ672" s="4"/>
    </row>
    <row r="673" spans="1:62" ht="12.75" x14ac:dyDescent="0.2">
      <c r="A673" s="63"/>
      <c r="B673" s="85"/>
      <c r="C673" s="4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4"/>
      <c r="P673" s="4"/>
      <c r="Q673" s="4"/>
      <c r="R673" s="4"/>
      <c r="S673" s="4"/>
      <c r="T673" s="4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4"/>
      <c r="AG673" s="3"/>
      <c r="AH673" s="82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82"/>
      <c r="BC673" s="82"/>
      <c r="BD673" s="82"/>
      <c r="BE673" s="82"/>
      <c r="BF673" s="82"/>
      <c r="BG673" s="4"/>
      <c r="BH673" s="4"/>
      <c r="BI673" s="4"/>
      <c r="BJ673" s="4"/>
    </row>
    <row r="674" spans="1:62" ht="12.75" x14ac:dyDescent="0.2">
      <c r="A674" s="63"/>
      <c r="B674" s="85"/>
      <c r="C674" s="4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4"/>
      <c r="P674" s="4"/>
      <c r="Q674" s="4"/>
      <c r="R674" s="4"/>
      <c r="S674" s="4"/>
      <c r="T674" s="4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4"/>
      <c r="AG674" s="3"/>
      <c r="AH674" s="82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82"/>
      <c r="BC674" s="82"/>
      <c r="BD674" s="82"/>
      <c r="BE674" s="82"/>
      <c r="BF674" s="82"/>
      <c r="BG674" s="4"/>
      <c r="BH674" s="4"/>
      <c r="BI674" s="4"/>
      <c r="BJ674" s="4"/>
    </row>
    <row r="675" spans="1:62" ht="12.75" x14ac:dyDescent="0.2">
      <c r="A675" s="63"/>
      <c r="B675" s="85"/>
      <c r="C675" s="4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4"/>
      <c r="P675" s="4"/>
      <c r="Q675" s="4"/>
      <c r="R675" s="4"/>
      <c r="S675" s="4"/>
      <c r="T675" s="4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4"/>
      <c r="AG675" s="3"/>
      <c r="AH675" s="82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82"/>
      <c r="BC675" s="82"/>
      <c r="BD675" s="82"/>
      <c r="BE675" s="82"/>
      <c r="BF675" s="82"/>
      <c r="BG675" s="4"/>
      <c r="BH675" s="4"/>
      <c r="BI675" s="4"/>
      <c r="BJ675" s="4"/>
    </row>
    <row r="676" spans="1:62" ht="12.75" x14ac:dyDescent="0.2">
      <c r="A676" s="63"/>
      <c r="B676" s="85"/>
      <c r="C676" s="4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4"/>
      <c r="P676" s="4"/>
      <c r="Q676" s="4"/>
      <c r="R676" s="4"/>
      <c r="S676" s="4"/>
      <c r="T676" s="4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4"/>
      <c r="AG676" s="3"/>
      <c r="AH676" s="82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82"/>
      <c r="BC676" s="82"/>
      <c r="BD676" s="82"/>
      <c r="BE676" s="82"/>
      <c r="BF676" s="82"/>
      <c r="BG676" s="4"/>
      <c r="BH676" s="4"/>
      <c r="BI676" s="4"/>
      <c r="BJ676" s="4"/>
    </row>
    <row r="677" spans="1:62" ht="12.75" x14ac:dyDescent="0.2">
      <c r="A677" s="63"/>
      <c r="B677" s="85"/>
      <c r="C677" s="4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4"/>
      <c r="P677" s="4"/>
      <c r="Q677" s="4"/>
      <c r="R677" s="4"/>
      <c r="S677" s="4"/>
      <c r="T677" s="4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4"/>
      <c r="AG677" s="3"/>
      <c r="AH677" s="82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82"/>
      <c r="BC677" s="82"/>
      <c r="BD677" s="82"/>
      <c r="BE677" s="82"/>
      <c r="BF677" s="82"/>
      <c r="BG677" s="4"/>
      <c r="BH677" s="4"/>
      <c r="BI677" s="4"/>
      <c r="BJ677" s="4"/>
    </row>
    <row r="678" spans="1:62" ht="12.75" x14ac:dyDescent="0.2">
      <c r="A678" s="63"/>
      <c r="B678" s="85"/>
      <c r="C678" s="4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4"/>
      <c r="P678" s="4"/>
      <c r="Q678" s="4"/>
      <c r="R678" s="4"/>
      <c r="S678" s="4"/>
      <c r="T678" s="4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4"/>
      <c r="AG678" s="3"/>
      <c r="AH678" s="82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82"/>
      <c r="BC678" s="82"/>
      <c r="BD678" s="82"/>
      <c r="BE678" s="82"/>
      <c r="BF678" s="82"/>
      <c r="BG678" s="4"/>
      <c r="BH678" s="4"/>
      <c r="BI678" s="4"/>
      <c r="BJ678" s="4"/>
    </row>
    <row r="679" spans="1:62" ht="12.75" x14ac:dyDescent="0.2">
      <c r="A679" s="63"/>
      <c r="B679" s="85"/>
      <c r="C679" s="4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4"/>
      <c r="P679" s="4"/>
      <c r="Q679" s="4"/>
      <c r="R679" s="4"/>
      <c r="S679" s="4"/>
      <c r="T679" s="4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4"/>
      <c r="AG679" s="3"/>
      <c r="AH679" s="82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82"/>
      <c r="BC679" s="82"/>
      <c r="BD679" s="82"/>
      <c r="BE679" s="82"/>
      <c r="BF679" s="82"/>
      <c r="BG679" s="4"/>
      <c r="BH679" s="4"/>
      <c r="BI679" s="4"/>
      <c r="BJ679" s="4"/>
    </row>
    <row r="680" spans="1:62" ht="12.75" x14ac:dyDescent="0.2">
      <c r="A680" s="63"/>
      <c r="B680" s="85"/>
      <c r="C680" s="4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4"/>
      <c r="P680" s="4"/>
      <c r="Q680" s="4"/>
      <c r="R680" s="4"/>
      <c r="S680" s="4"/>
      <c r="T680" s="4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4"/>
      <c r="AG680" s="3"/>
      <c r="AH680" s="82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82"/>
      <c r="BC680" s="82"/>
      <c r="BD680" s="82"/>
      <c r="BE680" s="82"/>
      <c r="BF680" s="82"/>
      <c r="BG680" s="4"/>
      <c r="BH680" s="4"/>
      <c r="BI680" s="4"/>
      <c r="BJ680" s="4"/>
    </row>
    <row r="681" spans="1:62" ht="12.75" x14ac:dyDescent="0.2">
      <c r="A681" s="63"/>
      <c r="B681" s="85"/>
      <c r="C681" s="4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4"/>
      <c r="P681" s="4"/>
      <c r="Q681" s="4"/>
      <c r="R681" s="4"/>
      <c r="S681" s="4"/>
      <c r="T681" s="4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4"/>
      <c r="AG681" s="3"/>
      <c r="AH681" s="82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82"/>
      <c r="BC681" s="82"/>
      <c r="BD681" s="82"/>
      <c r="BE681" s="82"/>
      <c r="BF681" s="82"/>
      <c r="BG681" s="4"/>
      <c r="BH681" s="4"/>
      <c r="BI681" s="4"/>
      <c r="BJ681" s="4"/>
    </row>
    <row r="682" spans="1:62" ht="12.75" x14ac:dyDescent="0.2">
      <c r="A682" s="63"/>
      <c r="B682" s="85"/>
      <c r="C682" s="4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4"/>
      <c r="P682" s="4"/>
      <c r="Q682" s="4"/>
      <c r="R682" s="4"/>
      <c r="S682" s="4"/>
      <c r="T682" s="4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4"/>
      <c r="AG682" s="3"/>
      <c r="AH682" s="82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82"/>
      <c r="BC682" s="82"/>
      <c r="BD682" s="82"/>
      <c r="BE682" s="82"/>
      <c r="BF682" s="82"/>
      <c r="BG682" s="4"/>
      <c r="BH682" s="4"/>
      <c r="BI682" s="4"/>
      <c r="BJ682" s="4"/>
    </row>
    <row r="683" spans="1:62" ht="12.75" x14ac:dyDescent="0.2">
      <c r="A683" s="63"/>
      <c r="B683" s="85"/>
      <c r="C683" s="4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4"/>
      <c r="P683" s="4"/>
      <c r="Q683" s="4"/>
      <c r="R683" s="4"/>
      <c r="S683" s="4"/>
      <c r="T683" s="4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4"/>
      <c r="AG683" s="3"/>
      <c r="AH683" s="82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82"/>
      <c r="BC683" s="82"/>
      <c r="BD683" s="82"/>
      <c r="BE683" s="82"/>
      <c r="BF683" s="82"/>
      <c r="BG683" s="4"/>
      <c r="BH683" s="4"/>
      <c r="BI683" s="4"/>
      <c r="BJ683" s="4"/>
    </row>
    <row r="684" spans="1:62" ht="12.75" x14ac:dyDescent="0.2">
      <c r="A684" s="63"/>
      <c r="B684" s="85"/>
      <c r="C684" s="4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4"/>
      <c r="P684" s="4"/>
      <c r="Q684" s="4"/>
      <c r="R684" s="4"/>
      <c r="S684" s="4"/>
      <c r="T684" s="4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4"/>
      <c r="AG684" s="3"/>
      <c r="AH684" s="82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82"/>
      <c r="BC684" s="82"/>
      <c r="BD684" s="82"/>
      <c r="BE684" s="82"/>
      <c r="BF684" s="82"/>
      <c r="BG684" s="4"/>
      <c r="BH684" s="4"/>
      <c r="BI684" s="4"/>
      <c r="BJ684" s="4"/>
    </row>
    <row r="685" spans="1:62" ht="12.75" x14ac:dyDescent="0.2">
      <c r="A685" s="63"/>
      <c r="B685" s="85"/>
      <c r="C685" s="4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4"/>
      <c r="P685" s="4"/>
      <c r="Q685" s="4"/>
      <c r="R685" s="4"/>
      <c r="S685" s="4"/>
      <c r="T685" s="4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4"/>
      <c r="AG685" s="3"/>
      <c r="AH685" s="82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82"/>
      <c r="BC685" s="82"/>
      <c r="BD685" s="82"/>
      <c r="BE685" s="82"/>
      <c r="BF685" s="82"/>
      <c r="BG685" s="4"/>
      <c r="BH685" s="4"/>
      <c r="BI685" s="4"/>
      <c r="BJ685" s="4"/>
    </row>
    <row r="686" spans="1:62" ht="12.75" x14ac:dyDescent="0.2">
      <c r="A686" s="63"/>
      <c r="B686" s="85"/>
      <c r="C686" s="4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4"/>
      <c r="P686" s="4"/>
      <c r="Q686" s="4"/>
      <c r="R686" s="4"/>
      <c r="S686" s="4"/>
      <c r="T686" s="4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4"/>
      <c r="AG686" s="3"/>
      <c r="AH686" s="82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82"/>
      <c r="BC686" s="82"/>
      <c r="BD686" s="82"/>
      <c r="BE686" s="82"/>
      <c r="BF686" s="82"/>
      <c r="BG686" s="4"/>
      <c r="BH686" s="4"/>
      <c r="BI686" s="4"/>
      <c r="BJ686" s="4"/>
    </row>
    <row r="687" spans="1:62" ht="12.75" x14ac:dyDescent="0.2">
      <c r="A687" s="63"/>
      <c r="B687" s="85"/>
      <c r="C687" s="4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4"/>
      <c r="P687" s="4"/>
      <c r="Q687" s="4"/>
      <c r="R687" s="4"/>
      <c r="S687" s="4"/>
      <c r="T687" s="4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4"/>
      <c r="AG687" s="3"/>
      <c r="AH687" s="82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82"/>
      <c r="BC687" s="82"/>
      <c r="BD687" s="82"/>
      <c r="BE687" s="82"/>
      <c r="BF687" s="82"/>
      <c r="BG687" s="4"/>
      <c r="BH687" s="4"/>
      <c r="BI687" s="4"/>
      <c r="BJ687" s="4"/>
    </row>
    <row r="688" spans="1:62" ht="12.75" x14ac:dyDescent="0.2">
      <c r="A688" s="63"/>
      <c r="B688" s="85"/>
      <c r="C688" s="4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4"/>
      <c r="P688" s="4"/>
      <c r="Q688" s="4"/>
      <c r="R688" s="4"/>
      <c r="S688" s="4"/>
      <c r="T688" s="4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4"/>
      <c r="AG688" s="3"/>
      <c r="AH688" s="82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82"/>
      <c r="BC688" s="82"/>
      <c r="BD688" s="82"/>
      <c r="BE688" s="82"/>
      <c r="BF688" s="82"/>
      <c r="BG688" s="4"/>
      <c r="BH688" s="4"/>
      <c r="BI688" s="4"/>
      <c r="BJ688" s="4"/>
    </row>
    <row r="689" spans="1:62" ht="12.75" x14ac:dyDescent="0.2">
      <c r="A689" s="63"/>
      <c r="B689" s="85"/>
      <c r="C689" s="4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4"/>
      <c r="P689" s="4"/>
      <c r="Q689" s="4"/>
      <c r="R689" s="4"/>
      <c r="S689" s="4"/>
      <c r="T689" s="4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4"/>
      <c r="AG689" s="3"/>
      <c r="AH689" s="82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82"/>
      <c r="BC689" s="82"/>
      <c r="BD689" s="82"/>
      <c r="BE689" s="82"/>
      <c r="BF689" s="82"/>
      <c r="BG689" s="4"/>
      <c r="BH689" s="4"/>
      <c r="BI689" s="4"/>
      <c r="BJ689" s="4"/>
    </row>
    <row r="690" spans="1:62" ht="12.75" x14ac:dyDescent="0.2">
      <c r="A690" s="63"/>
      <c r="B690" s="85"/>
      <c r="C690" s="4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4"/>
      <c r="P690" s="4"/>
      <c r="Q690" s="4"/>
      <c r="R690" s="4"/>
      <c r="S690" s="4"/>
      <c r="T690" s="4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4"/>
      <c r="AG690" s="3"/>
      <c r="AH690" s="82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82"/>
      <c r="BC690" s="82"/>
      <c r="BD690" s="82"/>
      <c r="BE690" s="82"/>
      <c r="BF690" s="82"/>
      <c r="BG690" s="4"/>
      <c r="BH690" s="4"/>
      <c r="BI690" s="4"/>
      <c r="BJ690" s="4"/>
    </row>
    <row r="691" spans="1:62" ht="12.75" x14ac:dyDescent="0.2">
      <c r="A691" s="63"/>
      <c r="B691" s="85"/>
      <c r="C691" s="4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4"/>
      <c r="P691" s="4"/>
      <c r="Q691" s="4"/>
      <c r="R691" s="4"/>
      <c r="S691" s="4"/>
      <c r="T691" s="4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4"/>
      <c r="AG691" s="3"/>
      <c r="AH691" s="82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82"/>
      <c r="BC691" s="82"/>
      <c r="BD691" s="82"/>
      <c r="BE691" s="82"/>
      <c r="BF691" s="82"/>
      <c r="BG691" s="4"/>
      <c r="BH691" s="4"/>
      <c r="BI691" s="4"/>
      <c r="BJ691" s="4"/>
    </row>
    <row r="692" spans="1:62" ht="12.75" x14ac:dyDescent="0.2">
      <c r="A692" s="63"/>
      <c r="B692" s="85"/>
      <c r="C692" s="4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4"/>
      <c r="P692" s="4"/>
      <c r="Q692" s="4"/>
      <c r="R692" s="4"/>
      <c r="S692" s="4"/>
      <c r="T692" s="4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4"/>
      <c r="AG692" s="3"/>
      <c r="AH692" s="82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82"/>
      <c r="BC692" s="82"/>
      <c r="BD692" s="82"/>
      <c r="BE692" s="82"/>
      <c r="BF692" s="82"/>
      <c r="BG692" s="4"/>
      <c r="BH692" s="4"/>
      <c r="BI692" s="4"/>
      <c r="BJ692" s="4"/>
    </row>
    <row r="693" spans="1:62" ht="12.75" x14ac:dyDescent="0.2">
      <c r="A693" s="63"/>
      <c r="B693" s="85"/>
      <c r="C693" s="4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4"/>
      <c r="P693" s="4"/>
      <c r="Q693" s="4"/>
      <c r="R693" s="4"/>
      <c r="S693" s="4"/>
      <c r="T693" s="4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4"/>
      <c r="AG693" s="3"/>
      <c r="AH693" s="82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82"/>
      <c r="BC693" s="82"/>
      <c r="BD693" s="82"/>
      <c r="BE693" s="82"/>
      <c r="BF693" s="82"/>
      <c r="BG693" s="4"/>
      <c r="BH693" s="4"/>
      <c r="BI693" s="4"/>
      <c r="BJ693" s="4"/>
    </row>
    <row r="694" spans="1:62" ht="12.75" x14ac:dyDescent="0.2">
      <c r="A694" s="63"/>
      <c r="B694" s="85"/>
      <c r="C694" s="4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3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</row>
    <row r="695" spans="1:62" ht="12.75" x14ac:dyDescent="0.2">
      <c r="A695" s="63"/>
      <c r="B695" s="85"/>
      <c r="C695" s="4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3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</row>
    <row r="696" spans="1:62" ht="12.75" x14ac:dyDescent="0.2">
      <c r="A696" s="3"/>
      <c r="B696" s="2"/>
      <c r="C696" s="4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3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</row>
    <row r="697" spans="1:62" ht="12.75" x14ac:dyDescent="0.2">
      <c r="A697" s="3"/>
      <c r="B697" s="2"/>
      <c r="C697" s="4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3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</row>
    <row r="698" spans="1:62" ht="12.75" x14ac:dyDescent="0.2">
      <c r="A698" s="3"/>
      <c r="B698" s="2"/>
      <c r="C698" s="4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3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</row>
    <row r="699" spans="1:62" ht="12.75" x14ac:dyDescent="0.2">
      <c r="A699" s="3"/>
      <c r="B699" s="2"/>
      <c r="C699" s="4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3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</row>
    <row r="700" spans="1:62" ht="12.75" x14ac:dyDescent="0.2">
      <c r="A700" s="3"/>
      <c r="B700" s="2"/>
      <c r="C700" s="4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3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</row>
    <row r="701" spans="1:62" ht="12.75" x14ac:dyDescent="0.2">
      <c r="A701" s="3"/>
      <c r="B701" s="2"/>
      <c r="C701" s="4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3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</row>
    <row r="702" spans="1:62" ht="12.75" x14ac:dyDescent="0.2">
      <c r="A702" s="3"/>
      <c r="B702" s="2"/>
      <c r="C702" s="4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3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</row>
    <row r="703" spans="1:62" ht="12.75" x14ac:dyDescent="0.2">
      <c r="A703" s="3"/>
      <c r="B703" s="2"/>
      <c r="C703" s="4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3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</row>
    <row r="704" spans="1:62" ht="12.75" x14ac:dyDescent="0.2">
      <c r="A704" s="3"/>
      <c r="B704" s="2"/>
      <c r="C704" s="4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3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</row>
    <row r="705" spans="1:62" ht="12.75" x14ac:dyDescent="0.2">
      <c r="A705" s="3"/>
      <c r="B705" s="2"/>
      <c r="C705" s="4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3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</row>
    <row r="706" spans="1:62" ht="12.75" x14ac:dyDescent="0.2">
      <c r="A706" s="3"/>
      <c r="B706" s="2"/>
      <c r="C706" s="4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3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</row>
    <row r="707" spans="1:62" ht="12.75" x14ac:dyDescent="0.2">
      <c r="A707" s="3"/>
      <c r="B707" s="2"/>
      <c r="C707" s="4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3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</row>
    <row r="708" spans="1:62" ht="12.75" x14ac:dyDescent="0.2">
      <c r="A708" s="3"/>
      <c r="B708" s="2"/>
      <c r="C708" s="4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3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</row>
    <row r="709" spans="1:62" ht="12.75" x14ac:dyDescent="0.2">
      <c r="A709" s="3"/>
      <c r="B709" s="2"/>
      <c r="C709" s="4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3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</row>
    <row r="710" spans="1:62" ht="12.75" x14ac:dyDescent="0.2">
      <c r="A710" s="3"/>
      <c r="B710" s="2"/>
      <c r="C710" s="4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3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</row>
    <row r="711" spans="1:62" ht="12.75" x14ac:dyDescent="0.2">
      <c r="A711" s="3"/>
      <c r="B711" s="2"/>
      <c r="C711" s="4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3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</row>
    <row r="712" spans="1:62" ht="12.75" x14ac:dyDescent="0.2">
      <c r="A712" s="3"/>
      <c r="B712" s="2"/>
      <c r="C712" s="4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3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</row>
    <row r="713" spans="1:62" ht="12.75" x14ac:dyDescent="0.2">
      <c r="A713" s="3"/>
      <c r="B713" s="2"/>
      <c r="C713" s="4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3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</row>
    <row r="714" spans="1:62" ht="12.75" x14ac:dyDescent="0.2">
      <c r="A714" s="3"/>
      <c r="B714" s="2"/>
      <c r="C714" s="4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3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</row>
    <row r="715" spans="1:62" ht="12.75" x14ac:dyDescent="0.2">
      <c r="A715" s="3"/>
      <c r="B715" s="2"/>
      <c r="C715" s="4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3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</row>
    <row r="716" spans="1:62" ht="12.75" x14ac:dyDescent="0.2">
      <c r="A716" s="3"/>
      <c r="B716" s="2"/>
      <c r="C716" s="4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3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</row>
    <row r="717" spans="1:62" ht="12.75" x14ac:dyDescent="0.2">
      <c r="A717" s="3"/>
      <c r="B717" s="2"/>
      <c r="C717" s="4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3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</row>
    <row r="718" spans="1:62" ht="12.75" x14ac:dyDescent="0.2">
      <c r="A718" s="3"/>
      <c r="B718" s="2"/>
      <c r="C718" s="4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3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</row>
    <row r="719" spans="1:62" ht="12.75" x14ac:dyDescent="0.2">
      <c r="A719" s="3"/>
      <c r="B719" s="2"/>
      <c r="C719" s="4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3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</row>
    <row r="720" spans="1:62" ht="12.75" x14ac:dyDescent="0.2">
      <c r="A720" s="3"/>
      <c r="B720" s="2"/>
      <c r="C720" s="4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3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</row>
    <row r="721" spans="1:62" ht="12.75" x14ac:dyDescent="0.2">
      <c r="A721" s="3"/>
      <c r="B721" s="2"/>
      <c r="C721" s="4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3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</row>
    <row r="722" spans="1:62" ht="12.75" x14ac:dyDescent="0.2">
      <c r="A722" s="3"/>
      <c r="B722" s="2"/>
      <c r="C722" s="4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3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</row>
    <row r="723" spans="1:62" ht="12.75" x14ac:dyDescent="0.2">
      <c r="A723" s="3"/>
      <c r="B723" s="2"/>
      <c r="C723" s="4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3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</row>
    <row r="724" spans="1:62" ht="12.75" x14ac:dyDescent="0.2">
      <c r="A724" s="3"/>
      <c r="B724" s="2"/>
      <c r="C724" s="4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3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</row>
    <row r="725" spans="1:62" ht="12.75" x14ac:dyDescent="0.2">
      <c r="A725" s="3"/>
      <c r="B725" s="2"/>
      <c r="C725" s="4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3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</row>
    <row r="726" spans="1:62" ht="12.75" x14ac:dyDescent="0.2">
      <c r="A726" s="3"/>
      <c r="B726" s="2"/>
      <c r="C726" s="4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3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</row>
    <row r="727" spans="1:62" ht="12.75" x14ac:dyDescent="0.2">
      <c r="A727" s="3"/>
      <c r="B727" s="2"/>
      <c r="C727" s="4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3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</row>
    <row r="728" spans="1:62" ht="12.75" x14ac:dyDescent="0.2">
      <c r="A728" s="3"/>
      <c r="B728" s="2"/>
      <c r="C728" s="4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3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</row>
    <row r="729" spans="1:62" ht="12.75" x14ac:dyDescent="0.2">
      <c r="A729" s="3"/>
      <c r="B729" s="2"/>
      <c r="C729" s="4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3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</row>
    <row r="730" spans="1:62" ht="12.75" x14ac:dyDescent="0.2">
      <c r="A730" s="3"/>
      <c r="B730" s="2"/>
      <c r="C730" s="4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3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</row>
    <row r="731" spans="1:62" ht="12.75" x14ac:dyDescent="0.2">
      <c r="A731" s="3"/>
      <c r="B731" s="2"/>
      <c r="C731" s="4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3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</row>
    <row r="732" spans="1:62" ht="12.75" x14ac:dyDescent="0.2">
      <c r="A732" s="3"/>
      <c r="B732" s="2"/>
      <c r="C732" s="4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3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</row>
    <row r="733" spans="1:62" ht="12.75" x14ac:dyDescent="0.2">
      <c r="A733" s="3"/>
      <c r="B733" s="2"/>
      <c r="C733" s="4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3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</row>
    <row r="734" spans="1:62" ht="12.75" x14ac:dyDescent="0.2">
      <c r="A734" s="3"/>
      <c r="B734" s="2"/>
      <c r="C734" s="4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3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</row>
    <row r="735" spans="1:62" ht="12.75" x14ac:dyDescent="0.2">
      <c r="A735" s="3"/>
      <c r="B735" s="2"/>
      <c r="C735" s="4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3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</row>
    <row r="736" spans="1:62" ht="12.75" x14ac:dyDescent="0.2">
      <c r="A736" s="3"/>
      <c r="B736" s="2"/>
      <c r="C736" s="4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3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</row>
    <row r="737" spans="1:62" ht="12.75" x14ac:dyDescent="0.2">
      <c r="A737" s="3"/>
      <c r="B737" s="2"/>
      <c r="C737" s="4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3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</row>
    <row r="738" spans="1:62" ht="12.75" x14ac:dyDescent="0.2">
      <c r="A738" s="3"/>
      <c r="B738" s="2"/>
      <c r="C738" s="4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3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</row>
    <row r="739" spans="1:62" ht="12.75" x14ac:dyDescent="0.2">
      <c r="A739" s="3"/>
      <c r="B739" s="2"/>
      <c r="C739" s="4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3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</row>
    <row r="740" spans="1:62" ht="12.75" x14ac:dyDescent="0.2">
      <c r="A740" s="3"/>
      <c r="B740" s="2"/>
      <c r="C740" s="4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3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</row>
    <row r="741" spans="1:62" ht="12.75" x14ac:dyDescent="0.2">
      <c r="A741" s="3"/>
      <c r="B741" s="2"/>
      <c r="C741" s="4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3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</row>
    <row r="742" spans="1:62" ht="12.75" x14ac:dyDescent="0.2">
      <c r="A742" s="3"/>
      <c r="B742" s="2"/>
      <c r="C742" s="4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3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</row>
    <row r="743" spans="1:62" ht="12.75" x14ac:dyDescent="0.2">
      <c r="A743" s="3"/>
      <c r="B743" s="2"/>
      <c r="C743" s="4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3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</row>
    <row r="744" spans="1:62" ht="12.75" x14ac:dyDescent="0.2">
      <c r="A744" s="3"/>
      <c r="B744" s="2"/>
      <c r="C744" s="4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3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</row>
    <row r="745" spans="1:62" ht="12.75" x14ac:dyDescent="0.2">
      <c r="A745" s="3"/>
      <c r="B745" s="2"/>
      <c r="C745" s="4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3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</row>
    <row r="746" spans="1:62" ht="12.75" x14ac:dyDescent="0.2">
      <c r="A746" s="3"/>
      <c r="B746" s="2"/>
      <c r="C746" s="4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3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</row>
    <row r="747" spans="1:62" ht="12.75" x14ac:dyDescent="0.2">
      <c r="A747" s="3"/>
      <c r="B747" s="2"/>
      <c r="C747" s="4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3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</row>
    <row r="748" spans="1:62" ht="12.75" x14ac:dyDescent="0.2">
      <c r="A748" s="3"/>
      <c r="B748" s="2"/>
      <c r="C748" s="4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3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</row>
    <row r="749" spans="1:62" ht="12.75" x14ac:dyDescent="0.2">
      <c r="A749" s="3"/>
      <c r="B749" s="2"/>
      <c r="C749" s="4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3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</row>
    <row r="750" spans="1:62" ht="12.75" x14ac:dyDescent="0.2">
      <c r="A750" s="3"/>
      <c r="B750" s="2"/>
      <c r="C750" s="4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3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</row>
    <row r="751" spans="1:62" ht="12.75" x14ac:dyDescent="0.2">
      <c r="A751" s="3"/>
      <c r="B751" s="2"/>
      <c r="C751" s="4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3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</row>
    <row r="752" spans="1:62" ht="12.75" x14ac:dyDescent="0.2">
      <c r="A752" s="3"/>
      <c r="B752" s="2"/>
      <c r="C752" s="4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3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</row>
    <row r="753" spans="1:62" ht="12.75" x14ac:dyDescent="0.2">
      <c r="A753" s="3"/>
      <c r="B753" s="2"/>
      <c r="C753" s="4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3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</row>
    <row r="754" spans="1:62" ht="12.75" x14ac:dyDescent="0.2">
      <c r="A754" s="3"/>
      <c r="B754" s="2"/>
      <c r="C754" s="4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3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</row>
    <row r="755" spans="1:62" ht="12.75" x14ac:dyDescent="0.2">
      <c r="A755" s="3"/>
      <c r="B755" s="2"/>
      <c r="C755" s="4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3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</row>
    <row r="756" spans="1:62" ht="12.75" x14ac:dyDescent="0.2">
      <c r="A756" s="3"/>
      <c r="B756" s="2"/>
      <c r="C756" s="4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3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</row>
    <row r="757" spans="1:62" ht="12.75" x14ac:dyDescent="0.2">
      <c r="A757" s="3"/>
      <c r="B757" s="2"/>
      <c r="C757" s="4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3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</row>
    <row r="758" spans="1:62" ht="12.75" x14ac:dyDescent="0.2">
      <c r="A758" s="3"/>
      <c r="B758" s="2"/>
      <c r="C758" s="4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3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</row>
    <row r="759" spans="1:62" ht="12.75" x14ac:dyDescent="0.2">
      <c r="A759" s="3"/>
      <c r="B759" s="2"/>
      <c r="C759" s="4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3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</row>
    <row r="760" spans="1:62" ht="12.75" x14ac:dyDescent="0.2">
      <c r="A760" s="3"/>
      <c r="B760" s="2"/>
      <c r="C760" s="4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3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</row>
    <row r="761" spans="1:62" ht="12.75" x14ac:dyDescent="0.2">
      <c r="A761" s="3"/>
      <c r="B761" s="2"/>
      <c r="C761" s="4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3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</row>
    <row r="762" spans="1:62" ht="12.75" x14ac:dyDescent="0.2">
      <c r="A762" s="3"/>
      <c r="B762" s="2"/>
      <c r="C762" s="4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3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</row>
    <row r="763" spans="1:62" ht="12.75" x14ac:dyDescent="0.2">
      <c r="A763" s="3"/>
      <c r="B763" s="2"/>
      <c r="C763" s="4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3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</row>
    <row r="764" spans="1:62" ht="12.75" x14ac:dyDescent="0.2">
      <c r="A764" s="3"/>
      <c r="B764" s="2"/>
      <c r="C764" s="4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3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</row>
    <row r="765" spans="1:62" ht="12.75" x14ac:dyDescent="0.2">
      <c r="A765" s="3"/>
      <c r="B765" s="2"/>
      <c r="C765" s="4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3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</row>
    <row r="766" spans="1:62" ht="12.75" x14ac:dyDescent="0.2">
      <c r="A766" s="3"/>
      <c r="B766" s="2"/>
      <c r="C766" s="4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3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</row>
    <row r="767" spans="1:62" ht="12.75" x14ac:dyDescent="0.2">
      <c r="A767" s="3"/>
      <c r="B767" s="2"/>
      <c r="C767" s="4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3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</row>
    <row r="768" spans="1:62" ht="12.75" x14ac:dyDescent="0.2">
      <c r="A768" s="3"/>
      <c r="B768" s="2"/>
      <c r="C768" s="4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3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</row>
    <row r="769" spans="1:62" ht="12.75" x14ac:dyDescent="0.2">
      <c r="A769" s="3"/>
      <c r="B769" s="2"/>
      <c r="C769" s="4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3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</row>
    <row r="770" spans="1:62" ht="12.75" x14ac:dyDescent="0.2">
      <c r="A770" s="3"/>
      <c r="B770" s="2"/>
      <c r="C770" s="4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3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</row>
    <row r="771" spans="1:62" ht="12.75" x14ac:dyDescent="0.2">
      <c r="A771" s="3"/>
      <c r="B771" s="2"/>
      <c r="C771" s="4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3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</row>
    <row r="772" spans="1:62" ht="12.75" x14ac:dyDescent="0.2">
      <c r="A772" s="3"/>
      <c r="B772" s="2"/>
      <c r="C772" s="4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3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</row>
    <row r="773" spans="1:62" ht="12.75" x14ac:dyDescent="0.2">
      <c r="A773" s="3"/>
      <c r="B773" s="2"/>
      <c r="C773" s="4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3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</row>
    <row r="774" spans="1:62" ht="12.75" x14ac:dyDescent="0.2">
      <c r="A774" s="3"/>
      <c r="B774" s="2"/>
      <c r="C774" s="4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3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</row>
    <row r="775" spans="1:62" ht="12.75" x14ac:dyDescent="0.2">
      <c r="A775" s="3"/>
      <c r="B775" s="2"/>
      <c r="C775" s="4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3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</row>
    <row r="776" spans="1:62" ht="12.75" x14ac:dyDescent="0.2">
      <c r="A776" s="3"/>
      <c r="B776" s="2"/>
      <c r="C776" s="4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3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</row>
    <row r="777" spans="1:62" ht="12.75" x14ac:dyDescent="0.2">
      <c r="A777" s="3"/>
      <c r="B777" s="2"/>
      <c r="C777" s="4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3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</row>
    <row r="778" spans="1:62" ht="12.75" x14ac:dyDescent="0.2">
      <c r="A778" s="3"/>
      <c r="B778" s="2"/>
      <c r="C778" s="4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3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</row>
    <row r="779" spans="1:62" ht="12.75" x14ac:dyDescent="0.2">
      <c r="A779" s="3"/>
      <c r="B779" s="2"/>
      <c r="C779" s="4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3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</row>
    <row r="780" spans="1:62" ht="12.75" x14ac:dyDescent="0.2">
      <c r="A780" s="3"/>
      <c r="B780" s="2"/>
      <c r="C780" s="4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3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</row>
    <row r="781" spans="1:62" ht="12.75" x14ac:dyDescent="0.2">
      <c r="A781" s="3"/>
      <c r="B781" s="2"/>
      <c r="C781" s="4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3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</row>
    <row r="782" spans="1:62" ht="12.75" x14ac:dyDescent="0.2">
      <c r="A782" s="3"/>
      <c r="B782" s="2"/>
      <c r="C782" s="4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3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</row>
    <row r="783" spans="1:62" ht="12.75" x14ac:dyDescent="0.2">
      <c r="A783" s="3"/>
      <c r="B783" s="2"/>
      <c r="C783" s="4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3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</row>
    <row r="784" spans="1:62" ht="12.75" x14ac:dyDescent="0.2">
      <c r="A784" s="3"/>
      <c r="B784" s="2"/>
      <c r="C784" s="4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3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</row>
    <row r="785" spans="1:62" ht="12.75" x14ac:dyDescent="0.2">
      <c r="A785" s="3"/>
      <c r="B785" s="2"/>
      <c r="C785" s="4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3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</row>
    <row r="786" spans="1:62" ht="12.75" x14ac:dyDescent="0.2">
      <c r="A786" s="3"/>
      <c r="B786" s="2"/>
      <c r="C786" s="4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3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</row>
    <row r="787" spans="1:62" ht="12.75" x14ac:dyDescent="0.2">
      <c r="A787" s="3"/>
      <c r="B787" s="2"/>
      <c r="C787" s="4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3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</row>
    <row r="788" spans="1:62" ht="12.75" x14ac:dyDescent="0.2">
      <c r="A788" s="3"/>
      <c r="B788" s="2"/>
      <c r="C788" s="4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3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</row>
    <row r="789" spans="1:62" ht="12.75" x14ac:dyDescent="0.2">
      <c r="A789" s="3"/>
      <c r="B789" s="2"/>
      <c r="C789" s="4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3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</row>
    <row r="790" spans="1:62" ht="12.75" x14ac:dyDescent="0.2">
      <c r="A790" s="3"/>
      <c r="B790" s="2"/>
      <c r="C790" s="4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3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</row>
    <row r="791" spans="1:62" ht="12.75" x14ac:dyDescent="0.2">
      <c r="A791" s="3"/>
      <c r="B791" s="2"/>
      <c r="C791" s="4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3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</row>
    <row r="792" spans="1:62" ht="12.75" x14ac:dyDescent="0.2">
      <c r="A792" s="3"/>
      <c r="B792" s="2"/>
      <c r="C792" s="4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3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</row>
    <row r="793" spans="1:62" ht="12.75" x14ac:dyDescent="0.2">
      <c r="A793" s="3"/>
      <c r="B793" s="2"/>
      <c r="C793" s="4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3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</row>
    <row r="794" spans="1:62" ht="12.75" x14ac:dyDescent="0.2">
      <c r="A794" s="3"/>
      <c r="B794" s="2"/>
      <c r="C794" s="4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3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</row>
    <row r="795" spans="1:62" ht="12.75" x14ac:dyDescent="0.2">
      <c r="A795" s="3"/>
      <c r="B795" s="2"/>
      <c r="C795" s="4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3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</row>
    <row r="796" spans="1:62" ht="12.75" x14ac:dyDescent="0.2">
      <c r="A796" s="3"/>
      <c r="B796" s="2"/>
      <c r="C796" s="4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3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</row>
    <row r="797" spans="1:62" ht="12.75" x14ac:dyDescent="0.2">
      <c r="A797" s="3"/>
      <c r="B797" s="2"/>
      <c r="C797" s="4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3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</row>
    <row r="798" spans="1:62" ht="12.75" x14ac:dyDescent="0.2">
      <c r="A798" s="3"/>
      <c r="B798" s="2"/>
      <c r="C798" s="4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3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</row>
    <row r="799" spans="1:62" ht="12.75" x14ac:dyDescent="0.2">
      <c r="A799" s="3"/>
      <c r="B799" s="2"/>
      <c r="C799" s="4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3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</row>
    <row r="800" spans="1:62" ht="12.75" x14ac:dyDescent="0.2">
      <c r="A800" s="3"/>
      <c r="B800" s="2"/>
      <c r="C800" s="4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3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</row>
    <row r="801" spans="1:62" ht="12.75" x14ac:dyDescent="0.2">
      <c r="A801" s="3"/>
      <c r="B801" s="2"/>
      <c r="C801" s="4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3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</row>
    <row r="802" spans="1:62" ht="12.75" x14ac:dyDescent="0.2">
      <c r="A802" s="3"/>
      <c r="B802" s="2"/>
      <c r="C802" s="4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3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</row>
    <row r="803" spans="1:62" ht="12.75" x14ac:dyDescent="0.2">
      <c r="A803" s="3"/>
      <c r="B803" s="2"/>
      <c r="C803" s="4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3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</row>
    <row r="804" spans="1:62" ht="12.75" x14ac:dyDescent="0.2">
      <c r="A804" s="3"/>
      <c r="B804" s="2"/>
      <c r="C804" s="4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3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</row>
    <row r="805" spans="1:62" ht="12.75" x14ac:dyDescent="0.2">
      <c r="A805" s="3"/>
      <c r="B805" s="2"/>
      <c r="C805" s="4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3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</row>
    <row r="806" spans="1:62" ht="12.75" x14ac:dyDescent="0.2">
      <c r="A806" s="3"/>
      <c r="B806" s="2"/>
      <c r="C806" s="4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3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</row>
    <row r="807" spans="1:62" ht="12.75" x14ac:dyDescent="0.2">
      <c r="A807" s="3"/>
      <c r="B807" s="2"/>
      <c r="C807" s="4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3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</row>
    <row r="808" spans="1:62" ht="12.75" x14ac:dyDescent="0.2">
      <c r="A808" s="3"/>
      <c r="B808" s="2"/>
      <c r="C808" s="4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3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</row>
    <row r="809" spans="1:62" ht="12.75" x14ac:dyDescent="0.2">
      <c r="A809" s="3"/>
      <c r="B809" s="2"/>
      <c r="C809" s="4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3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</row>
    <row r="810" spans="1:62" ht="12.75" x14ac:dyDescent="0.2">
      <c r="A810" s="3"/>
      <c r="B810" s="2"/>
      <c r="C810" s="4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3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</row>
    <row r="811" spans="1:62" ht="12.75" x14ac:dyDescent="0.2">
      <c r="A811" s="3"/>
      <c r="B811" s="2"/>
      <c r="C811" s="4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3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</row>
    <row r="812" spans="1:62" ht="12.75" x14ac:dyDescent="0.2">
      <c r="A812" s="3"/>
      <c r="B812" s="2"/>
      <c r="C812" s="4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3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</row>
    <row r="813" spans="1:62" ht="12.75" x14ac:dyDescent="0.2">
      <c r="A813" s="3"/>
      <c r="B813" s="2"/>
      <c r="C813" s="4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3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</row>
    <row r="814" spans="1:62" ht="12.75" x14ac:dyDescent="0.2">
      <c r="A814" s="3"/>
      <c r="B814" s="2"/>
      <c r="C814" s="4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3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</row>
    <row r="815" spans="1:62" ht="12.75" x14ac:dyDescent="0.2">
      <c r="A815" s="3"/>
      <c r="B815" s="2"/>
      <c r="C815" s="4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3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</row>
    <row r="816" spans="1:62" ht="12.75" x14ac:dyDescent="0.2">
      <c r="A816" s="3"/>
      <c r="B816" s="2"/>
      <c r="C816" s="4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3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</row>
    <row r="817" spans="1:62" ht="12.75" x14ac:dyDescent="0.2">
      <c r="A817" s="3"/>
      <c r="B817" s="2"/>
      <c r="C817" s="4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3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</row>
    <row r="818" spans="1:62" ht="12.75" x14ac:dyDescent="0.2">
      <c r="A818" s="3"/>
      <c r="B818" s="2"/>
      <c r="C818" s="4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3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</row>
    <row r="819" spans="1:62" ht="12.75" x14ac:dyDescent="0.2">
      <c r="A819" s="3"/>
      <c r="B819" s="2"/>
      <c r="C819" s="4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3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</row>
    <row r="820" spans="1:62" ht="12.75" x14ac:dyDescent="0.2">
      <c r="A820" s="3"/>
      <c r="B820" s="2"/>
      <c r="C820" s="4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3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</row>
    <row r="821" spans="1:62" ht="12.75" x14ac:dyDescent="0.2">
      <c r="A821" s="3"/>
      <c r="B821" s="2"/>
      <c r="C821" s="4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3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</row>
    <row r="822" spans="1:62" ht="12.75" x14ac:dyDescent="0.2">
      <c r="A822" s="3"/>
      <c r="B822" s="2"/>
      <c r="C822" s="4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3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</row>
    <row r="823" spans="1:62" ht="12.75" x14ac:dyDescent="0.2">
      <c r="A823" s="3"/>
      <c r="B823" s="2"/>
      <c r="C823" s="4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3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</row>
    <row r="824" spans="1:62" ht="12.75" x14ac:dyDescent="0.2">
      <c r="A824" s="3"/>
      <c r="B824" s="2"/>
      <c r="C824" s="4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3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</row>
    <row r="825" spans="1:62" ht="12.75" x14ac:dyDescent="0.2">
      <c r="A825" s="3"/>
      <c r="B825" s="2"/>
      <c r="C825" s="4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3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</row>
    <row r="826" spans="1:62" ht="12.75" x14ac:dyDescent="0.2">
      <c r="A826" s="3"/>
      <c r="B826" s="2"/>
      <c r="C826" s="4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3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</row>
    <row r="827" spans="1:62" ht="12.75" x14ac:dyDescent="0.2">
      <c r="A827" s="3"/>
      <c r="B827" s="2"/>
      <c r="C827" s="4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3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</row>
    <row r="828" spans="1:62" ht="12.75" x14ac:dyDescent="0.2">
      <c r="A828" s="3"/>
      <c r="B828" s="2"/>
      <c r="C828" s="4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3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</row>
    <row r="829" spans="1:62" ht="12.75" x14ac:dyDescent="0.2">
      <c r="A829" s="3"/>
      <c r="B829" s="2"/>
      <c r="C829" s="4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3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</row>
    <row r="830" spans="1:62" ht="12.75" x14ac:dyDescent="0.2">
      <c r="A830" s="3"/>
      <c r="B830" s="2"/>
      <c r="C830" s="4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3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</row>
    <row r="831" spans="1:62" ht="12.75" x14ac:dyDescent="0.2">
      <c r="A831" s="3"/>
      <c r="B831" s="2"/>
      <c r="C831" s="4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3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</row>
    <row r="832" spans="1:62" ht="12.75" x14ac:dyDescent="0.2">
      <c r="A832" s="3"/>
      <c r="B832" s="2"/>
      <c r="C832" s="4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3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</row>
    <row r="833" spans="1:62" ht="12.75" x14ac:dyDescent="0.2">
      <c r="A833" s="3"/>
      <c r="B833" s="2"/>
      <c r="C833" s="4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3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</row>
    <row r="834" spans="1:62" ht="12.75" x14ac:dyDescent="0.2">
      <c r="A834" s="3"/>
      <c r="B834" s="2"/>
      <c r="C834" s="4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3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</row>
    <row r="835" spans="1:62" ht="12.75" x14ac:dyDescent="0.2">
      <c r="A835" s="3"/>
      <c r="B835" s="2"/>
      <c r="C835" s="4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3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</row>
    <row r="836" spans="1:62" ht="12.75" x14ac:dyDescent="0.2">
      <c r="A836" s="3"/>
      <c r="B836" s="2"/>
      <c r="C836" s="4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3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</row>
    <row r="837" spans="1:62" ht="12.75" x14ac:dyDescent="0.2">
      <c r="A837" s="3"/>
      <c r="B837" s="2"/>
      <c r="C837" s="4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3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</row>
    <row r="838" spans="1:62" ht="12.75" x14ac:dyDescent="0.2">
      <c r="A838" s="3"/>
      <c r="B838" s="2"/>
      <c r="C838" s="4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3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</row>
    <row r="839" spans="1:62" ht="12.75" x14ac:dyDescent="0.2">
      <c r="A839" s="3"/>
      <c r="B839" s="2"/>
      <c r="C839" s="4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3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</row>
    <row r="840" spans="1:62" ht="12.75" x14ac:dyDescent="0.2">
      <c r="A840" s="3"/>
      <c r="B840" s="2"/>
      <c r="C840" s="4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3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</row>
    <row r="841" spans="1:62" ht="12.75" x14ac:dyDescent="0.2">
      <c r="A841" s="3"/>
      <c r="B841" s="2"/>
      <c r="C841" s="4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3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</row>
    <row r="842" spans="1:62" ht="12.75" x14ac:dyDescent="0.2">
      <c r="A842" s="3"/>
      <c r="B842" s="2"/>
      <c r="C842" s="4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3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</row>
    <row r="843" spans="1:62" ht="12.75" x14ac:dyDescent="0.2">
      <c r="A843" s="3"/>
      <c r="B843" s="2"/>
      <c r="C843" s="4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3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</row>
    <row r="844" spans="1:62" ht="12.75" x14ac:dyDescent="0.2">
      <c r="A844" s="3"/>
      <c r="B844" s="2"/>
      <c r="C844" s="4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3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</row>
    <row r="845" spans="1:62" ht="12.75" x14ac:dyDescent="0.2">
      <c r="A845" s="3"/>
      <c r="B845" s="2"/>
      <c r="C845" s="4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3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</row>
    <row r="846" spans="1:62" ht="12.75" x14ac:dyDescent="0.2">
      <c r="A846" s="3"/>
      <c r="B846" s="2"/>
      <c r="C846" s="4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3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</row>
    <row r="847" spans="1:62" ht="12.75" x14ac:dyDescent="0.2">
      <c r="A847" s="3"/>
      <c r="B847" s="2"/>
      <c r="C847" s="4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3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</row>
    <row r="848" spans="1:62" ht="12.75" x14ac:dyDescent="0.2">
      <c r="A848" s="3"/>
      <c r="B848" s="2"/>
      <c r="C848" s="4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3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</row>
    <row r="849" spans="1:62" ht="12.75" x14ac:dyDescent="0.2">
      <c r="A849" s="3"/>
      <c r="B849" s="2"/>
      <c r="C849" s="4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3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</row>
    <row r="850" spans="1:62" ht="12.75" x14ac:dyDescent="0.2">
      <c r="A850" s="3"/>
      <c r="B850" s="2"/>
      <c r="C850" s="4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3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</row>
    <row r="851" spans="1:62" ht="12.75" x14ac:dyDescent="0.2">
      <c r="A851" s="3"/>
      <c r="B851" s="2"/>
      <c r="C851" s="4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3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</row>
    <row r="852" spans="1:62" ht="12.75" x14ac:dyDescent="0.2">
      <c r="A852" s="3"/>
      <c r="B852" s="2"/>
      <c r="C852" s="4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3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</row>
    <row r="853" spans="1:62" ht="12.75" x14ac:dyDescent="0.2">
      <c r="A853" s="3"/>
      <c r="B853" s="2"/>
      <c r="C853" s="4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3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</row>
    <row r="854" spans="1:62" ht="12.75" x14ac:dyDescent="0.2">
      <c r="A854" s="3"/>
      <c r="B854" s="2"/>
      <c r="C854" s="4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3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</row>
    <row r="855" spans="1:62" ht="12.75" x14ac:dyDescent="0.2">
      <c r="A855" s="3"/>
      <c r="B855" s="2"/>
      <c r="C855" s="4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3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</row>
    <row r="856" spans="1:62" ht="12.75" x14ac:dyDescent="0.2">
      <c r="A856" s="3"/>
      <c r="B856" s="2"/>
      <c r="C856" s="4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3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</row>
    <row r="857" spans="1:62" ht="12.75" x14ac:dyDescent="0.2">
      <c r="A857" s="3"/>
      <c r="B857" s="2"/>
      <c r="C857" s="4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3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</row>
    <row r="858" spans="1:62" ht="12.75" x14ac:dyDescent="0.2">
      <c r="A858" s="3"/>
      <c r="B858" s="2"/>
      <c r="C858" s="4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3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</row>
    <row r="859" spans="1:62" ht="12.75" x14ac:dyDescent="0.2">
      <c r="A859" s="3"/>
      <c r="B859" s="2"/>
      <c r="C859" s="4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3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</row>
    <row r="860" spans="1:62" ht="12.75" x14ac:dyDescent="0.2">
      <c r="A860" s="3"/>
      <c r="B860" s="2"/>
      <c r="C860" s="4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3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</row>
    <row r="861" spans="1:62" ht="12.75" x14ac:dyDescent="0.2">
      <c r="A861" s="3"/>
      <c r="B861" s="2"/>
      <c r="C861" s="4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3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</row>
    <row r="862" spans="1:62" ht="12.75" x14ac:dyDescent="0.2">
      <c r="A862" s="3"/>
      <c r="B862" s="2"/>
      <c r="C862" s="4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3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</row>
    <row r="863" spans="1:62" ht="12.75" x14ac:dyDescent="0.2">
      <c r="A863" s="3"/>
      <c r="B863" s="2"/>
      <c r="C863" s="4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3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</row>
    <row r="864" spans="1:62" ht="12.75" x14ac:dyDescent="0.2">
      <c r="A864" s="3"/>
      <c r="B864" s="2"/>
      <c r="C864" s="4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3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</row>
    <row r="865" spans="1:62" ht="12.75" x14ac:dyDescent="0.2">
      <c r="A865" s="3"/>
      <c r="B865" s="2"/>
      <c r="C865" s="4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3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</row>
    <row r="866" spans="1:62" ht="12.75" x14ac:dyDescent="0.2">
      <c r="A866" s="3"/>
      <c r="B866" s="2"/>
      <c r="C866" s="4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3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</row>
    <row r="867" spans="1:62" ht="12.75" x14ac:dyDescent="0.2">
      <c r="A867" s="3"/>
      <c r="B867" s="2"/>
      <c r="C867" s="4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3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</row>
    <row r="868" spans="1:62" ht="12.75" x14ac:dyDescent="0.2">
      <c r="A868" s="3"/>
      <c r="B868" s="2"/>
      <c r="C868" s="4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3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</row>
    <row r="869" spans="1:62" ht="12.75" x14ac:dyDescent="0.2">
      <c r="A869" s="3"/>
      <c r="B869" s="2"/>
      <c r="C869" s="4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3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</row>
    <row r="870" spans="1:62" ht="12.75" x14ac:dyDescent="0.2">
      <c r="A870" s="3"/>
      <c r="B870" s="2"/>
      <c r="C870" s="4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3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</row>
    <row r="871" spans="1:62" ht="12.75" x14ac:dyDescent="0.2">
      <c r="A871" s="3"/>
      <c r="B871" s="2"/>
      <c r="C871" s="4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3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</row>
    <row r="872" spans="1:62" ht="12.75" x14ac:dyDescent="0.2">
      <c r="A872" s="3"/>
      <c r="B872" s="2"/>
      <c r="C872" s="4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3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</row>
    <row r="873" spans="1:62" ht="12.75" x14ac:dyDescent="0.2">
      <c r="A873" s="3"/>
      <c r="B873" s="2"/>
      <c r="C873" s="4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3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</row>
    <row r="874" spans="1:62" ht="12.75" x14ac:dyDescent="0.2">
      <c r="A874" s="3"/>
      <c r="B874" s="2"/>
      <c r="C874" s="4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3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</row>
    <row r="875" spans="1:62" ht="12.75" x14ac:dyDescent="0.2">
      <c r="A875" s="3"/>
      <c r="B875" s="2"/>
      <c r="C875" s="4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3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</row>
    <row r="876" spans="1:62" ht="12.75" x14ac:dyDescent="0.2">
      <c r="A876" s="3"/>
      <c r="B876" s="2"/>
      <c r="C876" s="4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3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</row>
    <row r="877" spans="1:62" ht="12.75" x14ac:dyDescent="0.2">
      <c r="A877" s="3"/>
      <c r="B877" s="2"/>
      <c r="C877" s="4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3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</row>
    <row r="878" spans="1:62" ht="12.75" x14ac:dyDescent="0.2">
      <c r="A878" s="3"/>
      <c r="B878" s="2"/>
      <c r="C878" s="4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3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</row>
    <row r="879" spans="1:62" ht="12.75" x14ac:dyDescent="0.2">
      <c r="A879" s="3"/>
      <c r="B879" s="2"/>
      <c r="C879" s="4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3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</row>
    <row r="880" spans="1:62" ht="12.75" x14ac:dyDescent="0.2">
      <c r="A880" s="3"/>
      <c r="B880" s="2"/>
      <c r="C880" s="4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3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</row>
    <row r="881" spans="1:62" ht="12.75" x14ac:dyDescent="0.2">
      <c r="A881" s="3"/>
      <c r="B881" s="2"/>
      <c r="C881" s="4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3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</row>
    <row r="882" spans="1:62" ht="12.75" x14ac:dyDescent="0.2">
      <c r="A882" s="3"/>
      <c r="B882" s="2"/>
      <c r="C882" s="4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3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</row>
    <row r="883" spans="1:62" ht="12.75" x14ac:dyDescent="0.2">
      <c r="A883" s="3"/>
      <c r="B883" s="2"/>
      <c r="C883" s="4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3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</row>
    <row r="884" spans="1:62" ht="12.75" x14ac:dyDescent="0.2">
      <c r="A884" s="3"/>
      <c r="B884" s="2"/>
      <c r="C884" s="4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3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</row>
    <row r="885" spans="1:62" ht="12.75" x14ac:dyDescent="0.2">
      <c r="A885" s="3"/>
      <c r="B885" s="2"/>
      <c r="C885" s="4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3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</row>
    <row r="886" spans="1:62" ht="12.75" x14ac:dyDescent="0.2">
      <c r="A886" s="3"/>
      <c r="B886" s="2"/>
      <c r="C886" s="4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3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</row>
    <row r="887" spans="1:62" ht="12.75" x14ac:dyDescent="0.2">
      <c r="A887" s="3"/>
      <c r="B887" s="2"/>
      <c r="C887" s="4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3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</row>
    <row r="888" spans="1:62" ht="12.75" x14ac:dyDescent="0.2">
      <c r="A888" s="3"/>
      <c r="B888" s="2"/>
      <c r="C888" s="4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3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</row>
    <row r="889" spans="1:62" ht="12.75" x14ac:dyDescent="0.2">
      <c r="A889" s="3"/>
      <c r="B889" s="2"/>
      <c r="C889" s="4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3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</row>
    <row r="890" spans="1:62" ht="12.75" x14ac:dyDescent="0.2">
      <c r="A890" s="3"/>
      <c r="B890" s="2"/>
      <c r="C890" s="4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3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</row>
    <row r="891" spans="1:62" ht="12.75" x14ac:dyDescent="0.2">
      <c r="A891" s="3"/>
      <c r="B891" s="2"/>
      <c r="C891" s="4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3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</row>
    <row r="892" spans="1:62" ht="12.75" x14ac:dyDescent="0.2">
      <c r="A892" s="3"/>
      <c r="B892" s="2"/>
      <c r="C892" s="4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3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</row>
    <row r="893" spans="1:62" ht="12.75" x14ac:dyDescent="0.2">
      <c r="A893" s="3"/>
      <c r="B893" s="2"/>
      <c r="C893" s="4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3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</row>
    <row r="894" spans="1:62" ht="12.75" x14ac:dyDescent="0.2">
      <c r="A894" s="3"/>
      <c r="B894" s="2"/>
      <c r="C894" s="4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3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</row>
    <row r="895" spans="1:62" ht="12.75" x14ac:dyDescent="0.2">
      <c r="A895" s="3"/>
      <c r="B895" s="2"/>
      <c r="C895" s="4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3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</row>
    <row r="896" spans="1:62" ht="12.75" x14ac:dyDescent="0.2">
      <c r="A896" s="3"/>
      <c r="B896" s="2"/>
      <c r="C896" s="4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3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</row>
    <row r="897" spans="1:62" ht="12.75" x14ac:dyDescent="0.2">
      <c r="A897" s="3"/>
      <c r="B897" s="2"/>
      <c r="C897" s="4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3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</row>
    <row r="898" spans="1:62" ht="12.75" x14ac:dyDescent="0.2">
      <c r="A898" s="3"/>
      <c r="B898" s="2"/>
      <c r="C898" s="4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3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</row>
    <row r="899" spans="1:62" ht="12.75" x14ac:dyDescent="0.2">
      <c r="A899" s="3"/>
      <c r="B899" s="2"/>
      <c r="C899" s="4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3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</row>
    <row r="900" spans="1:62" ht="12.75" x14ac:dyDescent="0.2">
      <c r="A900" s="3"/>
      <c r="B900" s="2"/>
      <c r="C900" s="4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3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</row>
    <row r="901" spans="1:62" ht="12.75" x14ac:dyDescent="0.2">
      <c r="A901" s="3"/>
      <c r="B901" s="2"/>
      <c r="C901" s="4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3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</row>
    <row r="902" spans="1:62" ht="12.75" x14ac:dyDescent="0.2">
      <c r="A902" s="3"/>
      <c r="B902" s="2"/>
      <c r="C902" s="4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3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</row>
    <row r="903" spans="1:62" ht="12.75" x14ac:dyDescent="0.2">
      <c r="A903" s="3"/>
      <c r="B903" s="2"/>
      <c r="C903" s="4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3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</row>
    <row r="904" spans="1:62" ht="12.75" x14ac:dyDescent="0.2">
      <c r="A904" s="3"/>
      <c r="B904" s="2"/>
      <c r="C904" s="4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3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</row>
    <row r="905" spans="1:62" ht="12.75" x14ac:dyDescent="0.2">
      <c r="A905" s="3"/>
      <c r="B905" s="2"/>
      <c r="C905" s="4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3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</row>
    <row r="906" spans="1:62" ht="12.75" x14ac:dyDescent="0.2">
      <c r="A906" s="3"/>
      <c r="B906" s="2"/>
      <c r="C906" s="4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3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</row>
    <row r="907" spans="1:62" ht="12.75" x14ac:dyDescent="0.2">
      <c r="A907" s="3"/>
      <c r="B907" s="2"/>
      <c r="C907" s="4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3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</row>
    <row r="908" spans="1:62" ht="12.75" x14ac:dyDescent="0.2">
      <c r="A908" s="3"/>
      <c r="B908" s="2"/>
      <c r="C908" s="4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3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</row>
    <row r="909" spans="1:62" ht="12.75" x14ac:dyDescent="0.2">
      <c r="A909" s="3"/>
      <c r="B909" s="2"/>
      <c r="C909" s="4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3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</row>
    <row r="910" spans="1:62" ht="12.75" x14ac:dyDescent="0.2">
      <c r="A910" s="3"/>
      <c r="B910" s="2"/>
      <c r="C910" s="4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3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</row>
    <row r="911" spans="1:62" ht="12.75" x14ac:dyDescent="0.2">
      <c r="A911" s="3"/>
      <c r="B911" s="2"/>
      <c r="C911" s="4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3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</row>
    <row r="912" spans="1:62" ht="12.75" x14ac:dyDescent="0.2">
      <c r="A912" s="3"/>
      <c r="B912" s="2"/>
      <c r="C912" s="4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3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</row>
    <row r="913" spans="1:62" ht="12.75" x14ac:dyDescent="0.2">
      <c r="A913" s="3"/>
      <c r="B913" s="2"/>
      <c r="C913" s="4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3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</row>
    <row r="914" spans="1:62" ht="12.75" x14ac:dyDescent="0.2">
      <c r="A914" s="3"/>
      <c r="B914" s="2"/>
      <c r="C914" s="4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3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</row>
    <row r="915" spans="1:62" ht="12.75" x14ac:dyDescent="0.2">
      <c r="A915" s="3"/>
      <c r="B915" s="2"/>
      <c r="C915" s="4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3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</row>
    <row r="916" spans="1:62" ht="12.75" x14ac:dyDescent="0.2">
      <c r="A916" s="3"/>
      <c r="B916" s="2"/>
      <c r="C916" s="4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3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</row>
    <row r="917" spans="1:62" ht="12.75" x14ac:dyDescent="0.2">
      <c r="A917" s="3"/>
      <c r="B917" s="2"/>
      <c r="C917" s="4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3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</row>
    <row r="918" spans="1:62" ht="12.75" x14ac:dyDescent="0.2">
      <c r="A918" s="3"/>
      <c r="B918" s="2"/>
      <c r="C918" s="4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3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</row>
    <row r="919" spans="1:62" ht="12.75" x14ac:dyDescent="0.2">
      <c r="A919" s="3"/>
      <c r="B919" s="2"/>
      <c r="C919" s="4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3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</row>
    <row r="920" spans="1:62" ht="12.75" x14ac:dyDescent="0.2">
      <c r="A920" s="3"/>
      <c r="B920" s="2"/>
      <c r="C920" s="4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3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</row>
    <row r="921" spans="1:62" ht="12.75" x14ac:dyDescent="0.2">
      <c r="A921" s="3"/>
      <c r="B921" s="2"/>
      <c r="C921" s="4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3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</row>
    <row r="922" spans="1:62" ht="12.75" x14ac:dyDescent="0.2">
      <c r="A922" s="3"/>
      <c r="B922" s="2"/>
      <c r="C922" s="4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3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</row>
    <row r="923" spans="1:62" ht="12.75" x14ac:dyDescent="0.2">
      <c r="A923" s="3"/>
      <c r="B923" s="2"/>
      <c r="C923" s="4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3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</row>
    <row r="924" spans="1:62" ht="12.75" x14ac:dyDescent="0.2">
      <c r="A924" s="3"/>
      <c r="B924" s="2"/>
      <c r="C924" s="4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3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</row>
    <row r="925" spans="1:62" ht="12.75" x14ac:dyDescent="0.2">
      <c r="A925" s="3"/>
      <c r="B925" s="2"/>
      <c r="C925" s="4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3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</row>
    <row r="926" spans="1:62" ht="12.75" x14ac:dyDescent="0.2">
      <c r="A926" s="3"/>
      <c r="B926" s="2"/>
      <c r="C926" s="4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3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</row>
    <row r="927" spans="1:62" ht="12.75" x14ac:dyDescent="0.2">
      <c r="A927" s="3"/>
      <c r="B927" s="2"/>
      <c r="C927" s="4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3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</row>
    <row r="928" spans="1:62" ht="12.75" x14ac:dyDescent="0.2">
      <c r="A928" s="3"/>
      <c r="B928" s="2"/>
      <c r="C928" s="4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3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</row>
    <row r="929" spans="1:62" ht="12.75" x14ac:dyDescent="0.2">
      <c r="A929" s="3"/>
      <c r="B929" s="2"/>
      <c r="C929" s="4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3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</row>
    <row r="930" spans="1:62" ht="12.75" x14ac:dyDescent="0.2">
      <c r="A930" s="3"/>
      <c r="B930" s="2"/>
      <c r="C930" s="4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3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</row>
    <row r="931" spans="1:62" ht="12.75" x14ac:dyDescent="0.2">
      <c r="A931" s="3"/>
      <c r="B931" s="2"/>
      <c r="C931" s="4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3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</row>
    <row r="932" spans="1:62" ht="12.75" x14ac:dyDescent="0.2">
      <c r="A932" s="3"/>
      <c r="B932" s="2"/>
      <c r="C932" s="4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3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</row>
    <row r="933" spans="1:62" ht="12.75" x14ac:dyDescent="0.2">
      <c r="A933" s="3"/>
      <c r="B933" s="2"/>
      <c r="C933" s="4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3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</row>
    <row r="934" spans="1:62" ht="12.75" x14ac:dyDescent="0.2">
      <c r="A934" s="3"/>
      <c r="B934" s="2"/>
      <c r="C934" s="4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3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</row>
    <row r="935" spans="1:62" ht="12.75" x14ac:dyDescent="0.2">
      <c r="A935" s="3"/>
      <c r="B935" s="2"/>
      <c r="C935" s="4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3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</row>
    <row r="936" spans="1:62" ht="12.75" x14ac:dyDescent="0.2">
      <c r="A936" s="3"/>
      <c r="B936" s="2"/>
      <c r="C936" s="4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3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</row>
    <row r="937" spans="1:62" ht="12.75" x14ac:dyDescent="0.2">
      <c r="A937" s="3"/>
      <c r="B937" s="2"/>
      <c r="C937" s="4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3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</row>
    <row r="938" spans="1:62" ht="12.75" x14ac:dyDescent="0.2">
      <c r="A938" s="3"/>
      <c r="B938" s="2"/>
      <c r="C938" s="4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3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</row>
    <row r="939" spans="1:62" ht="12.75" x14ac:dyDescent="0.2">
      <c r="A939" s="3"/>
      <c r="B939" s="2"/>
      <c r="C939" s="4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3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</row>
    <row r="940" spans="1:62" ht="12.75" x14ac:dyDescent="0.2">
      <c r="A940" s="3"/>
      <c r="B940" s="2"/>
      <c r="C940" s="4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3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</row>
    <row r="941" spans="1:62" ht="12.75" x14ac:dyDescent="0.2">
      <c r="A941" s="3"/>
      <c r="B941" s="2"/>
      <c r="C941" s="4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3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</row>
    <row r="942" spans="1:62" ht="12.75" x14ac:dyDescent="0.2">
      <c r="A942" s="3"/>
      <c r="B942" s="2"/>
      <c r="C942" s="4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3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</row>
    <row r="943" spans="1:62" ht="12.75" x14ac:dyDescent="0.2">
      <c r="A943" s="3"/>
      <c r="B943" s="2"/>
      <c r="C943" s="4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3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</row>
    <row r="944" spans="1:62" ht="12.75" x14ac:dyDescent="0.2">
      <c r="A944" s="3"/>
      <c r="B944" s="2"/>
      <c r="C944" s="4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3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</row>
    <row r="945" spans="1:62" ht="12.75" x14ac:dyDescent="0.2">
      <c r="A945" s="3"/>
      <c r="B945" s="2"/>
      <c r="C945" s="4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3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</row>
    <row r="946" spans="1:62" ht="12.75" x14ac:dyDescent="0.2">
      <c r="A946" s="3"/>
      <c r="B946" s="2"/>
      <c r="C946" s="4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3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</row>
    <row r="947" spans="1:62" ht="12.75" x14ac:dyDescent="0.2">
      <c r="A947" s="3"/>
      <c r="B947" s="2"/>
      <c r="C947" s="4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3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</row>
    <row r="948" spans="1:62" ht="12.75" x14ac:dyDescent="0.2">
      <c r="A948" s="3"/>
      <c r="B948" s="2"/>
      <c r="C948" s="4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3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</row>
    <row r="949" spans="1:62" ht="12.75" x14ac:dyDescent="0.2">
      <c r="A949" s="3"/>
      <c r="B949" s="2"/>
      <c r="C949" s="4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3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</row>
    <row r="950" spans="1:62" ht="12.75" x14ac:dyDescent="0.2">
      <c r="A950" s="3"/>
      <c r="B950" s="2"/>
      <c r="C950" s="4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3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</row>
    <row r="951" spans="1:62" ht="12.75" x14ac:dyDescent="0.2">
      <c r="A951" s="3"/>
      <c r="B951" s="2"/>
      <c r="C951" s="4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3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</row>
    <row r="952" spans="1:62" ht="12.75" x14ac:dyDescent="0.2">
      <c r="A952" s="3"/>
      <c r="B952" s="2"/>
      <c r="C952" s="4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3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</row>
    <row r="953" spans="1:62" ht="12.75" x14ac:dyDescent="0.2">
      <c r="A953" s="3"/>
      <c r="B953" s="2"/>
      <c r="C953" s="4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3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</row>
    <row r="954" spans="1:62" ht="12.75" x14ac:dyDescent="0.2">
      <c r="A954" s="3"/>
      <c r="B954" s="2"/>
      <c r="C954" s="4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3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</row>
    <row r="955" spans="1:62" ht="12.75" x14ac:dyDescent="0.2">
      <c r="A955" s="3"/>
      <c r="B955" s="2"/>
      <c r="C955" s="4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3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</row>
    <row r="956" spans="1:62" ht="12.75" x14ac:dyDescent="0.2">
      <c r="A956" s="3"/>
      <c r="B956" s="2"/>
      <c r="C956" s="4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3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</row>
    <row r="957" spans="1:62" ht="12.75" x14ac:dyDescent="0.2">
      <c r="A957" s="3"/>
      <c r="B957" s="2"/>
      <c r="C957" s="4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3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</row>
    <row r="958" spans="1:62" ht="12.75" x14ac:dyDescent="0.2">
      <c r="A958" s="3"/>
      <c r="B958" s="2"/>
      <c r="C958" s="4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3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</row>
    <row r="959" spans="1:62" ht="12.75" x14ac:dyDescent="0.2">
      <c r="A959" s="3"/>
      <c r="B959" s="2"/>
      <c r="C959" s="4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3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</row>
    <row r="960" spans="1:62" ht="12.75" x14ac:dyDescent="0.2">
      <c r="A960" s="3"/>
      <c r="B960" s="2"/>
      <c r="C960" s="4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3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</row>
    <row r="961" spans="1:62" ht="12.75" x14ac:dyDescent="0.2">
      <c r="A961" s="3"/>
      <c r="B961" s="2"/>
      <c r="C961" s="4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3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</row>
    <row r="962" spans="1:62" ht="12.75" x14ac:dyDescent="0.2">
      <c r="A962" s="3"/>
      <c r="B962" s="2"/>
      <c r="C962" s="4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3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</row>
    <row r="963" spans="1:62" ht="12.75" x14ac:dyDescent="0.2">
      <c r="A963" s="3"/>
      <c r="B963" s="2"/>
      <c r="C963" s="4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3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</row>
    <row r="964" spans="1:62" ht="12.75" x14ac:dyDescent="0.2">
      <c r="A964" s="3"/>
      <c r="B964" s="2"/>
      <c r="C964" s="4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3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</row>
    <row r="965" spans="1:62" ht="12.75" x14ac:dyDescent="0.2">
      <c r="A965" s="3"/>
      <c r="B965" s="2"/>
      <c r="C965" s="4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3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</row>
    <row r="966" spans="1:62" ht="12.75" x14ac:dyDescent="0.2">
      <c r="A966" s="3"/>
      <c r="B966" s="2"/>
      <c r="C966" s="4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3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</row>
    <row r="967" spans="1:62" ht="12.75" x14ac:dyDescent="0.2">
      <c r="A967" s="3"/>
      <c r="B967" s="2"/>
      <c r="C967" s="4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3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</row>
    <row r="968" spans="1:62" ht="12.75" x14ac:dyDescent="0.2">
      <c r="A968" s="3"/>
      <c r="B968" s="2"/>
      <c r="C968" s="4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3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</row>
    <row r="969" spans="1:62" ht="12.75" x14ac:dyDescent="0.2">
      <c r="A969" s="3"/>
      <c r="B969" s="2"/>
      <c r="C969" s="4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3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</row>
    <row r="970" spans="1:62" ht="12.75" x14ac:dyDescent="0.2">
      <c r="A970" s="3"/>
      <c r="B970" s="2"/>
      <c r="C970" s="4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3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</row>
    <row r="971" spans="1:62" ht="12.75" x14ac:dyDescent="0.2">
      <c r="A971" s="3"/>
      <c r="B971" s="2"/>
      <c r="C971" s="4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3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</row>
    <row r="972" spans="1:62" ht="12.75" x14ac:dyDescent="0.2">
      <c r="A972" s="3"/>
      <c r="B972" s="2"/>
      <c r="C972" s="4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3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</row>
    <row r="973" spans="1:62" ht="12.75" x14ac:dyDescent="0.2">
      <c r="A973" s="3"/>
      <c r="B973" s="2"/>
      <c r="C973" s="4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3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</row>
    <row r="974" spans="1:62" ht="12.75" x14ac:dyDescent="0.2">
      <c r="A974" s="3"/>
      <c r="B974" s="2"/>
      <c r="C974" s="4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3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</row>
    <row r="975" spans="1:62" ht="12.75" x14ac:dyDescent="0.2">
      <c r="A975" s="3"/>
      <c r="B975" s="2"/>
      <c r="C975" s="4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3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</row>
    <row r="976" spans="1:62" ht="12.75" x14ac:dyDescent="0.2">
      <c r="A976" s="3"/>
      <c r="B976" s="2"/>
      <c r="C976" s="4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3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</row>
    <row r="977" spans="1:62" ht="12.75" x14ac:dyDescent="0.2">
      <c r="A977" s="3"/>
      <c r="B977" s="2"/>
      <c r="C977" s="4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3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</row>
    <row r="978" spans="1:62" ht="12.75" x14ac:dyDescent="0.2">
      <c r="A978" s="3"/>
      <c r="B978" s="2"/>
      <c r="C978" s="4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3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</row>
    <row r="979" spans="1:62" ht="12.75" x14ac:dyDescent="0.2">
      <c r="A979" s="3"/>
      <c r="B979" s="2"/>
      <c r="C979" s="4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3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</row>
    <row r="980" spans="1:62" ht="12.75" x14ac:dyDescent="0.2">
      <c r="A980" s="3"/>
      <c r="B980" s="2"/>
      <c r="C980" s="4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3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</row>
    <row r="981" spans="1:62" ht="12.75" x14ac:dyDescent="0.2">
      <c r="A981" s="3"/>
      <c r="B981" s="2"/>
      <c r="C981" s="4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3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</row>
    <row r="982" spans="1:62" ht="12.75" x14ac:dyDescent="0.2">
      <c r="A982" s="3"/>
      <c r="B982" s="2"/>
      <c r="C982" s="4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3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</row>
    <row r="983" spans="1:62" ht="12.75" x14ac:dyDescent="0.2">
      <c r="A983" s="3"/>
      <c r="B983" s="2"/>
      <c r="C983" s="4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3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</row>
    <row r="984" spans="1:62" ht="12.75" x14ac:dyDescent="0.2">
      <c r="A984" s="3"/>
      <c r="B984" s="2"/>
      <c r="C984" s="4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3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</row>
    <row r="985" spans="1:62" ht="12.75" x14ac:dyDescent="0.2">
      <c r="A985" s="3"/>
      <c r="B985" s="2"/>
      <c r="C985" s="4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3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</row>
    <row r="986" spans="1:62" ht="12.75" x14ac:dyDescent="0.2">
      <c r="A986" s="3"/>
      <c r="B986" s="2"/>
      <c r="C986" s="4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3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</row>
    <row r="987" spans="1:62" ht="12.75" x14ac:dyDescent="0.2">
      <c r="A987" s="3"/>
      <c r="B987" s="2"/>
      <c r="C987" s="4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3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</row>
    <row r="988" spans="1:62" ht="12.75" x14ac:dyDescent="0.2">
      <c r="A988" s="3"/>
      <c r="B988" s="2"/>
      <c r="C988" s="4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3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</row>
    <row r="989" spans="1:62" ht="12.75" x14ac:dyDescent="0.2">
      <c r="A989" s="3"/>
      <c r="B989" s="2"/>
      <c r="C989" s="4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3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</row>
    <row r="990" spans="1:62" ht="12.75" x14ac:dyDescent="0.2">
      <c r="A990" s="3"/>
      <c r="B990" s="2"/>
      <c r="C990" s="4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3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</row>
    <row r="991" spans="1:62" ht="12.75" x14ac:dyDescent="0.2">
      <c r="A991" s="3"/>
      <c r="B991" s="2"/>
      <c r="C991" s="4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3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</row>
    <row r="992" spans="1:62" ht="12.75" x14ac:dyDescent="0.2">
      <c r="A992" s="3"/>
      <c r="B992" s="2"/>
      <c r="C992" s="4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3"/>
      <c r="AH992" s="3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</row>
    <row r="993" spans="1:62" ht="12.75" x14ac:dyDescent="0.2">
      <c r="A993" s="3"/>
      <c r="B993" s="2"/>
      <c r="C993" s="4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3"/>
      <c r="AH993" s="3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</row>
    <row r="994" spans="1:62" ht="12.75" x14ac:dyDescent="0.2">
      <c r="A994" s="3"/>
      <c r="B994" s="2"/>
      <c r="C994" s="4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3"/>
      <c r="AH994" s="3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</row>
    <row r="995" spans="1:62" ht="12.75" x14ac:dyDescent="0.2">
      <c r="B995" s="104"/>
      <c r="C995" s="4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3"/>
      <c r="AH995" s="3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</row>
  </sheetData>
  <phoneticPr fontId="30" type="noConversion"/>
  <dataValidations count="1">
    <dataValidation type="list" allowBlank="1" showErrorMessage="1" sqref="A9:A993" xr:uid="{00000000-0002-0000-0200-000000000000}">
      <formula1>"IJH,EWH,SCH"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N995"/>
  <sheetViews>
    <sheetView workbookViewId="0"/>
  </sheetViews>
  <sheetFormatPr defaultColWidth="12.5703125" defaultRowHeight="15.75" customHeight="1" x14ac:dyDescent="0.2"/>
  <cols>
    <col min="63" max="66" width="12.5703125" hidden="1"/>
  </cols>
  <sheetData>
    <row r="1" spans="1:66" ht="12.75" x14ac:dyDescent="0.2">
      <c r="A1" s="3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6" ht="12.75" x14ac:dyDescent="0.2">
      <c r="A2" s="3"/>
      <c r="B2" s="6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</row>
    <row r="3" spans="1:66" ht="12.75" x14ac:dyDescent="0.2">
      <c r="A3" s="3"/>
      <c r="B3" s="7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8</v>
      </c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6" ht="12.75" x14ac:dyDescent="0.2">
      <c r="A4" s="3"/>
      <c r="B4" s="2" t="s">
        <v>10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11" t="s">
        <v>12</v>
      </c>
      <c r="AN4" s="3"/>
      <c r="AO4" s="3"/>
      <c r="AP4" s="11" t="s">
        <v>13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13" t="s">
        <v>15</v>
      </c>
      <c r="BE4" s="13"/>
      <c r="BF4" s="13"/>
      <c r="BG4" s="3"/>
      <c r="BH4" s="3"/>
      <c r="BI4" s="3"/>
      <c r="BJ4" s="3"/>
      <c r="BK4" s="3"/>
      <c r="BL4" s="3"/>
      <c r="BM4" s="3"/>
      <c r="BN4" s="3"/>
    </row>
    <row r="5" spans="1:66" ht="16.5" x14ac:dyDescent="0.25">
      <c r="A5" s="14"/>
      <c r="B5" s="15"/>
      <c r="C5" s="16" t="s">
        <v>18</v>
      </c>
      <c r="D5" s="16" t="s">
        <v>20</v>
      </c>
      <c r="E5" s="16" t="s">
        <v>21</v>
      </c>
      <c r="F5" s="16" t="s">
        <v>22</v>
      </c>
      <c r="G5" s="16" t="s">
        <v>23</v>
      </c>
      <c r="H5" s="16" t="s">
        <v>24</v>
      </c>
      <c r="I5" s="16" t="s">
        <v>26</v>
      </c>
      <c r="J5" s="16" t="s">
        <v>27</v>
      </c>
      <c r="K5" s="16" t="s">
        <v>28</v>
      </c>
      <c r="L5" s="16" t="s">
        <v>29</v>
      </c>
      <c r="M5" s="16" t="s">
        <v>30</v>
      </c>
      <c r="N5" s="16" t="s">
        <v>31</v>
      </c>
      <c r="O5" s="16" t="s">
        <v>32</v>
      </c>
      <c r="P5" s="16" t="s">
        <v>33</v>
      </c>
      <c r="Q5" s="16" t="s">
        <v>34</v>
      </c>
      <c r="R5" s="16" t="s">
        <v>36</v>
      </c>
      <c r="S5" s="16" t="s">
        <v>37</v>
      </c>
      <c r="T5" s="16" t="s">
        <v>39</v>
      </c>
      <c r="U5" s="18" t="s">
        <v>40</v>
      </c>
      <c r="V5" s="18" t="s">
        <v>41</v>
      </c>
      <c r="W5" s="18" t="s">
        <v>42</v>
      </c>
      <c r="X5" s="18" t="s">
        <v>43</v>
      </c>
      <c r="Y5" s="18" t="s">
        <v>44</v>
      </c>
      <c r="Z5" s="18" t="s">
        <v>45</v>
      </c>
      <c r="AA5" s="19" t="s">
        <v>46</v>
      </c>
      <c r="AB5" s="18" t="s">
        <v>47</v>
      </c>
      <c r="AC5" s="18" t="s">
        <v>48</v>
      </c>
      <c r="AD5" s="18" t="s">
        <v>49</v>
      </c>
      <c r="AE5" s="18" t="s">
        <v>50</v>
      </c>
      <c r="AF5" s="18" t="s">
        <v>52</v>
      </c>
      <c r="AG5" s="22" t="s">
        <v>55</v>
      </c>
      <c r="AH5" s="19" t="s">
        <v>58</v>
      </c>
      <c r="AI5" s="16" t="s">
        <v>60</v>
      </c>
      <c r="AJ5" s="16" t="s">
        <v>62</v>
      </c>
      <c r="AK5" s="16" t="s">
        <v>63</v>
      </c>
      <c r="AL5" s="16" t="s">
        <v>64</v>
      </c>
      <c r="AM5" s="16" t="s">
        <v>65</v>
      </c>
      <c r="AN5" s="16" t="s">
        <v>66</v>
      </c>
      <c r="AO5" s="16" t="s">
        <v>68</v>
      </c>
      <c r="AP5" s="16" t="s">
        <v>70</v>
      </c>
      <c r="AQ5" s="16" t="s">
        <v>71</v>
      </c>
      <c r="AR5" s="16" t="s">
        <v>72</v>
      </c>
      <c r="AS5" s="16" t="s">
        <v>75</v>
      </c>
      <c r="AT5" s="16" t="s">
        <v>77</v>
      </c>
      <c r="AU5" s="16" t="s">
        <v>79</v>
      </c>
      <c r="AV5" s="16" t="s">
        <v>80</v>
      </c>
      <c r="AW5" s="16" t="s">
        <v>81</v>
      </c>
      <c r="AX5" s="16" t="s">
        <v>83</v>
      </c>
      <c r="AY5" s="16" t="s">
        <v>84</v>
      </c>
      <c r="AZ5" s="16" t="s">
        <v>85</v>
      </c>
      <c r="BA5" s="16" t="s">
        <v>86</v>
      </c>
      <c r="BB5" s="18" t="s">
        <v>87</v>
      </c>
      <c r="BC5" s="18" t="s">
        <v>88</v>
      </c>
      <c r="BD5" s="18" t="s">
        <v>89</v>
      </c>
      <c r="BE5" s="18" t="s">
        <v>90</v>
      </c>
      <c r="BF5" s="18" t="s">
        <v>91</v>
      </c>
      <c r="BG5" s="18" t="s">
        <v>92</v>
      </c>
      <c r="BH5" s="16"/>
      <c r="BI5" s="16"/>
      <c r="BJ5" s="16"/>
      <c r="BK5" s="16" t="s">
        <v>95</v>
      </c>
      <c r="BL5" s="16" t="s">
        <v>97</v>
      </c>
      <c r="BM5" s="26" t="s">
        <v>98</v>
      </c>
      <c r="BN5" s="26" t="s">
        <v>100</v>
      </c>
    </row>
    <row r="6" spans="1:66" ht="16.5" x14ac:dyDescent="0.25">
      <c r="A6" s="28"/>
      <c r="B6" s="15"/>
      <c r="C6" s="29" t="s">
        <v>101</v>
      </c>
      <c r="D6" s="29" t="s">
        <v>103</v>
      </c>
      <c r="E6" s="29" t="s">
        <v>104</v>
      </c>
      <c r="F6" s="29" t="s">
        <v>105</v>
      </c>
      <c r="G6" s="29" t="s">
        <v>106</v>
      </c>
      <c r="H6" s="29" t="s">
        <v>107</v>
      </c>
      <c r="I6" s="29" t="s">
        <v>108</v>
      </c>
      <c r="J6" s="30" t="s">
        <v>109</v>
      </c>
      <c r="K6" s="30" t="s">
        <v>112</v>
      </c>
      <c r="L6" s="30" t="s">
        <v>113</v>
      </c>
      <c r="M6" s="30" t="s">
        <v>114</v>
      </c>
      <c r="N6" s="30" t="s">
        <v>115</v>
      </c>
      <c r="O6" s="30" t="s">
        <v>116</v>
      </c>
      <c r="P6" s="29" t="s">
        <v>118</v>
      </c>
      <c r="Q6" s="30" t="s">
        <v>120</v>
      </c>
      <c r="R6" s="32" t="s">
        <v>122</v>
      </c>
      <c r="S6" s="29" t="s">
        <v>123</v>
      </c>
      <c r="T6" s="30" t="s">
        <v>124</v>
      </c>
      <c r="U6" s="32" t="s">
        <v>125</v>
      </c>
      <c r="V6" s="32" t="s">
        <v>127</v>
      </c>
      <c r="W6" s="32" t="s">
        <v>128</v>
      </c>
      <c r="X6" s="32" t="s">
        <v>129</v>
      </c>
      <c r="Y6" s="32" t="s">
        <v>130</v>
      </c>
      <c r="Z6" s="32" t="s">
        <v>131</v>
      </c>
      <c r="AA6" s="35" t="s">
        <v>132</v>
      </c>
      <c r="AB6" s="32" t="s">
        <v>133</v>
      </c>
      <c r="AC6" s="32" t="s">
        <v>134</v>
      </c>
      <c r="AD6" s="32" t="s">
        <v>135</v>
      </c>
      <c r="AE6" s="32" t="s">
        <v>136</v>
      </c>
      <c r="AF6" s="32" t="s">
        <v>138</v>
      </c>
      <c r="AG6" s="22" t="s">
        <v>140</v>
      </c>
      <c r="AH6" s="39" t="s">
        <v>142</v>
      </c>
      <c r="AI6" s="30" t="s">
        <v>143</v>
      </c>
      <c r="AJ6" s="30" t="s">
        <v>144</v>
      </c>
      <c r="AK6" s="30" t="s">
        <v>146</v>
      </c>
      <c r="AL6" s="41" t="s">
        <v>147</v>
      </c>
      <c r="AM6" s="30" t="s">
        <v>150</v>
      </c>
      <c r="AN6" s="30" t="s">
        <v>151</v>
      </c>
      <c r="AO6" s="30" t="s">
        <v>68</v>
      </c>
      <c r="AP6" s="30" t="s">
        <v>152</v>
      </c>
      <c r="AQ6" s="30" t="s">
        <v>154</v>
      </c>
      <c r="AR6" s="30" t="s">
        <v>156</v>
      </c>
      <c r="AS6" s="30" t="s">
        <v>157</v>
      </c>
      <c r="AT6" s="30" t="s">
        <v>159</v>
      </c>
      <c r="AU6" s="30" t="s">
        <v>160</v>
      </c>
      <c r="AV6" s="30" t="s">
        <v>161</v>
      </c>
      <c r="AW6" s="30" t="s">
        <v>162</v>
      </c>
      <c r="AX6" s="30" t="s">
        <v>163</v>
      </c>
      <c r="AY6" s="30" t="s">
        <v>164</v>
      </c>
      <c r="AZ6" s="30" t="s">
        <v>165</v>
      </c>
      <c r="BA6" s="30" t="s">
        <v>166</v>
      </c>
      <c r="BB6" s="32" t="s">
        <v>167</v>
      </c>
      <c r="BC6" s="32" t="s">
        <v>169</v>
      </c>
      <c r="BD6" s="32" t="s">
        <v>170</v>
      </c>
      <c r="BE6" s="32" t="s">
        <v>171</v>
      </c>
      <c r="BF6" s="32" t="s">
        <v>172</v>
      </c>
      <c r="BG6" s="32" t="s">
        <v>173</v>
      </c>
      <c r="BH6" s="16"/>
      <c r="BI6" s="16"/>
      <c r="BJ6" s="16"/>
      <c r="BK6" s="29" t="s">
        <v>174</v>
      </c>
      <c r="BL6" s="29" t="s">
        <v>175</v>
      </c>
      <c r="BM6" s="44" t="s">
        <v>177</v>
      </c>
      <c r="BN6" s="44" t="s">
        <v>180</v>
      </c>
    </row>
    <row r="7" spans="1:66" ht="177.75" customHeight="1" x14ac:dyDescent="0.25">
      <c r="A7" s="46"/>
      <c r="B7" s="47"/>
      <c r="C7" s="48" t="s">
        <v>184</v>
      </c>
      <c r="D7" s="49" t="s">
        <v>186</v>
      </c>
      <c r="E7" s="48" t="s">
        <v>187</v>
      </c>
      <c r="F7" s="49" t="s">
        <v>186</v>
      </c>
      <c r="G7" s="48" t="s">
        <v>189</v>
      </c>
      <c r="H7" s="48" t="s">
        <v>190</v>
      </c>
      <c r="I7" s="48" t="s">
        <v>190</v>
      </c>
      <c r="J7" s="48" t="s">
        <v>190</v>
      </c>
      <c r="K7" s="48" t="s">
        <v>190</v>
      </c>
      <c r="L7" s="48" t="s">
        <v>190</v>
      </c>
      <c r="M7" s="48" t="s">
        <v>190</v>
      </c>
      <c r="N7" s="50" t="s">
        <v>192</v>
      </c>
      <c r="O7" s="48" t="s">
        <v>194</v>
      </c>
      <c r="P7" s="50" t="s">
        <v>192</v>
      </c>
      <c r="Q7" s="48" t="s">
        <v>194</v>
      </c>
      <c r="R7" s="48" t="s">
        <v>194</v>
      </c>
      <c r="S7" s="50" t="s">
        <v>192</v>
      </c>
      <c r="T7" s="48" t="s">
        <v>190</v>
      </c>
      <c r="U7" s="51" t="s">
        <v>190</v>
      </c>
      <c r="V7" s="51" t="s">
        <v>190</v>
      </c>
      <c r="W7" s="51" t="s">
        <v>196</v>
      </c>
      <c r="X7" s="51" t="s">
        <v>198</v>
      </c>
      <c r="Y7" s="51" t="s">
        <v>199</v>
      </c>
      <c r="Z7" s="51" t="s">
        <v>199</v>
      </c>
      <c r="AA7" s="51" t="s">
        <v>199</v>
      </c>
      <c r="AB7" s="51" t="s">
        <v>199</v>
      </c>
      <c r="AC7" s="51" t="s">
        <v>199</v>
      </c>
      <c r="AD7" s="51" t="s">
        <v>199</v>
      </c>
      <c r="AE7" s="51" t="s">
        <v>199</v>
      </c>
      <c r="AF7" s="52" t="s">
        <v>200</v>
      </c>
      <c r="AG7" s="53" t="s">
        <v>186</v>
      </c>
      <c r="AH7" s="51" t="s">
        <v>202</v>
      </c>
      <c r="AI7" s="54" t="s">
        <v>202</v>
      </c>
      <c r="AJ7" s="11" t="s">
        <v>192</v>
      </c>
      <c r="AK7" s="11" t="s">
        <v>192</v>
      </c>
      <c r="AL7" s="54" t="s">
        <v>204</v>
      </c>
      <c r="AM7" s="11" t="s">
        <v>12</v>
      </c>
      <c r="AN7" s="11" t="s">
        <v>192</v>
      </c>
      <c r="AO7" s="11" t="s">
        <v>192</v>
      </c>
      <c r="AP7" s="11" t="s">
        <v>13</v>
      </c>
      <c r="AQ7" s="11" t="s">
        <v>192</v>
      </c>
      <c r="AR7" s="54" t="s">
        <v>202</v>
      </c>
      <c r="AS7" s="54" t="s">
        <v>202</v>
      </c>
      <c r="AT7" s="11" t="s">
        <v>192</v>
      </c>
      <c r="AU7" s="54" t="s">
        <v>202</v>
      </c>
      <c r="AV7" s="54" t="s">
        <v>202</v>
      </c>
      <c r="AW7" s="54" t="s">
        <v>202</v>
      </c>
      <c r="AX7" s="11" t="s">
        <v>192</v>
      </c>
      <c r="AY7" s="11" t="s">
        <v>192</v>
      </c>
      <c r="AZ7" s="11" t="s">
        <v>192</v>
      </c>
      <c r="BA7" s="48" t="s">
        <v>190</v>
      </c>
      <c r="BB7" s="51" t="s">
        <v>190</v>
      </c>
      <c r="BC7" s="51" t="s">
        <v>192</v>
      </c>
      <c r="BD7" s="51" t="s">
        <v>207</v>
      </c>
      <c r="BE7" s="51" t="s">
        <v>207</v>
      </c>
      <c r="BF7" s="51" t="s">
        <v>207</v>
      </c>
      <c r="BG7" s="51" t="s">
        <v>207</v>
      </c>
      <c r="BH7" s="16"/>
      <c r="BI7" s="16"/>
      <c r="BJ7" s="16"/>
      <c r="BK7" s="58"/>
      <c r="BL7" s="58"/>
      <c r="BM7" s="59"/>
      <c r="BN7" s="59"/>
    </row>
    <row r="8" spans="1:66" ht="25.5" x14ac:dyDescent="0.2">
      <c r="A8" s="3"/>
      <c r="B8" s="61" t="s">
        <v>209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3"/>
      <c r="AF8" s="63"/>
      <c r="AG8" s="63"/>
      <c r="AH8" s="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3"/>
      <c r="BD8" s="63"/>
      <c r="BE8" s="63"/>
      <c r="BF8" s="63"/>
      <c r="BG8" s="3"/>
      <c r="BH8" s="3"/>
      <c r="BI8" s="3"/>
      <c r="BJ8" s="3"/>
      <c r="BK8" s="3"/>
      <c r="BL8" s="3"/>
      <c r="BM8" s="3"/>
      <c r="BN8" s="3"/>
    </row>
    <row r="9" spans="1:66" ht="12.75" x14ac:dyDescent="0.2">
      <c r="A9" s="64" t="s">
        <v>2</v>
      </c>
      <c r="B9" s="6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63"/>
      <c r="BE9" s="63"/>
      <c r="BF9" s="63"/>
      <c r="BG9" s="3"/>
      <c r="BH9" s="3"/>
      <c r="BI9" s="3"/>
      <c r="BJ9" s="3"/>
      <c r="BK9" s="3"/>
      <c r="BL9" s="3"/>
      <c r="BM9" s="3"/>
      <c r="BN9" s="3"/>
    </row>
    <row r="10" spans="1:66" ht="12.75" x14ac:dyDescent="0.2">
      <c r="A10" s="64" t="s">
        <v>2</v>
      </c>
      <c r="B10" s="6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63"/>
      <c r="BE10" s="63"/>
      <c r="BF10" s="63"/>
      <c r="BG10" s="3"/>
      <c r="BH10" s="3"/>
      <c r="BI10" s="3"/>
      <c r="BJ10" s="3"/>
      <c r="BK10" s="3"/>
      <c r="BL10" s="3"/>
      <c r="BM10" s="3"/>
      <c r="BN10" s="3"/>
    </row>
    <row r="11" spans="1:66" ht="12.75" x14ac:dyDescent="0.2">
      <c r="A11" s="64" t="s">
        <v>2</v>
      </c>
      <c r="B11" s="6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63"/>
      <c r="BE11" s="63"/>
      <c r="BF11" s="63"/>
      <c r="BG11" s="3"/>
      <c r="BH11" s="3"/>
      <c r="BI11" s="3"/>
      <c r="BJ11" s="3"/>
      <c r="BK11" s="3"/>
      <c r="BL11" s="3"/>
      <c r="BM11" s="3"/>
      <c r="BN11" s="3"/>
    </row>
    <row r="12" spans="1:66" ht="12.75" x14ac:dyDescent="0.2">
      <c r="A12" s="64" t="s">
        <v>2</v>
      </c>
      <c r="B12" s="6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63"/>
      <c r="BE12" s="63"/>
      <c r="BF12" s="63"/>
      <c r="BG12" s="3"/>
      <c r="BH12" s="3"/>
      <c r="BI12" s="3"/>
      <c r="BJ12" s="3"/>
      <c r="BK12" s="3"/>
      <c r="BL12" s="3"/>
      <c r="BM12" s="3"/>
      <c r="BN12" s="3"/>
    </row>
    <row r="13" spans="1:66" ht="12.75" x14ac:dyDescent="0.2">
      <c r="A13" s="64" t="s">
        <v>2</v>
      </c>
      <c r="B13" s="6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63"/>
      <c r="BE13" s="63"/>
      <c r="BF13" s="63"/>
      <c r="BG13" s="3"/>
      <c r="BH13" s="3"/>
      <c r="BI13" s="3"/>
      <c r="BJ13" s="3"/>
      <c r="BK13" s="3"/>
      <c r="BL13" s="3"/>
      <c r="BM13" s="3"/>
      <c r="BN13" s="3"/>
    </row>
    <row r="14" spans="1:66" ht="12.75" x14ac:dyDescent="0.2">
      <c r="A14" s="64" t="s">
        <v>2</v>
      </c>
      <c r="B14" s="6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63"/>
      <c r="BE14" s="63"/>
      <c r="BF14" s="63"/>
      <c r="BG14" s="3"/>
      <c r="BH14" s="3"/>
      <c r="BI14" s="3"/>
      <c r="BJ14" s="3"/>
      <c r="BK14" s="3"/>
      <c r="BL14" s="3"/>
      <c r="BM14" s="3"/>
      <c r="BN14" s="3"/>
    </row>
    <row r="15" spans="1:66" ht="12.75" x14ac:dyDescent="0.2">
      <c r="A15" s="64" t="s">
        <v>2</v>
      </c>
      <c r="B15" s="6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63"/>
      <c r="BE15" s="63"/>
      <c r="BF15" s="63"/>
      <c r="BG15" s="3"/>
      <c r="BH15" s="3"/>
      <c r="BI15" s="3"/>
      <c r="BJ15" s="3"/>
      <c r="BK15" s="3"/>
      <c r="BL15" s="3"/>
      <c r="BM15" s="3"/>
      <c r="BN15" s="3"/>
    </row>
    <row r="16" spans="1:66" ht="12.75" x14ac:dyDescent="0.2">
      <c r="A16" s="64" t="s">
        <v>2</v>
      </c>
      <c r="B16" s="6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63"/>
      <c r="BE16" s="63"/>
      <c r="BF16" s="63"/>
      <c r="BG16" s="3"/>
      <c r="BH16" s="3"/>
      <c r="BI16" s="3"/>
      <c r="BJ16" s="3"/>
      <c r="BK16" s="3"/>
      <c r="BL16" s="3"/>
      <c r="BM16" s="3"/>
      <c r="BN16" s="3"/>
    </row>
    <row r="17" spans="1:66" ht="12.75" x14ac:dyDescent="0.2">
      <c r="A17" s="64" t="s">
        <v>2</v>
      </c>
      <c r="B17" s="6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63"/>
      <c r="BE17" s="63"/>
      <c r="BF17" s="63"/>
      <c r="BG17" s="3"/>
      <c r="BH17" s="3"/>
      <c r="BI17" s="3"/>
      <c r="BJ17" s="3"/>
      <c r="BK17" s="3"/>
      <c r="BL17" s="3"/>
      <c r="BM17" s="3"/>
      <c r="BN17" s="3"/>
    </row>
    <row r="18" spans="1:66" ht="12.75" x14ac:dyDescent="0.2">
      <c r="A18" s="64" t="s">
        <v>2</v>
      </c>
      <c r="B18" s="6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63"/>
      <c r="BE18" s="63"/>
      <c r="BF18" s="63"/>
      <c r="BG18" s="3"/>
      <c r="BH18" s="3"/>
      <c r="BI18" s="3"/>
      <c r="BJ18" s="3"/>
      <c r="BK18" s="3"/>
      <c r="BL18" s="3"/>
      <c r="BM18" s="3"/>
      <c r="BN18" s="3"/>
    </row>
    <row r="19" spans="1:66" ht="12.75" x14ac:dyDescent="0.2">
      <c r="A19" s="64" t="s">
        <v>2</v>
      </c>
      <c r="B19" s="6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63"/>
      <c r="BE19" s="63"/>
      <c r="BF19" s="63"/>
      <c r="BG19" s="3"/>
      <c r="BH19" s="3"/>
      <c r="BI19" s="3"/>
      <c r="BJ19" s="3"/>
      <c r="BK19" s="3"/>
      <c r="BL19" s="3"/>
      <c r="BM19" s="3"/>
      <c r="BN19" s="3"/>
    </row>
    <row r="20" spans="1:66" ht="12.75" x14ac:dyDescent="0.2">
      <c r="A20" s="64" t="s">
        <v>2</v>
      </c>
      <c r="B20" s="6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63"/>
      <c r="BE20" s="63"/>
      <c r="BF20" s="63"/>
      <c r="BG20" s="3"/>
      <c r="BH20" s="3"/>
      <c r="BI20" s="3"/>
      <c r="BJ20" s="3"/>
      <c r="BK20" s="3"/>
      <c r="BL20" s="3"/>
      <c r="BM20" s="3"/>
      <c r="BN20" s="3"/>
    </row>
    <row r="21" spans="1:66" ht="12.75" x14ac:dyDescent="0.2">
      <c r="A21" s="64" t="s">
        <v>2</v>
      </c>
      <c r="B21" s="6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63"/>
      <c r="BE21" s="63"/>
      <c r="BF21" s="63"/>
      <c r="BG21" s="3"/>
      <c r="BH21" s="3"/>
      <c r="BI21" s="3"/>
      <c r="BJ21" s="3"/>
      <c r="BK21" s="3"/>
      <c r="BL21" s="3"/>
      <c r="BM21" s="3"/>
      <c r="BN21" s="3"/>
    </row>
    <row r="22" spans="1:66" ht="12.75" x14ac:dyDescent="0.2">
      <c r="A22" s="64" t="s">
        <v>2</v>
      </c>
      <c r="B22" s="6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63"/>
      <c r="BE22" s="63"/>
      <c r="BF22" s="63"/>
      <c r="BG22" s="3"/>
      <c r="BH22" s="3"/>
      <c r="BI22" s="3"/>
      <c r="BJ22" s="3"/>
      <c r="BK22" s="3"/>
      <c r="BL22" s="3"/>
      <c r="BM22" s="3"/>
      <c r="BN22" s="3"/>
    </row>
    <row r="23" spans="1:66" ht="12.75" x14ac:dyDescent="0.2">
      <c r="A23" s="64" t="s">
        <v>2</v>
      </c>
      <c r="B23" s="6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63"/>
      <c r="BE23" s="63"/>
      <c r="BF23" s="63"/>
      <c r="BG23" s="3"/>
      <c r="BH23" s="3"/>
      <c r="BI23" s="3"/>
      <c r="BJ23" s="3"/>
      <c r="BK23" s="3"/>
      <c r="BL23" s="3"/>
      <c r="BM23" s="3"/>
      <c r="BN23" s="3"/>
    </row>
    <row r="24" spans="1:66" ht="12.75" x14ac:dyDescent="0.2">
      <c r="A24" s="64" t="s">
        <v>2</v>
      </c>
      <c r="B24" s="6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3"/>
      <c r="AG24" s="3"/>
      <c r="AH24" s="6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63"/>
      <c r="BC24" s="63"/>
      <c r="BD24" s="63"/>
      <c r="BE24" s="63"/>
      <c r="BF24" s="63"/>
      <c r="BG24" s="3"/>
      <c r="BH24" s="3"/>
      <c r="BI24" s="3"/>
      <c r="BJ24" s="3"/>
      <c r="BK24" s="3"/>
      <c r="BL24" s="3"/>
      <c r="BM24" s="3"/>
      <c r="BN24" s="3"/>
    </row>
    <row r="25" spans="1:66" ht="12.75" x14ac:dyDescent="0.2">
      <c r="A25" s="64" t="s">
        <v>2</v>
      </c>
      <c r="B25" s="6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3"/>
      <c r="AG25" s="3"/>
      <c r="AH25" s="6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63"/>
      <c r="BC25" s="63"/>
      <c r="BD25" s="63"/>
      <c r="BE25" s="63"/>
      <c r="BF25" s="63"/>
      <c r="BG25" s="3"/>
      <c r="BH25" s="3"/>
      <c r="BI25" s="3"/>
      <c r="BJ25" s="3"/>
      <c r="BK25" s="3"/>
      <c r="BL25" s="3"/>
      <c r="BM25" s="3"/>
      <c r="BN25" s="3"/>
    </row>
    <row r="26" spans="1:66" ht="12.75" x14ac:dyDescent="0.2">
      <c r="A26" s="64" t="s">
        <v>2</v>
      </c>
      <c r="B26" s="6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3"/>
      <c r="AG26" s="3"/>
      <c r="AH26" s="6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63"/>
      <c r="BC26" s="63"/>
      <c r="BD26" s="63"/>
      <c r="BE26" s="63"/>
      <c r="BF26" s="63"/>
      <c r="BG26" s="3"/>
      <c r="BH26" s="3"/>
      <c r="BI26" s="3"/>
      <c r="BJ26" s="3"/>
      <c r="BK26" s="3"/>
      <c r="BL26" s="3"/>
      <c r="BM26" s="3"/>
      <c r="BN26" s="3"/>
    </row>
    <row r="27" spans="1:66" ht="12.75" x14ac:dyDescent="0.2">
      <c r="A27" s="64" t="s">
        <v>2</v>
      </c>
      <c r="B27" s="6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3"/>
      <c r="AG27" s="3"/>
      <c r="AH27" s="6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63"/>
      <c r="BC27" s="63"/>
      <c r="BD27" s="63"/>
      <c r="BE27" s="63"/>
      <c r="BF27" s="63"/>
      <c r="BG27" s="3"/>
      <c r="BH27" s="3"/>
      <c r="BI27" s="3"/>
      <c r="BJ27" s="3"/>
      <c r="BK27" s="3"/>
      <c r="BL27" s="3"/>
      <c r="BM27" s="3"/>
      <c r="BN27" s="3"/>
    </row>
    <row r="28" spans="1:66" ht="12.75" x14ac:dyDescent="0.2">
      <c r="A28" s="64" t="s">
        <v>2</v>
      </c>
      <c r="B28" s="6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3"/>
      <c r="AG28" s="3"/>
      <c r="AH28" s="6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63"/>
      <c r="BC28" s="63"/>
      <c r="BD28" s="63"/>
      <c r="BE28" s="63"/>
      <c r="BF28" s="63"/>
      <c r="BG28" s="3"/>
      <c r="BH28" s="3"/>
      <c r="BI28" s="3"/>
      <c r="BJ28" s="3"/>
      <c r="BK28" s="3"/>
      <c r="BL28" s="3"/>
      <c r="BM28" s="3"/>
      <c r="BN28" s="3"/>
    </row>
    <row r="29" spans="1:66" ht="12.75" x14ac:dyDescent="0.2">
      <c r="A29" s="64" t="s">
        <v>2</v>
      </c>
      <c r="B29" s="6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3"/>
      <c r="AG29" s="3"/>
      <c r="AH29" s="6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63"/>
      <c r="BC29" s="63"/>
      <c r="BD29" s="63"/>
      <c r="BE29" s="63"/>
      <c r="BF29" s="63"/>
      <c r="BG29" s="3"/>
      <c r="BH29" s="3"/>
      <c r="BI29" s="3"/>
      <c r="BJ29" s="3"/>
      <c r="BK29" s="3"/>
      <c r="BL29" s="3"/>
      <c r="BM29" s="3"/>
      <c r="BN29" s="3"/>
    </row>
    <row r="30" spans="1:66" ht="12.75" x14ac:dyDescent="0.2">
      <c r="A30" s="64" t="s">
        <v>2</v>
      </c>
      <c r="B30" s="6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3"/>
      <c r="AG30" s="3"/>
      <c r="AH30" s="6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63"/>
      <c r="BC30" s="63"/>
      <c r="BD30" s="63"/>
      <c r="BE30" s="63"/>
      <c r="BF30" s="63"/>
      <c r="BG30" s="3"/>
      <c r="BH30" s="3"/>
      <c r="BI30" s="3"/>
      <c r="BJ30" s="3"/>
      <c r="BK30" s="3"/>
      <c r="BL30" s="3"/>
      <c r="BM30" s="3"/>
      <c r="BN30" s="3"/>
    </row>
    <row r="31" spans="1:66" ht="12.75" x14ac:dyDescent="0.2">
      <c r="A31" s="64" t="s">
        <v>2</v>
      </c>
      <c r="B31" s="6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3"/>
      <c r="AG31" s="3"/>
      <c r="AH31" s="6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63"/>
      <c r="BC31" s="63"/>
      <c r="BD31" s="63"/>
      <c r="BE31" s="63"/>
      <c r="BF31" s="63"/>
      <c r="BG31" s="3"/>
      <c r="BH31" s="3"/>
      <c r="BI31" s="3"/>
      <c r="BJ31" s="3"/>
      <c r="BK31" s="3"/>
      <c r="BL31" s="3"/>
      <c r="BM31" s="3"/>
      <c r="BN31" s="3"/>
    </row>
    <row r="32" spans="1:66" ht="12.75" x14ac:dyDescent="0.2">
      <c r="A32" s="64" t="s">
        <v>2</v>
      </c>
      <c r="B32" s="6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3"/>
      <c r="AG32" s="3"/>
      <c r="AH32" s="6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63"/>
      <c r="BC32" s="63"/>
      <c r="BD32" s="63"/>
      <c r="BE32" s="63"/>
      <c r="BF32" s="63"/>
      <c r="BG32" s="3"/>
      <c r="BH32" s="3"/>
      <c r="BI32" s="3"/>
      <c r="BJ32" s="3"/>
      <c r="BK32" s="3"/>
      <c r="BL32" s="3"/>
      <c r="BM32" s="3"/>
      <c r="BN32" s="3"/>
    </row>
    <row r="33" spans="1:66" ht="12.75" x14ac:dyDescent="0.2">
      <c r="A33" s="64" t="s">
        <v>2</v>
      </c>
      <c r="B33" s="6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3"/>
      <c r="AG33" s="3"/>
      <c r="AH33" s="6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63"/>
      <c r="BC33" s="63"/>
      <c r="BD33" s="63"/>
      <c r="BE33" s="63"/>
      <c r="BF33" s="63"/>
      <c r="BG33" s="3"/>
      <c r="BH33" s="3"/>
      <c r="BI33" s="3"/>
      <c r="BJ33" s="3"/>
      <c r="BK33" s="3"/>
      <c r="BL33" s="3"/>
      <c r="BM33" s="3"/>
      <c r="BN33" s="3"/>
    </row>
    <row r="34" spans="1:66" ht="12.75" x14ac:dyDescent="0.2">
      <c r="A34" s="64" t="s">
        <v>2</v>
      </c>
      <c r="B34" s="6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3"/>
      <c r="AG34" s="3"/>
      <c r="AH34" s="6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63"/>
      <c r="BC34" s="63"/>
      <c r="BD34" s="63"/>
      <c r="BE34" s="63"/>
      <c r="BF34" s="63"/>
      <c r="BG34" s="3"/>
      <c r="BH34" s="3"/>
      <c r="BI34" s="3"/>
      <c r="BJ34" s="3"/>
      <c r="BK34" s="3"/>
      <c r="BL34" s="3"/>
      <c r="BM34" s="3"/>
      <c r="BN34" s="3"/>
    </row>
    <row r="35" spans="1:66" ht="12.75" x14ac:dyDescent="0.2">
      <c r="A35" s="64" t="s">
        <v>2</v>
      </c>
      <c r="B35" s="6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3"/>
      <c r="AG35" s="3"/>
      <c r="AH35" s="6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63"/>
      <c r="BC35" s="63"/>
      <c r="BD35" s="63"/>
      <c r="BE35" s="63"/>
      <c r="BF35" s="63"/>
      <c r="BG35" s="3"/>
      <c r="BH35" s="3"/>
      <c r="BI35" s="3"/>
      <c r="BJ35" s="3"/>
      <c r="BK35" s="3"/>
      <c r="BL35" s="3"/>
      <c r="BM35" s="3"/>
      <c r="BN35" s="3"/>
    </row>
    <row r="36" spans="1:66" ht="12.75" x14ac:dyDescent="0.2">
      <c r="A36" s="64" t="s">
        <v>2</v>
      </c>
      <c r="B36" s="6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3"/>
      <c r="AG36" s="3"/>
      <c r="AH36" s="6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63"/>
      <c r="BC36" s="63"/>
      <c r="BD36" s="63"/>
      <c r="BE36" s="63"/>
      <c r="BF36" s="63"/>
      <c r="BG36" s="3"/>
      <c r="BH36" s="3"/>
      <c r="BI36" s="3"/>
      <c r="BJ36" s="3"/>
      <c r="BK36" s="3"/>
      <c r="BL36" s="3"/>
      <c r="BM36" s="3"/>
      <c r="BN36" s="3"/>
    </row>
    <row r="37" spans="1:66" ht="12.75" x14ac:dyDescent="0.2">
      <c r="A37" s="64" t="s">
        <v>2</v>
      </c>
      <c r="B37" s="6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3"/>
      <c r="AG37" s="3"/>
      <c r="AH37" s="6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63"/>
      <c r="BC37" s="63"/>
      <c r="BD37" s="63"/>
      <c r="BE37" s="63"/>
      <c r="BF37" s="63"/>
      <c r="BG37" s="3"/>
      <c r="BH37" s="3"/>
      <c r="BI37" s="3"/>
      <c r="BJ37" s="3"/>
      <c r="BK37" s="3"/>
      <c r="BL37" s="3"/>
      <c r="BM37" s="3"/>
      <c r="BN37" s="3"/>
    </row>
    <row r="38" spans="1:66" ht="12.75" x14ac:dyDescent="0.2">
      <c r="A38" s="64" t="s">
        <v>2</v>
      </c>
      <c r="B38" s="6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3"/>
      <c r="AG38" s="3"/>
      <c r="AH38" s="6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63"/>
      <c r="BC38" s="63"/>
      <c r="BD38" s="63"/>
      <c r="BE38" s="63"/>
      <c r="BF38" s="63"/>
      <c r="BG38" s="3"/>
      <c r="BH38" s="3"/>
      <c r="BI38" s="3"/>
      <c r="BJ38" s="3"/>
      <c r="BK38" s="3"/>
      <c r="BL38" s="3"/>
      <c r="BM38" s="3"/>
      <c r="BN38" s="3"/>
    </row>
    <row r="39" spans="1:66" ht="12.75" x14ac:dyDescent="0.2">
      <c r="A39" s="64" t="s">
        <v>2</v>
      </c>
      <c r="B39" s="6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3"/>
      <c r="AG39" s="3"/>
      <c r="AH39" s="6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63"/>
      <c r="BC39" s="63"/>
      <c r="BD39" s="63"/>
      <c r="BE39" s="63"/>
      <c r="BF39" s="63"/>
      <c r="BG39" s="3"/>
      <c r="BH39" s="3"/>
      <c r="BI39" s="3"/>
      <c r="BJ39" s="3"/>
      <c r="BK39" s="3"/>
      <c r="BL39" s="3"/>
      <c r="BM39" s="3"/>
      <c r="BN39" s="3"/>
    </row>
    <row r="40" spans="1:66" ht="12.75" x14ac:dyDescent="0.2">
      <c r="A40" s="64" t="s">
        <v>2</v>
      </c>
      <c r="B40" s="6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3"/>
      <c r="AG40" s="3"/>
      <c r="AH40" s="6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63"/>
      <c r="BC40" s="63"/>
      <c r="BD40" s="63"/>
      <c r="BE40" s="63"/>
      <c r="BF40" s="63"/>
      <c r="BG40" s="3"/>
      <c r="BH40" s="3"/>
      <c r="BI40" s="3"/>
      <c r="BJ40" s="3"/>
      <c r="BK40" s="3"/>
      <c r="BL40" s="3"/>
      <c r="BM40" s="3"/>
      <c r="BN40" s="3"/>
    </row>
    <row r="41" spans="1:66" ht="12.75" x14ac:dyDescent="0.2">
      <c r="A41" s="64" t="s">
        <v>2</v>
      </c>
      <c r="B41" s="6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3"/>
      <c r="AG41" s="3"/>
      <c r="AH41" s="6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63"/>
      <c r="BC41" s="63"/>
      <c r="BD41" s="63"/>
      <c r="BE41" s="63"/>
      <c r="BF41" s="63"/>
      <c r="BG41" s="3"/>
      <c r="BH41" s="3"/>
      <c r="BI41" s="3"/>
      <c r="BJ41" s="3"/>
      <c r="BK41" s="3"/>
      <c r="BL41" s="3"/>
      <c r="BM41" s="3"/>
      <c r="BN41" s="3"/>
    </row>
    <row r="42" spans="1:66" ht="12.75" x14ac:dyDescent="0.2">
      <c r="A42" s="64" t="s">
        <v>2</v>
      </c>
      <c r="B42" s="6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3"/>
      <c r="AG42" s="3"/>
      <c r="AH42" s="6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63"/>
      <c r="BC42" s="63"/>
      <c r="BD42" s="63"/>
      <c r="BE42" s="63"/>
      <c r="BF42" s="63"/>
      <c r="BG42" s="3"/>
      <c r="BH42" s="3"/>
      <c r="BI42" s="3"/>
      <c r="BJ42" s="3"/>
      <c r="BK42" s="3"/>
      <c r="BL42" s="3"/>
      <c r="BM42" s="3"/>
      <c r="BN42" s="3"/>
    </row>
    <row r="43" spans="1:66" ht="12.75" x14ac:dyDescent="0.2">
      <c r="A43" s="64" t="s">
        <v>2</v>
      </c>
      <c r="B43" s="6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3"/>
      <c r="AG43" s="3"/>
      <c r="AH43" s="6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63"/>
      <c r="BC43" s="63"/>
      <c r="BD43" s="63"/>
      <c r="BE43" s="63"/>
      <c r="BF43" s="63"/>
      <c r="BG43" s="3"/>
      <c r="BH43" s="3"/>
      <c r="BI43" s="3"/>
      <c r="BJ43" s="3"/>
      <c r="BK43" s="3"/>
      <c r="BL43" s="3"/>
      <c r="BM43" s="3"/>
      <c r="BN43" s="3"/>
    </row>
    <row r="44" spans="1:66" ht="12.75" x14ac:dyDescent="0.2">
      <c r="A44" s="64" t="s">
        <v>2</v>
      </c>
      <c r="B44" s="6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3"/>
      <c r="AG44" s="3"/>
      <c r="AH44" s="6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63"/>
      <c r="BC44" s="63"/>
      <c r="BD44" s="63"/>
      <c r="BE44" s="63"/>
      <c r="BF44" s="63"/>
      <c r="BG44" s="3"/>
      <c r="BH44" s="3"/>
      <c r="BI44" s="3"/>
      <c r="BJ44" s="3"/>
      <c r="BK44" s="3"/>
      <c r="BL44" s="3"/>
      <c r="BM44" s="3"/>
      <c r="BN44" s="3"/>
    </row>
    <row r="45" spans="1:66" ht="12.75" x14ac:dyDescent="0.2">
      <c r="A45" s="64" t="s">
        <v>2</v>
      </c>
      <c r="B45" s="6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3"/>
      <c r="AG45" s="3"/>
      <c r="AH45" s="6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63"/>
      <c r="BC45" s="63"/>
      <c r="BD45" s="63"/>
      <c r="BE45" s="63"/>
      <c r="BF45" s="63"/>
      <c r="BG45" s="3"/>
      <c r="BH45" s="3"/>
      <c r="BI45" s="3"/>
      <c r="BJ45" s="3"/>
      <c r="BK45" s="3"/>
      <c r="BL45" s="3"/>
      <c r="BM45" s="3"/>
      <c r="BN45" s="3"/>
    </row>
    <row r="46" spans="1:66" ht="12.75" x14ac:dyDescent="0.2">
      <c r="A46" s="64" t="s">
        <v>2</v>
      </c>
      <c r="B46" s="6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3"/>
      <c r="AG46" s="3"/>
      <c r="AH46" s="6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63"/>
      <c r="BC46" s="63"/>
      <c r="BD46" s="63"/>
      <c r="BE46" s="63"/>
      <c r="BF46" s="63"/>
      <c r="BG46" s="3"/>
      <c r="BH46" s="3"/>
      <c r="BI46" s="3"/>
      <c r="BJ46" s="3"/>
      <c r="BK46" s="3"/>
      <c r="BL46" s="3"/>
      <c r="BM46" s="3"/>
      <c r="BN46" s="3"/>
    </row>
    <row r="47" spans="1:66" ht="12.75" x14ac:dyDescent="0.2">
      <c r="A47" s="64" t="s">
        <v>2</v>
      </c>
      <c r="B47" s="6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3"/>
      <c r="AG47" s="3"/>
      <c r="AH47" s="6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63"/>
      <c r="BC47" s="63"/>
      <c r="BD47" s="63"/>
      <c r="BE47" s="63"/>
      <c r="BF47" s="63"/>
      <c r="BG47" s="3"/>
      <c r="BH47" s="3"/>
      <c r="BI47" s="3"/>
      <c r="BJ47" s="3"/>
      <c r="BK47" s="3"/>
      <c r="BL47" s="3"/>
      <c r="BM47" s="3"/>
      <c r="BN47" s="3"/>
    </row>
    <row r="48" spans="1:66" ht="12.75" x14ac:dyDescent="0.2">
      <c r="A48" s="64" t="s">
        <v>2</v>
      </c>
      <c r="B48" s="6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3"/>
      <c r="AG48" s="3"/>
      <c r="AH48" s="6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63"/>
      <c r="BC48" s="63"/>
      <c r="BD48" s="63"/>
      <c r="BE48" s="63"/>
      <c r="BF48" s="63"/>
      <c r="BG48" s="3"/>
      <c r="BH48" s="3"/>
      <c r="BI48" s="3"/>
      <c r="BJ48" s="3"/>
      <c r="BK48" s="3"/>
      <c r="BL48" s="3"/>
      <c r="BM48" s="3"/>
      <c r="BN48" s="3"/>
    </row>
    <row r="49" spans="1:66" ht="12.75" x14ac:dyDescent="0.2">
      <c r="A49" s="64" t="s">
        <v>2</v>
      </c>
      <c r="B49" s="6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3"/>
      <c r="AG49" s="3"/>
      <c r="AH49" s="6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63"/>
      <c r="BC49" s="63"/>
      <c r="BD49" s="63"/>
      <c r="BE49" s="63"/>
      <c r="BF49" s="63"/>
      <c r="BG49" s="3"/>
      <c r="BH49" s="3"/>
      <c r="BI49" s="3"/>
      <c r="BJ49" s="3"/>
      <c r="BK49" s="3"/>
      <c r="BL49" s="3"/>
      <c r="BM49" s="3"/>
      <c r="BN49" s="3"/>
    </row>
    <row r="50" spans="1:66" ht="12.75" x14ac:dyDescent="0.2">
      <c r="A50" s="64" t="s">
        <v>2</v>
      </c>
      <c r="B50" s="6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3"/>
      <c r="AG50" s="3"/>
      <c r="AH50" s="6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63"/>
      <c r="BC50" s="63"/>
      <c r="BD50" s="63"/>
      <c r="BE50" s="63"/>
      <c r="BF50" s="63"/>
      <c r="BG50" s="3"/>
      <c r="BH50" s="3"/>
      <c r="BI50" s="3"/>
      <c r="BJ50" s="3"/>
      <c r="BK50" s="3"/>
      <c r="BL50" s="3"/>
      <c r="BM50" s="3"/>
      <c r="BN50" s="3"/>
    </row>
    <row r="51" spans="1:66" ht="12.75" x14ac:dyDescent="0.2">
      <c r="A51" s="64" t="s">
        <v>2</v>
      </c>
      <c r="B51" s="6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3"/>
      <c r="AG51" s="3"/>
      <c r="AH51" s="6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63"/>
      <c r="BC51" s="63"/>
      <c r="BD51" s="63"/>
      <c r="BE51" s="63"/>
      <c r="BF51" s="63"/>
      <c r="BG51" s="3"/>
      <c r="BH51" s="3"/>
      <c r="BI51" s="3"/>
      <c r="BJ51" s="3"/>
      <c r="BK51" s="3"/>
      <c r="BL51" s="3"/>
      <c r="BM51" s="3"/>
      <c r="BN51" s="3"/>
    </row>
    <row r="52" spans="1:66" ht="12.75" x14ac:dyDescent="0.2">
      <c r="A52" s="64" t="s">
        <v>2</v>
      </c>
      <c r="B52" s="6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3"/>
      <c r="AG52" s="3"/>
      <c r="AH52" s="6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63"/>
      <c r="BC52" s="63"/>
      <c r="BD52" s="63"/>
      <c r="BE52" s="63"/>
      <c r="BF52" s="63"/>
      <c r="BG52" s="3"/>
      <c r="BH52" s="3"/>
      <c r="BI52" s="3"/>
      <c r="BJ52" s="3"/>
      <c r="BK52" s="3"/>
      <c r="BL52" s="3"/>
      <c r="BM52" s="3"/>
      <c r="BN52" s="3"/>
    </row>
    <row r="53" spans="1:66" ht="12.75" x14ac:dyDescent="0.2">
      <c r="A53" s="64" t="s">
        <v>2</v>
      </c>
      <c r="B53" s="6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3"/>
      <c r="AG53" s="3"/>
      <c r="AH53" s="6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63"/>
      <c r="BC53" s="63"/>
      <c r="BD53" s="63"/>
      <c r="BE53" s="63"/>
      <c r="BF53" s="63"/>
      <c r="BG53" s="3"/>
      <c r="BH53" s="3"/>
      <c r="BI53" s="3"/>
      <c r="BJ53" s="3"/>
      <c r="BK53" s="3"/>
      <c r="BL53" s="3"/>
      <c r="BM53" s="3"/>
      <c r="BN53" s="3"/>
    </row>
    <row r="54" spans="1:66" ht="12.75" x14ac:dyDescent="0.2">
      <c r="A54" s="64" t="s">
        <v>2</v>
      </c>
      <c r="B54" s="6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3"/>
      <c r="AG54" s="3"/>
      <c r="AH54" s="6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63"/>
      <c r="BC54" s="63"/>
      <c r="BD54" s="63"/>
      <c r="BE54" s="63"/>
      <c r="BF54" s="63"/>
      <c r="BG54" s="3"/>
      <c r="BH54" s="3"/>
      <c r="BI54" s="3"/>
      <c r="BJ54" s="3"/>
      <c r="BK54" s="3"/>
      <c r="BL54" s="3"/>
      <c r="BM54" s="3"/>
      <c r="BN54" s="3"/>
    </row>
    <row r="55" spans="1:66" ht="12.75" x14ac:dyDescent="0.2">
      <c r="A55" s="64" t="s">
        <v>2</v>
      </c>
      <c r="B55" s="6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3"/>
      <c r="AG55" s="3"/>
      <c r="AH55" s="6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63"/>
      <c r="BC55" s="63"/>
      <c r="BD55" s="63"/>
      <c r="BE55" s="63"/>
      <c r="BF55" s="63"/>
      <c r="BG55" s="3"/>
      <c r="BH55" s="3"/>
      <c r="BI55" s="3"/>
      <c r="BJ55" s="3"/>
      <c r="BK55" s="3"/>
      <c r="BL55" s="3"/>
      <c r="BM55" s="3"/>
      <c r="BN55" s="3"/>
    </row>
    <row r="56" spans="1:66" ht="12.75" x14ac:dyDescent="0.2">
      <c r="A56" s="64" t="s">
        <v>2</v>
      </c>
      <c r="B56" s="6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3"/>
      <c r="AG56" s="3"/>
      <c r="AH56" s="6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63"/>
      <c r="BC56" s="63"/>
      <c r="BD56" s="63"/>
      <c r="BE56" s="63"/>
      <c r="BF56" s="63"/>
      <c r="BG56" s="3"/>
      <c r="BH56" s="3"/>
      <c r="BI56" s="3"/>
      <c r="BJ56" s="3"/>
      <c r="BK56" s="3"/>
      <c r="BL56" s="3"/>
      <c r="BM56" s="3"/>
      <c r="BN56" s="3"/>
    </row>
    <row r="57" spans="1:66" ht="12.75" x14ac:dyDescent="0.2">
      <c r="A57" s="64" t="s">
        <v>2</v>
      </c>
      <c r="B57" s="6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3"/>
      <c r="AG57" s="3"/>
      <c r="AH57" s="6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63"/>
      <c r="BC57" s="63"/>
      <c r="BD57" s="63"/>
      <c r="BE57" s="63"/>
      <c r="BF57" s="63"/>
      <c r="BG57" s="3"/>
      <c r="BH57" s="3"/>
      <c r="BI57" s="3"/>
      <c r="BJ57" s="3"/>
      <c r="BK57" s="3"/>
      <c r="BL57" s="3"/>
      <c r="BM57" s="3"/>
      <c r="BN57" s="3"/>
    </row>
    <row r="58" spans="1:66" ht="12.75" x14ac:dyDescent="0.2">
      <c r="A58" s="64" t="s">
        <v>2</v>
      </c>
      <c r="B58" s="6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3"/>
      <c r="AG58" s="3"/>
      <c r="AH58" s="6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63"/>
      <c r="BC58" s="63"/>
      <c r="BD58" s="63"/>
      <c r="BE58" s="63"/>
      <c r="BF58" s="63"/>
      <c r="BG58" s="3"/>
      <c r="BH58" s="3"/>
      <c r="BI58" s="3"/>
      <c r="BJ58" s="3"/>
      <c r="BK58" s="3"/>
      <c r="BL58" s="3"/>
      <c r="BM58" s="3"/>
      <c r="BN58" s="3"/>
    </row>
    <row r="59" spans="1:66" ht="12.75" x14ac:dyDescent="0.2">
      <c r="A59" s="64" t="s">
        <v>2</v>
      </c>
      <c r="B59" s="6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3"/>
      <c r="AG59" s="3"/>
      <c r="AH59" s="6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63"/>
      <c r="BC59" s="63"/>
      <c r="BD59" s="63"/>
      <c r="BE59" s="63"/>
      <c r="BF59" s="63"/>
      <c r="BG59" s="3"/>
      <c r="BH59" s="3"/>
      <c r="BI59" s="3"/>
      <c r="BJ59" s="3"/>
      <c r="BK59" s="3"/>
      <c r="BL59" s="3"/>
      <c r="BM59" s="3"/>
      <c r="BN59" s="3"/>
    </row>
    <row r="60" spans="1:66" ht="12.75" x14ac:dyDescent="0.2">
      <c r="A60" s="64" t="s">
        <v>2</v>
      </c>
      <c r="B60" s="6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3"/>
      <c r="AG60" s="3"/>
      <c r="AH60" s="6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63"/>
      <c r="BC60" s="63"/>
      <c r="BD60" s="63"/>
      <c r="BE60" s="63"/>
      <c r="BF60" s="63"/>
      <c r="BG60" s="3"/>
      <c r="BH60" s="3"/>
      <c r="BI60" s="3"/>
      <c r="BJ60" s="3"/>
      <c r="BK60" s="3"/>
      <c r="BL60" s="3"/>
      <c r="BM60" s="3"/>
      <c r="BN60" s="3"/>
    </row>
    <row r="61" spans="1:66" ht="12.75" x14ac:dyDescent="0.2">
      <c r="A61" s="64" t="s">
        <v>2</v>
      </c>
      <c r="B61" s="6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3"/>
      <c r="AG61" s="3"/>
      <c r="AH61" s="6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63"/>
      <c r="BC61" s="63"/>
      <c r="BD61" s="63"/>
      <c r="BE61" s="63"/>
      <c r="BF61" s="63"/>
      <c r="BG61" s="3"/>
      <c r="BH61" s="3"/>
      <c r="BI61" s="3"/>
      <c r="BJ61" s="3"/>
      <c r="BK61" s="3"/>
      <c r="BL61" s="3"/>
      <c r="BM61" s="3"/>
      <c r="BN61" s="3"/>
    </row>
    <row r="62" spans="1:66" ht="12.75" x14ac:dyDescent="0.2">
      <c r="A62" s="64" t="s">
        <v>2</v>
      </c>
      <c r="B62" s="6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3"/>
      <c r="AG62" s="3"/>
      <c r="AH62" s="6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63"/>
      <c r="BC62" s="63"/>
      <c r="BD62" s="63"/>
      <c r="BE62" s="63"/>
      <c r="BF62" s="63"/>
      <c r="BG62" s="3"/>
      <c r="BH62" s="3"/>
      <c r="BI62" s="3"/>
      <c r="BJ62" s="3"/>
      <c r="BK62" s="3"/>
      <c r="BL62" s="3"/>
      <c r="BM62" s="3"/>
      <c r="BN62" s="3"/>
    </row>
    <row r="63" spans="1:66" ht="12.75" x14ac:dyDescent="0.2">
      <c r="A63" s="64" t="s">
        <v>2</v>
      </c>
      <c r="B63" s="6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3"/>
      <c r="AG63" s="3"/>
      <c r="AH63" s="6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63"/>
      <c r="BC63" s="63"/>
      <c r="BD63" s="63"/>
      <c r="BE63" s="63"/>
      <c r="BF63" s="63"/>
      <c r="BG63" s="3"/>
      <c r="BH63" s="3"/>
      <c r="BI63" s="3"/>
      <c r="BJ63" s="3"/>
      <c r="BK63" s="3"/>
      <c r="BL63" s="3"/>
      <c r="BM63" s="3"/>
      <c r="BN63" s="3"/>
    </row>
    <row r="64" spans="1:66" ht="12.75" x14ac:dyDescent="0.2">
      <c r="A64" s="64" t="s">
        <v>2</v>
      </c>
      <c r="B64" s="6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3"/>
      <c r="AG64" s="3"/>
      <c r="AH64" s="6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63"/>
      <c r="BC64" s="63"/>
      <c r="BD64" s="63"/>
      <c r="BE64" s="63"/>
      <c r="BF64" s="63"/>
      <c r="BG64" s="3"/>
      <c r="BH64" s="3"/>
      <c r="BI64" s="3"/>
      <c r="BJ64" s="3"/>
      <c r="BK64" s="3"/>
      <c r="BL64" s="3"/>
      <c r="BM64" s="3"/>
      <c r="BN64" s="3"/>
    </row>
    <row r="65" spans="1:66" ht="12.75" x14ac:dyDescent="0.2">
      <c r="A65" s="64" t="s">
        <v>2</v>
      </c>
      <c r="B65" s="6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3"/>
      <c r="AG65" s="3"/>
      <c r="AH65" s="6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63"/>
      <c r="BC65" s="63"/>
      <c r="BD65" s="63"/>
      <c r="BE65" s="63"/>
      <c r="BF65" s="63"/>
      <c r="BG65" s="3"/>
      <c r="BH65" s="3"/>
      <c r="BI65" s="3"/>
      <c r="BJ65" s="3"/>
      <c r="BK65" s="3"/>
      <c r="BL65" s="3"/>
      <c r="BM65" s="3"/>
      <c r="BN65" s="3"/>
    </row>
    <row r="66" spans="1:66" ht="12.75" x14ac:dyDescent="0.2">
      <c r="A66" s="64" t="s">
        <v>2</v>
      </c>
      <c r="B66" s="6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3"/>
      <c r="AG66" s="3"/>
      <c r="AH66" s="6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63"/>
      <c r="BC66" s="63"/>
      <c r="BD66" s="63"/>
      <c r="BE66" s="63"/>
      <c r="BF66" s="63"/>
      <c r="BG66" s="3"/>
      <c r="BH66" s="3"/>
      <c r="BI66" s="3"/>
      <c r="BJ66" s="3"/>
      <c r="BK66" s="3"/>
      <c r="BL66" s="3"/>
      <c r="BM66" s="3"/>
      <c r="BN66" s="3"/>
    </row>
    <row r="67" spans="1:66" ht="12.75" x14ac:dyDescent="0.2">
      <c r="A67" s="64" t="s">
        <v>2</v>
      </c>
      <c r="B67" s="6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3"/>
      <c r="AG67" s="3"/>
      <c r="AH67" s="8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82"/>
      <c r="BC67" s="82"/>
      <c r="BD67" s="82"/>
      <c r="BE67" s="82"/>
      <c r="BF67" s="82"/>
      <c r="BG67" s="4"/>
      <c r="BH67" s="4"/>
      <c r="BI67" s="4"/>
      <c r="BJ67" s="4"/>
      <c r="BK67" s="3"/>
      <c r="BL67" s="3"/>
      <c r="BM67" s="3"/>
      <c r="BN67" s="3"/>
    </row>
    <row r="68" spans="1:66" ht="12.75" x14ac:dyDescent="0.2">
      <c r="A68" s="64" t="s">
        <v>2</v>
      </c>
      <c r="B68" s="65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3"/>
      <c r="AG68" s="3"/>
      <c r="AH68" s="8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82"/>
      <c r="BC68" s="82"/>
      <c r="BD68" s="82"/>
      <c r="BE68" s="82"/>
      <c r="BF68" s="82"/>
      <c r="BG68" s="4"/>
      <c r="BH68" s="4"/>
      <c r="BI68" s="4"/>
      <c r="BJ68" s="4"/>
      <c r="BK68" s="3"/>
      <c r="BL68" s="3"/>
      <c r="BM68" s="3"/>
      <c r="BN68" s="3"/>
    </row>
    <row r="69" spans="1:66" ht="12.75" x14ac:dyDescent="0.2">
      <c r="A69" s="64" t="s">
        <v>2</v>
      </c>
      <c r="B69" s="6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3"/>
      <c r="AG69" s="3"/>
      <c r="AH69" s="8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82"/>
      <c r="BC69" s="82"/>
      <c r="BD69" s="82"/>
      <c r="BE69" s="82"/>
      <c r="BF69" s="82"/>
      <c r="BG69" s="4"/>
      <c r="BH69" s="4"/>
      <c r="BI69" s="4"/>
      <c r="BJ69" s="4"/>
      <c r="BK69" s="3"/>
      <c r="BL69" s="3"/>
      <c r="BM69" s="3"/>
      <c r="BN69" s="3"/>
    </row>
    <row r="70" spans="1:66" ht="12.75" x14ac:dyDescent="0.2">
      <c r="A70" s="64" t="s">
        <v>2</v>
      </c>
      <c r="B70" s="65"/>
      <c r="C70" s="4"/>
      <c r="D70" s="4"/>
      <c r="E70" s="4"/>
      <c r="F70" s="4"/>
      <c r="G70" s="4"/>
      <c r="H70" s="3"/>
      <c r="I70" s="3"/>
      <c r="J70" s="3"/>
      <c r="K70" s="3"/>
      <c r="L70" s="3"/>
      <c r="M70" s="3"/>
      <c r="N70" s="3"/>
      <c r="O70" s="4"/>
      <c r="P70" s="4"/>
      <c r="Q70" s="4"/>
      <c r="R70" s="4"/>
      <c r="S70" s="4"/>
      <c r="T70" s="4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4"/>
      <c r="AG70" s="3"/>
      <c r="AH70" s="82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82"/>
      <c r="BC70" s="82"/>
      <c r="BD70" s="82"/>
      <c r="BE70" s="82"/>
      <c r="BF70" s="82"/>
      <c r="BG70" s="4"/>
      <c r="BH70" s="4"/>
      <c r="BI70" s="4"/>
      <c r="BJ70" s="4"/>
    </row>
    <row r="71" spans="1:66" ht="12.75" x14ac:dyDescent="0.2">
      <c r="A71" s="64" t="s">
        <v>2</v>
      </c>
      <c r="B71" s="65"/>
      <c r="C71" s="4"/>
      <c r="D71" s="4"/>
      <c r="E71" s="4"/>
      <c r="F71" s="4"/>
      <c r="G71" s="4"/>
      <c r="H71" s="3"/>
      <c r="I71" s="3"/>
      <c r="J71" s="3"/>
      <c r="K71" s="3"/>
      <c r="L71" s="3"/>
      <c r="M71" s="3"/>
      <c r="N71" s="3"/>
      <c r="O71" s="4"/>
      <c r="P71" s="4"/>
      <c r="Q71" s="4"/>
      <c r="R71" s="4"/>
      <c r="S71" s="4"/>
      <c r="T71" s="4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4"/>
      <c r="AG71" s="3"/>
      <c r="AH71" s="82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82"/>
      <c r="BC71" s="82"/>
      <c r="BD71" s="82"/>
      <c r="BE71" s="82"/>
      <c r="BF71" s="82"/>
      <c r="BG71" s="4"/>
      <c r="BH71" s="4"/>
      <c r="BI71" s="4"/>
      <c r="BJ71" s="4"/>
    </row>
    <row r="72" spans="1:66" ht="12.75" x14ac:dyDescent="0.2">
      <c r="A72" s="64" t="s">
        <v>2</v>
      </c>
      <c r="B72" s="65"/>
      <c r="C72" s="4"/>
      <c r="D72" s="4"/>
      <c r="E72" s="4"/>
      <c r="F72" s="4"/>
      <c r="G72" s="4"/>
      <c r="H72" s="3"/>
      <c r="I72" s="3"/>
      <c r="J72" s="3"/>
      <c r="K72" s="3"/>
      <c r="L72" s="3"/>
      <c r="M72" s="3"/>
      <c r="N72" s="3"/>
      <c r="O72" s="4"/>
      <c r="P72" s="4"/>
      <c r="Q72" s="4"/>
      <c r="R72" s="4"/>
      <c r="S72" s="4"/>
      <c r="T72" s="4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4"/>
      <c r="AG72" s="3"/>
      <c r="AH72" s="82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82"/>
      <c r="BC72" s="82"/>
      <c r="BD72" s="82"/>
      <c r="BE72" s="82"/>
      <c r="BF72" s="82"/>
      <c r="BG72" s="4"/>
      <c r="BH72" s="4"/>
      <c r="BI72" s="4"/>
      <c r="BJ72" s="4"/>
    </row>
    <row r="73" spans="1:66" ht="12.75" x14ac:dyDescent="0.2">
      <c r="A73" s="64" t="s">
        <v>2</v>
      </c>
      <c r="B73" s="65"/>
      <c r="C73" s="4"/>
      <c r="D73" s="4"/>
      <c r="E73" s="4"/>
      <c r="F73" s="4"/>
      <c r="G73" s="4"/>
      <c r="H73" s="3"/>
      <c r="I73" s="3"/>
      <c r="J73" s="3"/>
      <c r="K73" s="3"/>
      <c r="L73" s="3"/>
      <c r="M73" s="3"/>
      <c r="N73" s="3"/>
      <c r="O73" s="4"/>
      <c r="P73" s="4"/>
      <c r="Q73" s="4"/>
      <c r="R73" s="4"/>
      <c r="S73" s="4"/>
      <c r="T73" s="4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4"/>
      <c r="AG73" s="3"/>
      <c r="AH73" s="82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82"/>
      <c r="BC73" s="82"/>
      <c r="BD73" s="82"/>
      <c r="BE73" s="82"/>
      <c r="BF73" s="82"/>
      <c r="BG73" s="4"/>
      <c r="BH73" s="4"/>
      <c r="BI73" s="4"/>
      <c r="BJ73" s="4"/>
    </row>
    <row r="74" spans="1:66" ht="12.75" x14ac:dyDescent="0.2">
      <c r="A74" s="64" t="s">
        <v>2</v>
      </c>
      <c r="B74" s="65"/>
      <c r="C74" s="4"/>
      <c r="D74" s="4"/>
      <c r="E74" s="4"/>
      <c r="F74" s="4"/>
      <c r="G74" s="4"/>
      <c r="H74" s="3"/>
      <c r="I74" s="3"/>
      <c r="J74" s="3"/>
      <c r="K74" s="3"/>
      <c r="L74" s="3"/>
      <c r="M74" s="3"/>
      <c r="N74" s="3"/>
      <c r="O74" s="4"/>
      <c r="P74" s="4"/>
      <c r="Q74" s="4"/>
      <c r="R74" s="4"/>
      <c r="S74" s="4"/>
      <c r="T74" s="4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4"/>
      <c r="AG74" s="3"/>
      <c r="AH74" s="82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82"/>
      <c r="BC74" s="82"/>
      <c r="BD74" s="82"/>
      <c r="BE74" s="82"/>
      <c r="BF74" s="82"/>
      <c r="BG74" s="4"/>
      <c r="BH74" s="4"/>
      <c r="BI74" s="4"/>
      <c r="BJ74" s="4"/>
    </row>
    <row r="75" spans="1:66" ht="12.75" x14ac:dyDescent="0.2">
      <c r="A75" s="64" t="s">
        <v>2</v>
      </c>
      <c r="B75" s="65"/>
      <c r="C75" s="4"/>
      <c r="D75" s="4"/>
      <c r="E75" s="4"/>
      <c r="F75" s="4"/>
      <c r="G75" s="4"/>
      <c r="H75" s="3"/>
      <c r="I75" s="3"/>
      <c r="J75" s="3"/>
      <c r="K75" s="3"/>
      <c r="L75" s="3"/>
      <c r="M75" s="3"/>
      <c r="N75" s="3"/>
      <c r="O75" s="4"/>
      <c r="P75" s="4"/>
      <c r="Q75" s="4"/>
      <c r="R75" s="4"/>
      <c r="S75" s="4"/>
      <c r="T75" s="4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4"/>
      <c r="AG75" s="3"/>
      <c r="AH75" s="82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82"/>
      <c r="BC75" s="82"/>
      <c r="BD75" s="82"/>
      <c r="BE75" s="82"/>
      <c r="BF75" s="82"/>
      <c r="BG75" s="4"/>
      <c r="BH75" s="4"/>
      <c r="BI75" s="4"/>
      <c r="BJ75" s="4"/>
    </row>
    <row r="76" spans="1:66" ht="12.75" x14ac:dyDescent="0.2">
      <c r="A76" s="64" t="s">
        <v>2</v>
      </c>
      <c r="B76" s="65"/>
      <c r="C76" s="4"/>
      <c r="D76" s="4"/>
      <c r="E76" s="4"/>
      <c r="F76" s="4"/>
      <c r="G76" s="4"/>
      <c r="H76" s="3"/>
      <c r="I76" s="3"/>
      <c r="J76" s="3"/>
      <c r="K76" s="3"/>
      <c r="L76" s="3"/>
      <c r="M76" s="3"/>
      <c r="N76" s="3"/>
      <c r="O76" s="4"/>
      <c r="P76" s="4"/>
      <c r="Q76" s="4"/>
      <c r="R76" s="4"/>
      <c r="S76" s="4"/>
      <c r="T76" s="4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4"/>
      <c r="AG76" s="3"/>
      <c r="AH76" s="82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82"/>
      <c r="BC76" s="82"/>
      <c r="BD76" s="82"/>
      <c r="BE76" s="82"/>
      <c r="BF76" s="82"/>
      <c r="BG76" s="4"/>
      <c r="BH76" s="4"/>
      <c r="BI76" s="4"/>
      <c r="BJ76" s="4"/>
    </row>
    <row r="77" spans="1:66" ht="12.75" x14ac:dyDescent="0.2">
      <c r="A77" s="64" t="s">
        <v>2</v>
      </c>
      <c r="B77" s="65"/>
      <c r="C77" s="4"/>
      <c r="D77" s="4"/>
      <c r="E77" s="4"/>
      <c r="F77" s="4"/>
      <c r="G77" s="4"/>
      <c r="H77" s="3"/>
      <c r="I77" s="3"/>
      <c r="J77" s="3"/>
      <c r="K77" s="3"/>
      <c r="L77" s="3"/>
      <c r="M77" s="3"/>
      <c r="N77" s="3"/>
      <c r="O77" s="4"/>
      <c r="P77" s="4"/>
      <c r="Q77" s="4"/>
      <c r="R77" s="4"/>
      <c r="S77" s="4"/>
      <c r="T77" s="4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4"/>
      <c r="AG77" s="3"/>
      <c r="AH77" s="82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82"/>
      <c r="BC77" s="82"/>
      <c r="BD77" s="82"/>
      <c r="BE77" s="82"/>
      <c r="BF77" s="82"/>
      <c r="BG77" s="4"/>
      <c r="BH77" s="4"/>
      <c r="BI77" s="4"/>
      <c r="BJ77" s="4"/>
    </row>
    <row r="78" spans="1:66" ht="12.75" x14ac:dyDescent="0.2">
      <c r="A78" s="64" t="s">
        <v>2</v>
      </c>
      <c r="B78" s="65"/>
      <c r="C78" s="4"/>
      <c r="D78" s="4"/>
      <c r="E78" s="4"/>
      <c r="F78" s="4"/>
      <c r="G78" s="4"/>
      <c r="H78" s="3"/>
      <c r="I78" s="3"/>
      <c r="J78" s="3"/>
      <c r="K78" s="3"/>
      <c r="L78" s="3"/>
      <c r="M78" s="3"/>
      <c r="N78" s="3"/>
      <c r="O78" s="4"/>
      <c r="P78" s="4"/>
      <c r="Q78" s="4"/>
      <c r="R78" s="4"/>
      <c r="S78" s="4"/>
      <c r="T78" s="4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4"/>
      <c r="AG78" s="3"/>
      <c r="AH78" s="82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82"/>
      <c r="BC78" s="82"/>
      <c r="BD78" s="82"/>
      <c r="BE78" s="82"/>
      <c r="BF78" s="82"/>
      <c r="BG78" s="4"/>
      <c r="BH78" s="4"/>
      <c r="BI78" s="4"/>
      <c r="BJ78" s="4"/>
    </row>
    <row r="79" spans="1:66" ht="12.75" x14ac:dyDescent="0.2">
      <c r="A79" s="64" t="s">
        <v>2</v>
      </c>
      <c r="B79" s="65"/>
      <c r="C79" s="4"/>
      <c r="D79" s="4"/>
      <c r="E79" s="4"/>
      <c r="F79" s="4"/>
      <c r="G79" s="4"/>
      <c r="H79" s="3"/>
      <c r="I79" s="3"/>
      <c r="J79" s="3"/>
      <c r="K79" s="3"/>
      <c r="L79" s="3"/>
      <c r="M79" s="3"/>
      <c r="N79" s="3"/>
      <c r="O79" s="4"/>
      <c r="P79" s="4"/>
      <c r="Q79" s="4"/>
      <c r="R79" s="4"/>
      <c r="S79" s="4"/>
      <c r="T79" s="4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4"/>
      <c r="AG79" s="3"/>
      <c r="AH79" s="82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82"/>
      <c r="BC79" s="82"/>
      <c r="BD79" s="82"/>
      <c r="BE79" s="82"/>
      <c r="BF79" s="82"/>
      <c r="BG79" s="4"/>
      <c r="BH79" s="4"/>
      <c r="BI79" s="4"/>
      <c r="BJ79" s="4"/>
    </row>
    <row r="80" spans="1:66" ht="12.75" x14ac:dyDescent="0.2">
      <c r="A80" s="64" t="s">
        <v>2</v>
      </c>
      <c r="B80" s="65"/>
      <c r="C80" s="4"/>
      <c r="D80" s="4"/>
      <c r="E80" s="4"/>
      <c r="F80" s="4"/>
      <c r="G80" s="4"/>
      <c r="H80" s="3"/>
      <c r="I80" s="3"/>
      <c r="J80" s="3"/>
      <c r="K80" s="3"/>
      <c r="L80" s="3"/>
      <c r="M80" s="3"/>
      <c r="N80" s="3"/>
      <c r="O80" s="4"/>
      <c r="P80" s="4"/>
      <c r="Q80" s="4"/>
      <c r="R80" s="4"/>
      <c r="S80" s="4"/>
      <c r="T80" s="4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4"/>
      <c r="AG80" s="3"/>
      <c r="AH80" s="82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82"/>
      <c r="BC80" s="82"/>
      <c r="BD80" s="82"/>
      <c r="BE80" s="82"/>
      <c r="BF80" s="82"/>
      <c r="BG80" s="4"/>
      <c r="BH80" s="4"/>
      <c r="BI80" s="4"/>
      <c r="BJ80" s="4"/>
    </row>
    <row r="81" spans="1:62" ht="12.75" x14ac:dyDescent="0.2">
      <c r="A81" s="64" t="s">
        <v>2</v>
      </c>
      <c r="B81" s="65"/>
      <c r="C81" s="4"/>
      <c r="D81" s="4"/>
      <c r="E81" s="4"/>
      <c r="F81" s="4"/>
      <c r="G81" s="4"/>
      <c r="H81" s="3"/>
      <c r="I81" s="3"/>
      <c r="J81" s="3"/>
      <c r="K81" s="3"/>
      <c r="L81" s="3"/>
      <c r="M81" s="3"/>
      <c r="N81" s="3"/>
      <c r="O81" s="4"/>
      <c r="P81" s="4"/>
      <c r="Q81" s="4"/>
      <c r="R81" s="4"/>
      <c r="S81" s="4"/>
      <c r="T81" s="4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4"/>
      <c r="AG81" s="3"/>
      <c r="AH81" s="82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82"/>
      <c r="BC81" s="82"/>
      <c r="BD81" s="82"/>
      <c r="BE81" s="82"/>
      <c r="BF81" s="82"/>
      <c r="BG81" s="4"/>
      <c r="BH81" s="4"/>
      <c r="BI81" s="4"/>
      <c r="BJ81" s="4"/>
    </row>
    <row r="82" spans="1:62" ht="12.75" x14ac:dyDescent="0.2">
      <c r="A82" s="64" t="s">
        <v>2</v>
      </c>
      <c r="B82" s="65"/>
      <c r="C82" s="4"/>
      <c r="D82" s="4"/>
      <c r="E82" s="4"/>
      <c r="F82" s="4"/>
      <c r="G82" s="4"/>
      <c r="H82" s="3"/>
      <c r="I82" s="3"/>
      <c r="J82" s="3"/>
      <c r="K82" s="3"/>
      <c r="L82" s="3"/>
      <c r="M82" s="3"/>
      <c r="N82" s="3"/>
      <c r="O82" s="4"/>
      <c r="P82" s="4"/>
      <c r="Q82" s="4"/>
      <c r="R82" s="4"/>
      <c r="S82" s="4"/>
      <c r="T82" s="4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4"/>
      <c r="AG82" s="3"/>
      <c r="AH82" s="82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82"/>
      <c r="BC82" s="82"/>
      <c r="BD82" s="82"/>
      <c r="BE82" s="82"/>
      <c r="BF82" s="82"/>
      <c r="BG82" s="4"/>
      <c r="BH82" s="4"/>
      <c r="BI82" s="4"/>
      <c r="BJ82" s="4"/>
    </row>
    <row r="83" spans="1:62" ht="12.75" x14ac:dyDescent="0.2">
      <c r="A83" s="64" t="s">
        <v>2</v>
      </c>
      <c r="B83" s="65"/>
      <c r="C83" s="4"/>
      <c r="D83" s="4"/>
      <c r="E83" s="4"/>
      <c r="F83" s="4"/>
      <c r="G83" s="4"/>
      <c r="H83" s="3"/>
      <c r="I83" s="3"/>
      <c r="J83" s="3"/>
      <c r="K83" s="3"/>
      <c r="L83" s="3"/>
      <c r="M83" s="3"/>
      <c r="N83" s="3"/>
      <c r="O83" s="4"/>
      <c r="P83" s="4"/>
      <c r="Q83" s="4"/>
      <c r="R83" s="4"/>
      <c r="S83" s="4"/>
      <c r="T83" s="4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4"/>
      <c r="AG83" s="3"/>
      <c r="AH83" s="82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82"/>
      <c r="BC83" s="82"/>
      <c r="BD83" s="82"/>
      <c r="BE83" s="82"/>
      <c r="BF83" s="82"/>
      <c r="BG83" s="4"/>
      <c r="BH83" s="4"/>
      <c r="BI83" s="4"/>
      <c r="BJ83" s="4"/>
    </row>
    <row r="84" spans="1:62" ht="12.75" x14ac:dyDescent="0.2">
      <c r="A84" s="64" t="s">
        <v>2</v>
      </c>
      <c r="B84" s="65"/>
      <c r="C84" s="4"/>
      <c r="D84" s="4"/>
      <c r="E84" s="4"/>
      <c r="F84" s="4"/>
      <c r="G84" s="4"/>
      <c r="H84" s="3"/>
      <c r="I84" s="3"/>
      <c r="J84" s="3"/>
      <c r="K84" s="3"/>
      <c r="L84" s="3"/>
      <c r="M84" s="3"/>
      <c r="N84" s="3"/>
      <c r="O84" s="4"/>
      <c r="P84" s="4"/>
      <c r="Q84" s="4"/>
      <c r="R84" s="4"/>
      <c r="S84" s="4"/>
      <c r="T84" s="4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4"/>
      <c r="AG84" s="3"/>
      <c r="AH84" s="82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82"/>
      <c r="BC84" s="82"/>
      <c r="BD84" s="82"/>
      <c r="BE84" s="82"/>
      <c r="BF84" s="82"/>
      <c r="BG84" s="4"/>
      <c r="BH84" s="4"/>
      <c r="BI84" s="4"/>
      <c r="BJ84" s="4"/>
    </row>
    <row r="85" spans="1:62" ht="12.75" x14ac:dyDescent="0.2">
      <c r="A85" s="64" t="s">
        <v>2</v>
      </c>
      <c r="B85" s="65"/>
      <c r="C85" s="4"/>
      <c r="D85" s="4"/>
      <c r="E85" s="4"/>
      <c r="F85" s="4"/>
      <c r="G85" s="4"/>
      <c r="H85" s="3"/>
      <c r="I85" s="3"/>
      <c r="J85" s="3"/>
      <c r="K85" s="3"/>
      <c r="L85" s="3"/>
      <c r="M85" s="3"/>
      <c r="N85" s="3"/>
      <c r="O85" s="4"/>
      <c r="P85" s="4"/>
      <c r="Q85" s="4"/>
      <c r="R85" s="4"/>
      <c r="S85" s="4"/>
      <c r="T85" s="4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4"/>
      <c r="AG85" s="3"/>
      <c r="AH85" s="82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82"/>
      <c r="BC85" s="82"/>
      <c r="BD85" s="82"/>
      <c r="BE85" s="82"/>
      <c r="BF85" s="82"/>
      <c r="BG85" s="4"/>
      <c r="BH85" s="4"/>
      <c r="BI85" s="4"/>
      <c r="BJ85" s="4"/>
    </row>
    <row r="86" spans="1:62" ht="12.75" x14ac:dyDescent="0.2">
      <c r="A86" s="64" t="s">
        <v>2</v>
      </c>
      <c r="B86" s="65"/>
      <c r="C86" s="4"/>
      <c r="D86" s="4"/>
      <c r="E86" s="4"/>
      <c r="F86" s="4"/>
      <c r="G86" s="4"/>
      <c r="H86" s="3"/>
      <c r="I86" s="3"/>
      <c r="J86" s="3"/>
      <c r="K86" s="3"/>
      <c r="L86" s="3"/>
      <c r="M86" s="3"/>
      <c r="N86" s="3"/>
      <c r="O86" s="4"/>
      <c r="P86" s="4"/>
      <c r="Q86" s="4"/>
      <c r="R86" s="4"/>
      <c r="S86" s="4"/>
      <c r="T86" s="4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4"/>
      <c r="AG86" s="3"/>
      <c r="AH86" s="82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82"/>
      <c r="BC86" s="82"/>
      <c r="BD86" s="82"/>
      <c r="BE86" s="82"/>
      <c r="BF86" s="82"/>
      <c r="BG86" s="4"/>
      <c r="BH86" s="4"/>
      <c r="BI86" s="4"/>
      <c r="BJ86" s="4"/>
    </row>
    <row r="87" spans="1:62" ht="12.75" x14ac:dyDescent="0.2">
      <c r="A87" s="64" t="s">
        <v>2</v>
      </c>
      <c r="B87" s="65"/>
      <c r="C87" s="4"/>
      <c r="D87" s="4"/>
      <c r="E87" s="4"/>
      <c r="F87" s="4"/>
      <c r="G87" s="4"/>
      <c r="H87" s="3"/>
      <c r="I87" s="3"/>
      <c r="J87" s="3"/>
      <c r="K87" s="3"/>
      <c r="L87" s="3"/>
      <c r="M87" s="3"/>
      <c r="N87" s="3"/>
      <c r="O87" s="4"/>
      <c r="P87" s="4"/>
      <c r="Q87" s="4"/>
      <c r="R87" s="4"/>
      <c r="S87" s="4"/>
      <c r="T87" s="4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4"/>
      <c r="AG87" s="3"/>
      <c r="AH87" s="82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82"/>
      <c r="BC87" s="82"/>
      <c r="BD87" s="82"/>
      <c r="BE87" s="82"/>
      <c r="BF87" s="82"/>
      <c r="BG87" s="4"/>
      <c r="BH87" s="4"/>
      <c r="BI87" s="4"/>
      <c r="BJ87" s="4"/>
    </row>
    <row r="88" spans="1:62" ht="12.75" x14ac:dyDescent="0.2">
      <c r="A88" s="64" t="s">
        <v>2</v>
      </c>
      <c r="B88" s="65"/>
      <c r="C88" s="4"/>
      <c r="D88" s="4"/>
      <c r="E88" s="4"/>
      <c r="F88" s="4"/>
      <c r="G88" s="4"/>
      <c r="H88" s="3"/>
      <c r="I88" s="3"/>
      <c r="J88" s="3"/>
      <c r="K88" s="3"/>
      <c r="L88" s="3"/>
      <c r="M88" s="3"/>
      <c r="N88" s="3"/>
      <c r="O88" s="4"/>
      <c r="P88" s="4"/>
      <c r="Q88" s="4"/>
      <c r="R88" s="4"/>
      <c r="S88" s="4"/>
      <c r="T88" s="4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4"/>
      <c r="AG88" s="3"/>
      <c r="AH88" s="82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82"/>
      <c r="BC88" s="82"/>
      <c r="BD88" s="82"/>
      <c r="BE88" s="82"/>
      <c r="BF88" s="82"/>
      <c r="BG88" s="4"/>
      <c r="BH88" s="4"/>
      <c r="BI88" s="4"/>
      <c r="BJ88" s="4"/>
    </row>
    <row r="89" spans="1:62" ht="12.75" x14ac:dyDescent="0.2">
      <c r="A89" s="64" t="s">
        <v>2</v>
      </c>
      <c r="B89" s="65"/>
      <c r="C89" s="4"/>
      <c r="D89" s="4"/>
      <c r="E89" s="4"/>
      <c r="F89" s="4"/>
      <c r="G89" s="4"/>
      <c r="H89" s="3"/>
      <c r="I89" s="3"/>
      <c r="J89" s="3"/>
      <c r="K89" s="3"/>
      <c r="L89" s="3"/>
      <c r="M89" s="3"/>
      <c r="N89" s="3"/>
      <c r="O89" s="4"/>
      <c r="P89" s="4"/>
      <c r="Q89" s="4"/>
      <c r="R89" s="4"/>
      <c r="S89" s="4"/>
      <c r="T89" s="4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4"/>
      <c r="AG89" s="3"/>
      <c r="AH89" s="82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82"/>
      <c r="BC89" s="82"/>
      <c r="BD89" s="82"/>
      <c r="BE89" s="82"/>
      <c r="BF89" s="82"/>
      <c r="BG89" s="4"/>
      <c r="BH89" s="4"/>
      <c r="BI89" s="4"/>
      <c r="BJ89" s="4"/>
    </row>
    <row r="90" spans="1:62" ht="12.75" x14ac:dyDescent="0.2">
      <c r="A90" s="64" t="s">
        <v>2</v>
      </c>
      <c r="B90" s="65"/>
      <c r="C90" s="4"/>
      <c r="D90" s="4"/>
      <c r="E90" s="4"/>
      <c r="F90" s="4"/>
      <c r="G90" s="4"/>
      <c r="H90" s="3"/>
      <c r="I90" s="3"/>
      <c r="J90" s="3"/>
      <c r="K90" s="3"/>
      <c r="L90" s="3"/>
      <c r="M90" s="3"/>
      <c r="N90" s="3"/>
      <c r="O90" s="4"/>
      <c r="P90" s="4"/>
      <c r="Q90" s="4"/>
      <c r="R90" s="4"/>
      <c r="S90" s="4"/>
      <c r="T90" s="4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4"/>
      <c r="AG90" s="3"/>
      <c r="AH90" s="82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82"/>
      <c r="BC90" s="82"/>
      <c r="BD90" s="82"/>
      <c r="BE90" s="82"/>
      <c r="BF90" s="82"/>
      <c r="BG90" s="4"/>
      <c r="BH90" s="4"/>
      <c r="BI90" s="4"/>
      <c r="BJ90" s="4"/>
    </row>
    <row r="91" spans="1:62" ht="12.75" x14ac:dyDescent="0.2">
      <c r="A91" s="64" t="s">
        <v>2</v>
      </c>
      <c r="B91" s="65"/>
      <c r="C91" s="4"/>
      <c r="D91" s="4"/>
      <c r="E91" s="4"/>
      <c r="F91" s="4"/>
      <c r="G91" s="4"/>
      <c r="H91" s="3"/>
      <c r="I91" s="3"/>
      <c r="J91" s="3"/>
      <c r="K91" s="3"/>
      <c r="L91" s="3"/>
      <c r="M91" s="3"/>
      <c r="N91" s="3"/>
      <c r="O91" s="4"/>
      <c r="P91" s="4"/>
      <c r="Q91" s="4"/>
      <c r="R91" s="4"/>
      <c r="S91" s="4"/>
      <c r="T91" s="4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4"/>
      <c r="AG91" s="3"/>
      <c r="AH91" s="82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82"/>
      <c r="BC91" s="82"/>
      <c r="BD91" s="82"/>
      <c r="BE91" s="82"/>
      <c r="BF91" s="82"/>
      <c r="BG91" s="4"/>
      <c r="BH91" s="4"/>
      <c r="BI91" s="4"/>
      <c r="BJ91" s="4"/>
    </row>
    <row r="92" spans="1:62" ht="12.75" x14ac:dyDescent="0.2">
      <c r="A92" s="64" t="s">
        <v>2</v>
      </c>
      <c r="B92" s="65"/>
      <c r="C92" s="4"/>
      <c r="D92" s="4"/>
      <c r="E92" s="4"/>
      <c r="F92" s="4"/>
      <c r="G92" s="4"/>
      <c r="H92" s="3"/>
      <c r="I92" s="3"/>
      <c r="J92" s="3"/>
      <c r="K92" s="3"/>
      <c r="L92" s="3"/>
      <c r="M92" s="3"/>
      <c r="N92" s="3"/>
      <c r="O92" s="4"/>
      <c r="P92" s="4"/>
      <c r="Q92" s="4"/>
      <c r="R92" s="4"/>
      <c r="S92" s="4"/>
      <c r="T92" s="4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4"/>
      <c r="AG92" s="3"/>
      <c r="AH92" s="82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82"/>
      <c r="BC92" s="82"/>
      <c r="BD92" s="82"/>
      <c r="BE92" s="82"/>
      <c r="BF92" s="82"/>
      <c r="BG92" s="4"/>
      <c r="BH92" s="4"/>
      <c r="BI92" s="4"/>
      <c r="BJ92" s="4"/>
    </row>
    <row r="93" spans="1:62" ht="12.75" x14ac:dyDescent="0.2">
      <c r="A93" s="64" t="s">
        <v>2</v>
      </c>
      <c r="B93" s="65"/>
      <c r="C93" s="4"/>
      <c r="D93" s="4"/>
      <c r="E93" s="4"/>
      <c r="F93" s="4"/>
      <c r="G93" s="4"/>
      <c r="H93" s="3"/>
      <c r="I93" s="3"/>
      <c r="J93" s="3"/>
      <c r="K93" s="3"/>
      <c r="L93" s="3"/>
      <c r="M93" s="3"/>
      <c r="N93" s="3"/>
      <c r="O93" s="4"/>
      <c r="P93" s="4"/>
      <c r="Q93" s="4"/>
      <c r="R93" s="4"/>
      <c r="S93" s="4"/>
      <c r="T93" s="4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4"/>
      <c r="AG93" s="3"/>
      <c r="AH93" s="82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82"/>
      <c r="BC93" s="82"/>
      <c r="BD93" s="82"/>
      <c r="BE93" s="82"/>
      <c r="BF93" s="82"/>
      <c r="BG93" s="4"/>
      <c r="BH93" s="4"/>
      <c r="BI93" s="4"/>
      <c r="BJ93" s="4"/>
    </row>
    <row r="94" spans="1:62" ht="12.75" x14ac:dyDescent="0.2">
      <c r="A94" s="64" t="s">
        <v>2</v>
      </c>
      <c r="B94" s="65"/>
      <c r="C94" s="4"/>
      <c r="D94" s="4"/>
      <c r="E94" s="4"/>
      <c r="F94" s="4"/>
      <c r="G94" s="4"/>
      <c r="H94" s="3"/>
      <c r="I94" s="3"/>
      <c r="J94" s="3"/>
      <c r="K94" s="3"/>
      <c r="L94" s="3"/>
      <c r="M94" s="3"/>
      <c r="N94" s="3"/>
      <c r="O94" s="4"/>
      <c r="P94" s="4"/>
      <c r="Q94" s="4"/>
      <c r="R94" s="4"/>
      <c r="S94" s="4"/>
      <c r="T94" s="4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4"/>
      <c r="AG94" s="3"/>
      <c r="AH94" s="82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82"/>
      <c r="BC94" s="82"/>
      <c r="BD94" s="82"/>
      <c r="BE94" s="82"/>
      <c r="BF94" s="82"/>
      <c r="BG94" s="4"/>
      <c r="BH94" s="4"/>
      <c r="BI94" s="4"/>
      <c r="BJ94" s="4"/>
    </row>
    <row r="95" spans="1:62" ht="12.75" x14ac:dyDescent="0.2">
      <c r="A95" s="64" t="s">
        <v>2</v>
      </c>
      <c r="B95" s="65"/>
      <c r="C95" s="4"/>
      <c r="D95" s="4"/>
      <c r="E95" s="4"/>
      <c r="F95" s="4"/>
      <c r="G95" s="4"/>
      <c r="H95" s="3"/>
      <c r="I95" s="3"/>
      <c r="J95" s="3"/>
      <c r="K95" s="3"/>
      <c r="L95" s="3"/>
      <c r="M95" s="3"/>
      <c r="N95" s="3"/>
      <c r="O95" s="4"/>
      <c r="P95" s="4"/>
      <c r="Q95" s="4"/>
      <c r="R95" s="4"/>
      <c r="S95" s="4"/>
      <c r="T95" s="4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4"/>
      <c r="AG95" s="3"/>
      <c r="AH95" s="82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82"/>
      <c r="BC95" s="82"/>
      <c r="BD95" s="82"/>
      <c r="BE95" s="82"/>
      <c r="BF95" s="82"/>
      <c r="BG95" s="4"/>
      <c r="BH95" s="4"/>
      <c r="BI95" s="4"/>
      <c r="BJ95" s="4"/>
    </row>
    <row r="96" spans="1:62" ht="12.75" x14ac:dyDescent="0.2">
      <c r="A96" s="64" t="s">
        <v>2</v>
      </c>
      <c r="B96" s="65"/>
      <c r="C96" s="4"/>
      <c r="D96" s="4"/>
      <c r="E96" s="4"/>
      <c r="F96" s="4"/>
      <c r="G96" s="4"/>
      <c r="H96" s="3"/>
      <c r="I96" s="3"/>
      <c r="J96" s="3"/>
      <c r="K96" s="3"/>
      <c r="L96" s="3"/>
      <c r="M96" s="3"/>
      <c r="N96" s="3"/>
      <c r="O96" s="4"/>
      <c r="P96" s="4"/>
      <c r="Q96" s="4"/>
      <c r="R96" s="4"/>
      <c r="S96" s="4"/>
      <c r="T96" s="4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4"/>
      <c r="AG96" s="3"/>
      <c r="AH96" s="82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82"/>
      <c r="BC96" s="82"/>
      <c r="BD96" s="82"/>
      <c r="BE96" s="82"/>
      <c r="BF96" s="82"/>
      <c r="BG96" s="4"/>
      <c r="BH96" s="4"/>
      <c r="BI96" s="4"/>
      <c r="BJ96" s="4"/>
    </row>
    <row r="97" spans="1:62" ht="12.75" x14ac:dyDescent="0.2">
      <c r="A97" s="64" t="s">
        <v>2</v>
      </c>
      <c r="B97" s="65"/>
      <c r="C97" s="4"/>
      <c r="D97" s="4"/>
      <c r="E97" s="4"/>
      <c r="F97" s="4"/>
      <c r="G97" s="4"/>
      <c r="H97" s="3"/>
      <c r="I97" s="3"/>
      <c r="J97" s="3"/>
      <c r="K97" s="3"/>
      <c r="L97" s="3"/>
      <c r="M97" s="3"/>
      <c r="N97" s="3"/>
      <c r="O97" s="4"/>
      <c r="P97" s="4"/>
      <c r="Q97" s="4"/>
      <c r="R97" s="4"/>
      <c r="S97" s="4"/>
      <c r="T97" s="4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4"/>
      <c r="AG97" s="3"/>
      <c r="AH97" s="82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82"/>
      <c r="BC97" s="82"/>
      <c r="BD97" s="82"/>
      <c r="BE97" s="82"/>
      <c r="BF97" s="82"/>
      <c r="BG97" s="4"/>
      <c r="BH97" s="4"/>
      <c r="BI97" s="4"/>
      <c r="BJ97" s="4"/>
    </row>
    <row r="98" spans="1:62" ht="12.75" x14ac:dyDescent="0.2">
      <c r="A98" s="64" t="s">
        <v>2</v>
      </c>
      <c r="B98" s="65"/>
      <c r="C98" s="4"/>
      <c r="D98" s="4"/>
      <c r="E98" s="4"/>
      <c r="F98" s="4"/>
      <c r="G98" s="4"/>
      <c r="H98" s="3"/>
      <c r="I98" s="3"/>
      <c r="J98" s="3"/>
      <c r="K98" s="3"/>
      <c r="L98" s="3"/>
      <c r="M98" s="3"/>
      <c r="N98" s="3"/>
      <c r="O98" s="4"/>
      <c r="P98" s="4"/>
      <c r="Q98" s="4"/>
      <c r="R98" s="4"/>
      <c r="S98" s="4"/>
      <c r="T98" s="4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4"/>
      <c r="AG98" s="3"/>
      <c r="AH98" s="82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82"/>
      <c r="BC98" s="82"/>
      <c r="BD98" s="82"/>
      <c r="BE98" s="82"/>
      <c r="BF98" s="82"/>
      <c r="BG98" s="4"/>
      <c r="BH98" s="4"/>
      <c r="BI98" s="4"/>
      <c r="BJ98" s="4"/>
    </row>
    <row r="99" spans="1:62" ht="12.75" x14ac:dyDescent="0.2">
      <c r="A99" s="64" t="s">
        <v>2</v>
      </c>
      <c r="B99" s="65"/>
      <c r="C99" s="4"/>
      <c r="D99" s="4"/>
      <c r="E99" s="4"/>
      <c r="F99" s="4"/>
      <c r="G99" s="4"/>
      <c r="H99" s="3"/>
      <c r="I99" s="3"/>
      <c r="J99" s="3"/>
      <c r="K99" s="3"/>
      <c r="L99" s="3"/>
      <c r="M99" s="3"/>
      <c r="N99" s="3"/>
      <c r="O99" s="4"/>
      <c r="P99" s="4"/>
      <c r="Q99" s="4"/>
      <c r="R99" s="4"/>
      <c r="S99" s="4"/>
      <c r="T99" s="4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4"/>
      <c r="AG99" s="3"/>
      <c r="AH99" s="82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82"/>
      <c r="BC99" s="82"/>
      <c r="BD99" s="82"/>
      <c r="BE99" s="82"/>
      <c r="BF99" s="82"/>
      <c r="BG99" s="4"/>
      <c r="BH99" s="4"/>
      <c r="BI99" s="4"/>
      <c r="BJ99" s="4"/>
    </row>
    <row r="100" spans="1:62" ht="12.75" x14ac:dyDescent="0.2">
      <c r="A100" s="64" t="s">
        <v>2</v>
      </c>
      <c r="B100" s="65"/>
      <c r="C100" s="4"/>
      <c r="D100" s="4"/>
      <c r="E100" s="4"/>
      <c r="F100" s="4"/>
      <c r="G100" s="4"/>
      <c r="H100" s="3"/>
      <c r="I100" s="3"/>
      <c r="J100" s="3"/>
      <c r="K100" s="3"/>
      <c r="L100" s="3"/>
      <c r="M100" s="3"/>
      <c r="N100" s="3"/>
      <c r="O100" s="4"/>
      <c r="P100" s="4"/>
      <c r="Q100" s="4"/>
      <c r="R100" s="4"/>
      <c r="S100" s="4"/>
      <c r="T100" s="4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4"/>
      <c r="AG100" s="3"/>
      <c r="AH100" s="82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82"/>
      <c r="BC100" s="82"/>
      <c r="BD100" s="82"/>
      <c r="BE100" s="82"/>
      <c r="BF100" s="82"/>
      <c r="BG100" s="4"/>
      <c r="BH100" s="4"/>
      <c r="BI100" s="4"/>
      <c r="BJ100" s="4"/>
    </row>
    <row r="101" spans="1:62" ht="12.75" x14ac:dyDescent="0.2">
      <c r="A101" s="64" t="s">
        <v>2</v>
      </c>
      <c r="B101" s="65"/>
      <c r="C101" s="4"/>
      <c r="D101" s="4"/>
      <c r="E101" s="4"/>
      <c r="F101" s="4"/>
      <c r="G101" s="4"/>
      <c r="H101" s="3"/>
      <c r="I101" s="3"/>
      <c r="J101" s="3"/>
      <c r="K101" s="3"/>
      <c r="L101" s="3"/>
      <c r="M101" s="3"/>
      <c r="N101" s="3"/>
      <c r="O101" s="4"/>
      <c r="P101" s="4"/>
      <c r="Q101" s="4"/>
      <c r="R101" s="4"/>
      <c r="S101" s="4"/>
      <c r="T101" s="4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4"/>
      <c r="AG101" s="3"/>
      <c r="AH101" s="82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82"/>
      <c r="BC101" s="82"/>
      <c r="BD101" s="82"/>
      <c r="BE101" s="82"/>
      <c r="BF101" s="82"/>
      <c r="BG101" s="4"/>
      <c r="BH101" s="4"/>
      <c r="BI101" s="4"/>
      <c r="BJ101" s="4"/>
    </row>
    <row r="102" spans="1:62" ht="12.75" x14ac:dyDescent="0.2">
      <c r="A102" s="64" t="s">
        <v>2</v>
      </c>
      <c r="B102" s="65"/>
      <c r="C102" s="4"/>
      <c r="D102" s="4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4"/>
      <c r="P102" s="4"/>
      <c r="Q102" s="4"/>
      <c r="R102" s="4"/>
      <c r="S102" s="4"/>
      <c r="T102" s="4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4"/>
      <c r="AG102" s="3"/>
      <c r="AH102" s="82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82"/>
      <c r="BC102" s="82"/>
      <c r="BD102" s="82"/>
      <c r="BE102" s="82"/>
      <c r="BF102" s="82"/>
      <c r="BG102" s="4"/>
      <c r="BH102" s="4"/>
      <c r="BI102" s="4"/>
      <c r="BJ102" s="4"/>
    </row>
    <row r="103" spans="1:62" ht="12.75" x14ac:dyDescent="0.2">
      <c r="A103" s="64" t="s">
        <v>2</v>
      </c>
      <c r="B103" s="65"/>
      <c r="C103" s="4"/>
      <c r="D103" s="4"/>
      <c r="E103" s="4"/>
      <c r="F103" s="4"/>
      <c r="G103" s="4"/>
      <c r="H103" s="3"/>
      <c r="I103" s="3"/>
      <c r="J103" s="3"/>
      <c r="K103" s="3"/>
      <c r="L103" s="3"/>
      <c r="M103" s="3"/>
      <c r="N103" s="3"/>
      <c r="O103" s="4"/>
      <c r="P103" s="4"/>
      <c r="Q103" s="4"/>
      <c r="R103" s="4"/>
      <c r="S103" s="4"/>
      <c r="T103" s="4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4"/>
      <c r="AG103" s="3"/>
      <c r="AH103" s="82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82"/>
      <c r="BC103" s="82"/>
      <c r="BD103" s="82"/>
      <c r="BE103" s="82"/>
      <c r="BF103" s="82"/>
      <c r="BG103" s="4"/>
      <c r="BH103" s="4"/>
      <c r="BI103" s="4"/>
      <c r="BJ103" s="4"/>
    </row>
    <row r="104" spans="1:62" ht="12.75" x14ac:dyDescent="0.2">
      <c r="A104" s="64" t="s">
        <v>2</v>
      </c>
      <c r="B104" s="85"/>
      <c r="C104" s="4"/>
      <c r="D104" s="4"/>
      <c r="E104" s="4"/>
      <c r="F104" s="4"/>
      <c r="G104" s="4"/>
      <c r="H104" s="3"/>
      <c r="I104" s="3"/>
      <c r="J104" s="3"/>
      <c r="K104" s="3"/>
      <c r="L104" s="3"/>
      <c r="M104" s="3"/>
      <c r="N104" s="3"/>
      <c r="O104" s="4"/>
      <c r="P104" s="4"/>
      <c r="Q104" s="4"/>
      <c r="R104" s="4"/>
      <c r="S104" s="4"/>
      <c r="T104" s="4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4"/>
      <c r="AG104" s="3"/>
      <c r="AH104" s="82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82"/>
      <c r="BC104" s="82"/>
      <c r="BD104" s="82"/>
      <c r="BE104" s="82"/>
      <c r="BF104" s="82"/>
      <c r="BG104" s="4"/>
      <c r="BH104" s="4"/>
      <c r="BI104" s="4"/>
      <c r="BJ104" s="4"/>
    </row>
    <row r="105" spans="1:62" ht="12.75" x14ac:dyDescent="0.2">
      <c r="A105" s="64" t="s">
        <v>2</v>
      </c>
      <c r="B105" s="85"/>
      <c r="C105" s="4"/>
      <c r="D105" s="4"/>
      <c r="E105" s="4"/>
      <c r="F105" s="4"/>
      <c r="G105" s="4"/>
      <c r="H105" s="3"/>
      <c r="I105" s="3"/>
      <c r="J105" s="3"/>
      <c r="K105" s="3"/>
      <c r="L105" s="3"/>
      <c r="M105" s="3"/>
      <c r="N105" s="3"/>
      <c r="O105" s="4"/>
      <c r="P105" s="4"/>
      <c r="Q105" s="4"/>
      <c r="R105" s="4"/>
      <c r="S105" s="4"/>
      <c r="T105" s="4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4"/>
      <c r="AG105" s="3"/>
      <c r="AH105" s="82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82"/>
      <c r="BC105" s="82"/>
      <c r="BD105" s="82"/>
      <c r="BE105" s="82"/>
      <c r="BF105" s="82"/>
      <c r="BG105" s="4"/>
      <c r="BH105" s="4"/>
      <c r="BI105" s="4"/>
      <c r="BJ105" s="4"/>
    </row>
    <row r="106" spans="1:62" ht="12.75" x14ac:dyDescent="0.2">
      <c r="A106" s="64" t="s">
        <v>2</v>
      </c>
      <c r="B106" s="85"/>
      <c r="C106" s="4"/>
      <c r="D106" s="4"/>
      <c r="E106" s="4"/>
      <c r="F106" s="4"/>
      <c r="G106" s="4"/>
      <c r="H106" s="3"/>
      <c r="I106" s="3"/>
      <c r="J106" s="3"/>
      <c r="K106" s="3"/>
      <c r="L106" s="3"/>
      <c r="M106" s="3"/>
      <c r="N106" s="3"/>
      <c r="O106" s="4"/>
      <c r="P106" s="4"/>
      <c r="Q106" s="4"/>
      <c r="R106" s="4"/>
      <c r="S106" s="4"/>
      <c r="T106" s="4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4"/>
      <c r="AG106" s="3"/>
      <c r="AH106" s="82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82"/>
      <c r="BC106" s="82"/>
      <c r="BD106" s="82"/>
      <c r="BE106" s="82"/>
      <c r="BF106" s="82"/>
      <c r="BG106" s="4"/>
      <c r="BH106" s="4"/>
      <c r="BI106" s="4"/>
      <c r="BJ106" s="4"/>
    </row>
    <row r="107" spans="1:62" ht="12.75" x14ac:dyDescent="0.2">
      <c r="A107" s="64" t="s">
        <v>2</v>
      </c>
      <c r="B107" s="85"/>
      <c r="C107" s="4"/>
      <c r="D107" s="4"/>
      <c r="E107" s="4"/>
      <c r="F107" s="4"/>
      <c r="G107" s="4"/>
      <c r="H107" s="3"/>
      <c r="I107" s="3"/>
      <c r="J107" s="3"/>
      <c r="K107" s="3"/>
      <c r="L107" s="3"/>
      <c r="M107" s="3"/>
      <c r="N107" s="3"/>
      <c r="O107" s="4"/>
      <c r="P107" s="4"/>
      <c r="Q107" s="4"/>
      <c r="R107" s="4"/>
      <c r="S107" s="4"/>
      <c r="T107" s="4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4"/>
      <c r="AG107" s="3"/>
      <c r="AH107" s="82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82"/>
      <c r="BC107" s="82"/>
      <c r="BD107" s="82"/>
      <c r="BE107" s="82"/>
      <c r="BF107" s="82"/>
      <c r="BG107" s="4"/>
      <c r="BH107" s="4"/>
      <c r="BI107" s="4"/>
      <c r="BJ107" s="4"/>
    </row>
    <row r="108" spans="1:62" ht="12.75" x14ac:dyDescent="0.2">
      <c r="A108" s="64" t="s">
        <v>2</v>
      </c>
      <c r="B108" s="85"/>
      <c r="C108" s="4"/>
      <c r="D108" s="4"/>
      <c r="E108" s="4"/>
      <c r="F108" s="4"/>
      <c r="G108" s="4"/>
      <c r="H108" s="3"/>
      <c r="I108" s="3"/>
      <c r="J108" s="3"/>
      <c r="K108" s="3"/>
      <c r="L108" s="3"/>
      <c r="M108" s="3"/>
      <c r="N108" s="3"/>
      <c r="O108" s="4"/>
      <c r="P108" s="4"/>
      <c r="Q108" s="4"/>
      <c r="R108" s="4"/>
      <c r="S108" s="4"/>
      <c r="T108" s="4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4"/>
      <c r="AG108" s="3"/>
      <c r="AH108" s="82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82"/>
      <c r="BC108" s="82"/>
      <c r="BD108" s="82"/>
      <c r="BE108" s="82"/>
      <c r="BF108" s="82"/>
      <c r="BG108" s="4"/>
      <c r="BH108" s="4"/>
      <c r="BI108" s="4"/>
      <c r="BJ108" s="4"/>
    </row>
    <row r="109" spans="1:62" ht="12.75" x14ac:dyDescent="0.2">
      <c r="A109" s="64" t="s">
        <v>2</v>
      </c>
      <c r="B109" s="85"/>
      <c r="C109" s="4"/>
      <c r="D109" s="4"/>
      <c r="E109" s="4"/>
      <c r="F109" s="4"/>
      <c r="G109" s="4"/>
      <c r="H109" s="3"/>
      <c r="I109" s="3"/>
      <c r="J109" s="3"/>
      <c r="K109" s="3"/>
      <c r="L109" s="3"/>
      <c r="M109" s="3"/>
      <c r="N109" s="3"/>
      <c r="O109" s="4"/>
      <c r="P109" s="4"/>
      <c r="Q109" s="4"/>
      <c r="R109" s="4"/>
      <c r="S109" s="4"/>
      <c r="T109" s="4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4"/>
      <c r="AG109" s="3"/>
      <c r="AH109" s="82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82"/>
      <c r="BC109" s="82"/>
      <c r="BD109" s="82"/>
      <c r="BE109" s="82"/>
      <c r="BF109" s="82"/>
      <c r="BG109" s="4"/>
      <c r="BH109" s="4"/>
      <c r="BI109" s="4"/>
      <c r="BJ109" s="4"/>
    </row>
    <row r="110" spans="1:62" ht="12.75" x14ac:dyDescent="0.2">
      <c r="A110" s="64" t="s">
        <v>2</v>
      </c>
      <c r="B110" s="85"/>
      <c r="C110" s="4"/>
      <c r="D110" s="4"/>
      <c r="E110" s="4"/>
      <c r="F110" s="4"/>
      <c r="G110" s="4"/>
      <c r="H110" s="3"/>
      <c r="I110" s="3"/>
      <c r="J110" s="3"/>
      <c r="K110" s="3"/>
      <c r="L110" s="3"/>
      <c r="M110" s="3"/>
      <c r="N110" s="3"/>
      <c r="O110" s="4"/>
      <c r="P110" s="4"/>
      <c r="Q110" s="4"/>
      <c r="R110" s="4"/>
      <c r="S110" s="4"/>
      <c r="T110" s="4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4"/>
      <c r="AG110" s="3"/>
      <c r="AH110" s="82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82"/>
      <c r="BC110" s="82"/>
      <c r="BD110" s="82"/>
      <c r="BE110" s="82"/>
      <c r="BF110" s="82"/>
      <c r="BG110" s="4"/>
      <c r="BH110" s="4"/>
      <c r="BI110" s="4"/>
      <c r="BJ110" s="4"/>
    </row>
    <row r="111" spans="1:62" ht="12.75" x14ac:dyDescent="0.2">
      <c r="A111" s="64" t="s">
        <v>2</v>
      </c>
      <c r="B111" s="85"/>
      <c r="C111" s="4"/>
      <c r="D111" s="4"/>
      <c r="E111" s="4"/>
      <c r="F111" s="4"/>
      <c r="G111" s="4"/>
      <c r="H111" s="3"/>
      <c r="I111" s="3"/>
      <c r="J111" s="3"/>
      <c r="K111" s="3"/>
      <c r="L111" s="3"/>
      <c r="M111" s="3"/>
      <c r="N111" s="3"/>
      <c r="O111" s="4"/>
      <c r="P111" s="4"/>
      <c r="Q111" s="4"/>
      <c r="R111" s="4"/>
      <c r="S111" s="4"/>
      <c r="T111" s="4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4"/>
      <c r="AG111" s="3"/>
      <c r="AH111" s="82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82"/>
      <c r="BC111" s="82"/>
      <c r="BD111" s="82"/>
      <c r="BE111" s="82"/>
      <c r="BF111" s="82"/>
      <c r="BG111" s="4"/>
      <c r="BH111" s="4"/>
      <c r="BI111" s="4"/>
      <c r="BJ111" s="4"/>
    </row>
    <row r="112" spans="1:62" ht="12.75" x14ac:dyDescent="0.2">
      <c r="A112" s="64" t="s">
        <v>2</v>
      </c>
      <c r="B112" s="85"/>
      <c r="C112" s="4"/>
      <c r="D112" s="4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4"/>
      <c r="P112" s="4"/>
      <c r="Q112" s="4"/>
      <c r="R112" s="4"/>
      <c r="S112" s="4"/>
      <c r="T112" s="4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4"/>
      <c r="AG112" s="3"/>
      <c r="AH112" s="82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82"/>
      <c r="BC112" s="82"/>
      <c r="BD112" s="82"/>
      <c r="BE112" s="82"/>
      <c r="BF112" s="82"/>
      <c r="BG112" s="4"/>
      <c r="BH112" s="4"/>
      <c r="BI112" s="4"/>
      <c r="BJ112" s="4"/>
    </row>
    <row r="113" spans="1:62" ht="12.75" x14ac:dyDescent="0.2">
      <c r="A113" s="64" t="s">
        <v>2</v>
      </c>
      <c r="B113" s="85"/>
      <c r="C113" s="4"/>
      <c r="D113" s="4"/>
      <c r="E113" s="4"/>
      <c r="F113" s="4"/>
      <c r="G113" s="4"/>
      <c r="H113" s="3"/>
      <c r="I113" s="3"/>
      <c r="J113" s="3"/>
      <c r="K113" s="3"/>
      <c r="L113" s="3"/>
      <c r="M113" s="3"/>
      <c r="N113" s="3"/>
      <c r="O113" s="4"/>
      <c r="P113" s="4"/>
      <c r="Q113" s="4"/>
      <c r="R113" s="4"/>
      <c r="S113" s="4"/>
      <c r="T113" s="4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4"/>
      <c r="AG113" s="3"/>
      <c r="AH113" s="82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82"/>
      <c r="BC113" s="82"/>
      <c r="BD113" s="82"/>
      <c r="BE113" s="82"/>
      <c r="BF113" s="82"/>
      <c r="BG113" s="4"/>
      <c r="BH113" s="4"/>
      <c r="BI113" s="4"/>
      <c r="BJ113" s="4"/>
    </row>
    <row r="114" spans="1:62" ht="12.75" x14ac:dyDescent="0.2">
      <c r="A114" s="64" t="s">
        <v>2</v>
      </c>
      <c r="B114" s="85"/>
      <c r="C114" s="4"/>
      <c r="D114" s="4"/>
      <c r="E114" s="4"/>
      <c r="F114" s="4"/>
      <c r="G114" s="4"/>
      <c r="H114" s="3"/>
      <c r="I114" s="3"/>
      <c r="J114" s="3"/>
      <c r="K114" s="3"/>
      <c r="L114" s="3"/>
      <c r="M114" s="3"/>
      <c r="N114" s="3"/>
      <c r="O114" s="4"/>
      <c r="P114" s="4"/>
      <c r="Q114" s="4"/>
      <c r="R114" s="4"/>
      <c r="S114" s="4"/>
      <c r="T114" s="4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4"/>
      <c r="AG114" s="3"/>
      <c r="AH114" s="82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82"/>
      <c r="BC114" s="82"/>
      <c r="BD114" s="82"/>
      <c r="BE114" s="82"/>
      <c r="BF114" s="82"/>
      <c r="BG114" s="4"/>
      <c r="BH114" s="4"/>
      <c r="BI114" s="4"/>
      <c r="BJ114" s="4"/>
    </row>
    <row r="115" spans="1:62" ht="12.75" x14ac:dyDescent="0.2">
      <c r="A115" s="64" t="s">
        <v>2</v>
      </c>
      <c r="B115" s="85"/>
      <c r="C115" s="4"/>
      <c r="D115" s="4"/>
      <c r="E115" s="4"/>
      <c r="F115" s="4"/>
      <c r="G115" s="4"/>
      <c r="H115" s="3"/>
      <c r="I115" s="3"/>
      <c r="J115" s="3"/>
      <c r="K115" s="3"/>
      <c r="L115" s="3"/>
      <c r="M115" s="3"/>
      <c r="N115" s="3"/>
      <c r="O115" s="4"/>
      <c r="P115" s="4"/>
      <c r="Q115" s="4"/>
      <c r="R115" s="4"/>
      <c r="S115" s="4"/>
      <c r="T115" s="4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4"/>
      <c r="AG115" s="3"/>
      <c r="AH115" s="82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82"/>
      <c r="BC115" s="82"/>
      <c r="BD115" s="82"/>
      <c r="BE115" s="82"/>
      <c r="BF115" s="82"/>
      <c r="BG115" s="4"/>
      <c r="BH115" s="4"/>
      <c r="BI115" s="4"/>
      <c r="BJ115" s="4"/>
    </row>
    <row r="116" spans="1:62" ht="12.75" x14ac:dyDescent="0.2">
      <c r="A116" s="64" t="s">
        <v>2</v>
      </c>
      <c r="B116" s="85"/>
      <c r="C116" s="4"/>
      <c r="D116" s="4"/>
      <c r="E116" s="4"/>
      <c r="F116" s="4"/>
      <c r="G116" s="4"/>
      <c r="H116" s="3"/>
      <c r="I116" s="3"/>
      <c r="J116" s="3"/>
      <c r="K116" s="3"/>
      <c r="L116" s="3"/>
      <c r="M116" s="3"/>
      <c r="N116" s="3"/>
      <c r="O116" s="4"/>
      <c r="P116" s="4"/>
      <c r="Q116" s="4"/>
      <c r="R116" s="4"/>
      <c r="S116" s="4"/>
      <c r="T116" s="4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4"/>
      <c r="AG116" s="3"/>
      <c r="AH116" s="82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82"/>
      <c r="BC116" s="82"/>
      <c r="BD116" s="82"/>
      <c r="BE116" s="82"/>
      <c r="BF116" s="82"/>
      <c r="BG116" s="4"/>
      <c r="BH116" s="4"/>
      <c r="BI116" s="4"/>
      <c r="BJ116" s="4"/>
    </row>
    <row r="117" spans="1:62" ht="12.75" x14ac:dyDescent="0.2">
      <c r="A117" s="64" t="s">
        <v>2</v>
      </c>
      <c r="B117" s="85"/>
      <c r="C117" s="4"/>
      <c r="D117" s="4"/>
      <c r="E117" s="4"/>
      <c r="F117" s="4"/>
      <c r="G117" s="4"/>
      <c r="H117" s="3"/>
      <c r="I117" s="3"/>
      <c r="J117" s="3"/>
      <c r="K117" s="3"/>
      <c r="L117" s="3"/>
      <c r="M117" s="3"/>
      <c r="N117" s="3"/>
      <c r="O117" s="4"/>
      <c r="P117" s="4"/>
      <c r="Q117" s="4"/>
      <c r="R117" s="4"/>
      <c r="S117" s="4"/>
      <c r="T117" s="4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4"/>
      <c r="AG117" s="3"/>
      <c r="AH117" s="82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82"/>
      <c r="BC117" s="82"/>
      <c r="BD117" s="82"/>
      <c r="BE117" s="82"/>
      <c r="BF117" s="82"/>
      <c r="BG117" s="4"/>
      <c r="BH117" s="4"/>
      <c r="BI117" s="4"/>
      <c r="BJ117" s="4"/>
    </row>
    <row r="118" spans="1:62" ht="12.75" x14ac:dyDescent="0.2">
      <c r="A118" s="64" t="s">
        <v>2</v>
      </c>
      <c r="B118" s="85"/>
      <c r="C118" s="4"/>
      <c r="D118" s="4"/>
      <c r="E118" s="4"/>
      <c r="F118" s="4"/>
      <c r="G118" s="4"/>
      <c r="H118" s="3"/>
      <c r="I118" s="3"/>
      <c r="J118" s="3"/>
      <c r="K118" s="3"/>
      <c r="L118" s="3"/>
      <c r="M118" s="3"/>
      <c r="N118" s="3"/>
      <c r="O118" s="4"/>
      <c r="P118" s="4"/>
      <c r="Q118" s="4"/>
      <c r="R118" s="4"/>
      <c r="S118" s="4"/>
      <c r="T118" s="4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4"/>
      <c r="AG118" s="3"/>
      <c r="AH118" s="82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82"/>
      <c r="BC118" s="82"/>
      <c r="BD118" s="82"/>
      <c r="BE118" s="82"/>
      <c r="BF118" s="82"/>
      <c r="BG118" s="4"/>
      <c r="BH118" s="4"/>
      <c r="BI118" s="4"/>
      <c r="BJ118" s="4"/>
    </row>
    <row r="119" spans="1:62" ht="12.75" x14ac:dyDescent="0.2">
      <c r="A119" s="64" t="s">
        <v>2</v>
      </c>
      <c r="B119" s="85"/>
      <c r="C119" s="4"/>
      <c r="D119" s="4"/>
      <c r="E119" s="4"/>
      <c r="F119" s="4"/>
      <c r="G119" s="4"/>
      <c r="H119" s="3"/>
      <c r="I119" s="3"/>
      <c r="J119" s="3"/>
      <c r="K119" s="3"/>
      <c r="L119" s="3"/>
      <c r="M119" s="3"/>
      <c r="N119" s="3"/>
      <c r="O119" s="4"/>
      <c r="P119" s="4"/>
      <c r="Q119" s="4"/>
      <c r="R119" s="4"/>
      <c r="S119" s="4"/>
      <c r="T119" s="4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4"/>
      <c r="AG119" s="3"/>
      <c r="AH119" s="82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82"/>
      <c r="BC119" s="82"/>
      <c r="BD119" s="82"/>
      <c r="BE119" s="82"/>
      <c r="BF119" s="82"/>
      <c r="BG119" s="4"/>
      <c r="BH119" s="4"/>
      <c r="BI119" s="4"/>
      <c r="BJ119" s="4"/>
    </row>
    <row r="120" spans="1:62" ht="12.75" x14ac:dyDescent="0.2">
      <c r="A120" s="64" t="s">
        <v>2</v>
      </c>
      <c r="B120" s="85"/>
      <c r="C120" s="4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4"/>
      <c r="P120" s="4"/>
      <c r="Q120" s="4"/>
      <c r="R120" s="4"/>
      <c r="S120" s="4"/>
      <c r="T120" s="4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4"/>
      <c r="AG120" s="3"/>
      <c r="AH120" s="82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82"/>
      <c r="BC120" s="82"/>
      <c r="BD120" s="82"/>
      <c r="BE120" s="82"/>
      <c r="BF120" s="82"/>
      <c r="BG120" s="4"/>
      <c r="BH120" s="4"/>
      <c r="BI120" s="4"/>
      <c r="BJ120" s="4"/>
    </row>
    <row r="121" spans="1:62" ht="12.75" x14ac:dyDescent="0.2">
      <c r="A121" s="64" t="s">
        <v>2</v>
      </c>
      <c r="B121" s="85"/>
      <c r="C121" s="4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4"/>
      <c r="P121" s="4"/>
      <c r="Q121" s="4"/>
      <c r="R121" s="4"/>
      <c r="S121" s="4"/>
      <c r="T121" s="4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4"/>
      <c r="AG121" s="3"/>
      <c r="AH121" s="82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82"/>
      <c r="BC121" s="82"/>
      <c r="BD121" s="82"/>
      <c r="BE121" s="82"/>
      <c r="BF121" s="82"/>
      <c r="BG121" s="4"/>
      <c r="BH121" s="4"/>
      <c r="BI121" s="4"/>
      <c r="BJ121" s="4"/>
    </row>
    <row r="122" spans="1:62" ht="12.75" x14ac:dyDescent="0.2">
      <c r="A122" s="64" t="s">
        <v>2</v>
      </c>
      <c r="B122" s="85"/>
      <c r="C122" s="4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4"/>
      <c r="P122" s="4"/>
      <c r="Q122" s="4"/>
      <c r="R122" s="4"/>
      <c r="S122" s="4"/>
      <c r="T122" s="4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4"/>
      <c r="AG122" s="3"/>
      <c r="AH122" s="82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82"/>
      <c r="BC122" s="82"/>
      <c r="BD122" s="82"/>
      <c r="BE122" s="82"/>
      <c r="BF122" s="82"/>
      <c r="BG122" s="4"/>
      <c r="BH122" s="4"/>
      <c r="BI122" s="4"/>
      <c r="BJ122" s="4"/>
    </row>
    <row r="123" spans="1:62" ht="12.75" x14ac:dyDescent="0.2">
      <c r="A123" s="64" t="s">
        <v>2</v>
      </c>
      <c r="B123" s="85"/>
      <c r="C123" s="4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4"/>
      <c r="P123" s="4"/>
      <c r="Q123" s="4"/>
      <c r="R123" s="4"/>
      <c r="S123" s="4"/>
      <c r="T123" s="4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4"/>
      <c r="AG123" s="3"/>
      <c r="AH123" s="82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82"/>
      <c r="BC123" s="82"/>
      <c r="BD123" s="82"/>
      <c r="BE123" s="82"/>
      <c r="BF123" s="82"/>
      <c r="BG123" s="4"/>
      <c r="BH123" s="4"/>
      <c r="BI123" s="4"/>
      <c r="BJ123" s="4"/>
    </row>
    <row r="124" spans="1:62" ht="12.75" x14ac:dyDescent="0.2">
      <c r="A124" s="64" t="s">
        <v>2</v>
      </c>
      <c r="B124" s="85"/>
      <c r="C124" s="4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4"/>
      <c r="P124" s="4"/>
      <c r="Q124" s="4"/>
      <c r="R124" s="4"/>
      <c r="S124" s="4"/>
      <c r="T124" s="4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4"/>
      <c r="AG124" s="3"/>
      <c r="AH124" s="82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82"/>
      <c r="BC124" s="82"/>
      <c r="BD124" s="82"/>
      <c r="BE124" s="82"/>
      <c r="BF124" s="82"/>
      <c r="BG124" s="4"/>
      <c r="BH124" s="4"/>
      <c r="BI124" s="4"/>
      <c r="BJ124" s="4"/>
    </row>
    <row r="125" spans="1:62" ht="12.75" x14ac:dyDescent="0.2">
      <c r="A125" s="64" t="s">
        <v>2</v>
      </c>
      <c r="B125" s="85"/>
      <c r="C125" s="4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4"/>
      <c r="P125" s="4"/>
      <c r="Q125" s="4"/>
      <c r="R125" s="4"/>
      <c r="S125" s="4"/>
      <c r="T125" s="4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4"/>
      <c r="AG125" s="3"/>
      <c r="AH125" s="82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82"/>
      <c r="BC125" s="82"/>
      <c r="BD125" s="82"/>
      <c r="BE125" s="82"/>
      <c r="BF125" s="82"/>
      <c r="BG125" s="4"/>
      <c r="BH125" s="4"/>
      <c r="BI125" s="4"/>
      <c r="BJ125" s="4"/>
    </row>
    <row r="126" spans="1:62" ht="12.75" x14ac:dyDescent="0.2">
      <c r="A126" s="64" t="s">
        <v>2</v>
      </c>
      <c r="B126" s="85"/>
      <c r="C126" s="4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4"/>
      <c r="P126" s="4"/>
      <c r="Q126" s="4"/>
      <c r="R126" s="4"/>
      <c r="S126" s="4"/>
      <c r="T126" s="4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4"/>
      <c r="AG126" s="3"/>
      <c r="AH126" s="82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82"/>
      <c r="BC126" s="82"/>
      <c r="BD126" s="82"/>
      <c r="BE126" s="82"/>
      <c r="BF126" s="82"/>
      <c r="BG126" s="4"/>
      <c r="BH126" s="4"/>
      <c r="BI126" s="4"/>
      <c r="BJ126" s="4"/>
    </row>
    <row r="127" spans="1:62" ht="12.75" x14ac:dyDescent="0.2">
      <c r="A127" s="64" t="s">
        <v>2</v>
      </c>
      <c r="B127" s="85"/>
      <c r="C127" s="4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4"/>
      <c r="P127" s="4"/>
      <c r="Q127" s="4"/>
      <c r="R127" s="4"/>
      <c r="S127" s="4"/>
      <c r="T127" s="4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4"/>
      <c r="AG127" s="3"/>
      <c r="AH127" s="82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82"/>
      <c r="BC127" s="82"/>
      <c r="BD127" s="82"/>
      <c r="BE127" s="82"/>
      <c r="BF127" s="82"/>
      <c r="BG127" s="4"/>
      <c r="BH127" s="4"/>
      <c r="BI127" s="4"/>
      <c r="BJ127" s="4"/>
    </row>
    <row r="128" spans="1:62" ht="12.75" x14ac:dyDescent="0.2">
      <c r="A128" s="64" t="s">
        <v>2</v>
      </c>
      <c r="B128" s="85"/>
      <c r="C128" s="4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4"/>
      <c r="P128" s="4"/>
      <c r="Q128" s="4"/>
      <c r="R128" s="4"/>
      <c r="S128" s="4"/>
      <c r="T128" s="4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4"/>
      <c r="AG128" s="3"/>
      <c r="AH128" s="82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82"/>
      <c r="BC128" s="82"/>
      <c r="BD128" s="82"/>
      <c r="BE128" s="82"/>
      <c r="BF128" s="82"/>
      <c r="BG128" s="4"/>
      <c r="BH128" s="4"/>
      <c r="BI128" s="4"/>
      <c r="BJ128" s="4"/>
    </row>
    <row r="129" spans="1:62" ht="12.75" x14ac:dyDescent="0.2">
      <c r="A129" s="64" t="s">
        <v>2</v>
      </c>
      <c r="B129" s="85"/>
      <c r="C129" s="4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4"/>
      <c r="P129" s="4"/>
      <c r="Q129" s="4"/>
      <c r="R129" s="4"/>
      <c r="S129" s="4"/>
      <c r="T129" s="4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4"/>
      <c r="AG129" s="3"/>
      <c r="AH129" s="82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82"/>
      <c r="BC129" s="82"/>
      <c r="BD129" s="82"/>
      <c r="BE129" s="82"/>
      <c r="BF129" s="82"/>
      <c r="BG129" s="4"/>
      <c r="BH129" s="4"/>
      <c r="BI129" s="4"/>
      <c r="BJ129" s="4"/>
    </row>
    <row r="130" spans="1:62" ht="12.75" x14ac:dyDescent="0.2">
      <c r="A130" s="64" t="s">
        <v>2</v>
      </c>
      <c r="B130" s="85"/>
      <c r="C130" s="4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4"/>
      <c r="P130" s="4"/>
      <c r="Q130" s="4"/>
      <c r="R130" s="4"/>
      <c r="S130" s="4"/>
      <c r="T130" s="4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4"/>
      <c r="AG130" s="3"/>
      <c r="AH130" s="82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82"/>
      <c r="BC130" s="82"/>
      <c r="BD130" s="82"/>
      <c r="BE130" s="82"/>
      <c r="BF130" s="82"/>
      <c r="BG130" s="4"/>
      <c r="BH130" s="4"/>
      <c r="BI130" s="4"/>
      <c r="BJ130" s="4"/>
    </row>
    <row r="131" spans="1:62" ht="12.75" x14ac:dyDescent="0.2">
      <c r="A131" s="64" t="s">
        <v>2</v>
      </c>
      <c r="B131" s="85"/>
      <c r="C131" s="4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4"/>
      <c r="P131" s="4"/>
      <c r="Q131" s="4"/>
      <c r="R131" s="4"/>
      <c r="S131" s="4"/>
      <c r="T131" s="4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4"/>
      <c r="AG131" s="3"/>
      <c r="AH131" s="82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82"/>
      <c r="BC131" s="82"/>
      <c r="BD131" s="82"/>
      <c r="BE131" s="82"/>
      <c r="BF131" s="82"/>
      <c r="BG131" s="4"/>
      <c r="BH131" s="4"/>
      <c r="BI131" s="4"/>
      <c r="BJ131" s="4"/>
    </row>
    <row r="132" spans="1:62" ht="12.75" x14ac:dyDescent="0.2">
      <c r="A132" s="64" t="s">
        <v>2</v>
      </c>
      <c r="B132" s="85"/>
      <c r="C132" s="4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4"/>
      <c r="P132" s="4"/>
      <c r="Q132" s="4"/>
      <c r="R132" s="4"/>
      <c r="S132" s="4"/>
      <c r="T132" s="4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4"/>
      <c r="AG132" s="3"/>
      <c r="AH132" s="82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82"/>
      <c r="BC132" s="82"/>
      <c r="BD132" s="82"/>
      <c r="BE132" s="82"/>
      <c r="BF132" s="82"/>
      <c r="BG132" s="4"/>
      <c r="BH132" s="4"/>
      <c r="BI132" s="4"/>
      <c r="BJ132" s="4"/>
    </row>
    <row r="133" spans="1:62" ht="12.75" x14ac:dyDescent="0.2">
      <c r="A133" s="64" t="s">
        <v>2</v>
      </c>
      <c r="B133" s="85"/>
      <c r="C133" s="4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4"/>
      <c r="P133" s="4"/>
      <c r="Q133" s="4"/>
      <c r="R133" s="4"/>
      <c r="S133" s="4"/>
      <c r="T133" s="4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4"/>
      <c r="AG133" s="3"/>
      <c r="AH133" s="82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82"/>
      <c r="BC133" s="82"/>
      <c r="BD133" s="82"/>
      <c r="BE133" s="82"/>
      <c r="BF133" s="82"/>
      <c r="BG133" s="4"/>
      <c r="BH133" s="4"/>
      <c r="BI133" s="4"/>
      <c r="BJ133" s="4"/>
    </row>
    <row r="134" spans="1:62" ht="12.75" x14ac:dyDescent="0.2">
      <c r="A134" s="64" t="s">
        <v>2</v>
      </c>
      <c r="B134" s="85"/>
      <c r="C134" s="4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4"/>
      <c r="P134" s="4"/>
      <c r="Q134" s="4"/>
      <c r="R134" s="4"/>
      <c r="S134" s="4"/>
      <c r="T134" s="4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4"/>
      <c r="AG134" s="3"/>
      <c r="AH134" s="82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82"/>
      <c r="BC134" s="82"/>
      <c r="BD134" s="82"/>
      <c r="BE134" s="82"/>
      <c r="BF134" s="82"/>
      <c r="BG134" s="4"/>
      <c r="BH134" s="4"/>
      <c r="BI134" s="4"/>
      <c r="BJ134" s="4"/>
    </row>
    <row r="135" spans="1:62" ht="12.75" x14ac:dyDescent="0.2">
      <c r="A135" s="64" t="s">
        <v>2</v>
      </c>
      <c r="B135" s="85"/>
      <c r="C135" s="4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4"/>
      <c r="P135" s="4"/>
      <c r="Q135" s="4"/>
      <c r="R135" s="4"/>
      <c r="S135" s="4"/>
      <c r="T135" s="4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4"/>
      <c r="AG135" s="3"/>
      <c r="AH135" s="82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82"/>
      <c r="BC135" s="82"/>
      <c r="BD135" s="82"/>
      <c r="BE135" s="82"/>
      <c r="BF135" s="82"/>
      <c r="BG135" s="4"/>
      <c r="BH135" s="4"/>
      <c r="BI135" s="4"/>
      <c r="BJ135" s="4"/>
    </row>
    <row r="136" spans="1:62" ht="12.75" x14ac:dyDescent="0.2">
      <c r="A136" s="64" t="s">
        <v>2</v>
      </c>
      <c r="B136" s="85"/>
      <c r="C136" s="4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4"/>
      <c r="P136" s="4"/>
      <c r="Q136" s="4"/>
      <c r="R136" s="4"/>
      <c r="S136" s="4"/>
      <c r="T136" s="4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4"/>
      <c r="AG136" s="3"/>
      <c r="AH136" s="82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82"/>
      <c r="BC136" s="82"/>
      <c r="BD136" s="82"/>
      <c r="BE136" s="82"/>
      <c r="BF136" s="82"/>
      <c r="BG136" s="4"/>
      <c r="BH136" s="4"/>
      <c r="BI136" s="4"/>
      <c r="BJ136" s="4"/>
    </row>
    <row r="137" spans="1:62" ht="12.75" x14ac:dyDescent="0.2">
      <c r="A137" s="64" t="s">
        <v>2</v>
      </c>
      <c r="B137" s="85"/>
      <c r="C137" s="4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4"/>
      <c r="P137" s="4"/>
      <c r="Q137" s="4"/>
      <c r="R137" s="4"/>
      <c r="S137" s="4"/>
      <c r="T137" s="4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4"/>
      <c r="AG137" s="3"/>
      <c r="AH137" s="82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82"/>
      <c r="BC137" s="82"/>
      <c r="BD137" s="82"/>
      <c r="BE137" s="82"/>
      <c r="BF137" s="82"/>
      <c r="BG137" s="4"/>
      <c r="BH137" s="4"/>
      <c r="BI137" s="4"/>
      <c r="BJ137" s="4"/>
    </row>
    <row r="138" spans="1:62" ht="12.75" x14ac:dyDescent="0.2">
      <c r="A138" s="64" t="s">
        <v>2</v>
      </c>
      <c r="B138" s="85"/>
      <c r="C138" s="4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4"/>
      <c r="P138" s="4"/>
      <c r="Q138" s="4"/>
      <c r="R138" s="4"/>
      <c r="S138" s="4"/>
      <c r="T138" s="4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4"/>
      <c r="AG138" s="3"/>
      <c r="AH138" s="82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82"/>
      <c r="BC138" s="82"/>
      <c r="BD138" s="82"/>
      <c r="BE138" s="82"/>
      <c r="BF138" s="82"/>
      <c r="BG138" s="4"/>
      <c r="BH138" s="4"/>
      <c r="BI138" s="4"/>
      <c r="BJ138" s="4"/>
    </row>
    <row r="139" spans="1:62" ht="12.75" x14ac:dyDescent="0.2">
      <c r="A139" s="64" t="s">
        <v>2</v>
      </c>
      <c r="B139" s="85"/>
      <c r="C139" s="4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4"/>
      <c r="P139" s="4"/>
      <c r="Q139" s="4"/>
      <c r="R139" s="4"/>
      <c r="S139" s="4"/>
      <c r="T139" s="4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4"/>
      <c r="AG139" s="3"/>
      <c r="AH139" s="82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82"/>
      <c r="BC139" s="82"/>
      <c r="BD139" s="82"/>
      <c r="BE139" s="82"/>
      <c r="BF139" s="82"/>
      <c r="BG139" s="4"/>
      <c r="BH139" s="4"/>
      <c r="BI139" s="4"/>
      <c r="BJ139" s="4"/>
    </row>
    <row r="140" spans="1:62" ht="12.75" x14ac:dyDescent="0.2">
      <c r="A140" s="64" t="s">
        <v>2</v>
      </c>
      <c r="B140" s="85"/>
      <c r="C140" s="4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4"/>
      <c r="P140" s="4"/>
      <c r="Q140" s="4"/>
      <c r="R140" s="4"/>
      <c r="S140" s="4"/>
      <c r="T140" s="4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4"/>
      <c r="AG140" s="3"/>
      <c r="AH140" s="82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82"/>
      <c r="BC140" s="82"/>
      <c r="BD140" s="82"/>
      <c r="BE140" s="82"/>
      <c r="BF140" s="82"/>
      <c r="BG140" s="4"/>
      <c r="BH140" s="4"/>
      <c r="BI140" s="4"/>
      <c r="BJ140" s="4"/>
    </row>
    <row r="141" spans="1:62" ht="12.75" x14ac:dyDescent="0.2">
      <c r="A141" s="64" t="s">
        <v>2</v>
      </c>
      <c r="B141" s="85"/>
      <c r="C141" s="4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4"/>
      <c r="P141" s="4"/>
      <c r="Q141" s="4"/>
      <c r="R141" s="4"/>
      <c r="S141" s="4"/>
      <c r="T141" s="4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4"/>
      <c r="AG141" s="3"/>
      <c r="AH141" s="82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82"/>
      <c r="BC141" s="82"/>
      <c r="BD141" s="82"/>
      <c r="BE141" s="82"/>
      <c r="BF141" s="82"/>
      <c r="BG141" s="4"/>
      <c r="BH141" s="4"/>
      <c r="BI141" s="4"/>
      <c r="BJ141" s="4"/>
    </row>
    <row r="142" spans="1:62" ht="12.75" x14ac:dyDescent="0.2">
      <c r="A142" s="64" t="s">
        <v>2</v>
      </c>
      <c r="B142" s="85"/>
      <c r="C142" s="4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4"/>
      <c r="P142" s="4"/>
      <c r="Q142" s="4"/>
      <c r="R142" s="4"/>
      <c r="S142" s="4"/>
      <c r="T142" s="4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4"/>
      <c r="AG142" s="3"/>
      <c r="AH142" s="82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82"/>
      <c r="BC142" s="82"/>
      <c r="BD142" s="82"/>
      <c r="BE142" s="82"/>
      <c r="BF142" s="82"/>
      <c r="BG142" s="4"/>
      <c r="BH142" s="4"/>
      <c r="BI142" s="4"/>
      <c r="BJ142" s="4"/>
    </row>
    <row r="143" spans="1:62" ht="12.75" x14ac:dyDescent="0.2">
      <c r="A143" s="64" t="s">
        <v>2</v>
      </c>
      <c r="B143" s="85"/>
      <c r="C143" s="4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4"/>
      <c r="P143" s="4"/>
      <c r="Q143" s="4"/>
      <c r="R143" s="4"/>
      <c r="S143" s="4"/>
      <c r="T143" s="4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4"/>
      <c r="AG143" s="3"/>
      <c r="AH143" s="82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82"/>
      <c r="BC143" s="82"/>
      <c r="BD143" s="82"/>
      <c r="BE143" s="82"/>
      <c r="BF143" s="82"/>
      <c r="BG143" s="4"/>
      <c r="BH143" s="4"/>
      <c r="BI143" s="4"/>
      <c r="BJ143" s="4"/>
    </row>
    <row r="144" spans="1:62" ht="12.75" x14ac:dyDescent="0.2">
      <c r="A144" s="64" t="s">
        <v>2</v>
      </c>
      <c r="B144" s="85"/>
      <c r="C144" s="4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4"/>
      <c r="P144" s="4"/>
      <c r="Q144" s="4"/>
      <c r="R144" s="4"/>
      <c r="S144" s="4"/>
      <c r="T144" s="4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4"/>
      <c r="AG144" s="3"/>
      <c r="AH144" s="82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82"/>
      <c r="BC144" s="82"/>
      <c r="BD144" s="82"/>
      <c r="BE144" s="82"/>
      <c r="BF144" s="82"/>
      <c r="BG144" s="4"/>
      <c r="BH144" s="4"/>
      <c r="BI144" s="4"/>
      <c r="BJ144" s="4"/>
    </row>
    <row r="145" spans="1:62" ht="12.75" x14ac:dyDescent="0.2">
      <c r="A145" s="64" t="s">
        <v>2</v>
      </c>
      <c r="B145" s="85"/>
      <c r="C145" s="4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4"/>
      <c r="P145" s="4"/>
      <c r="Q145" s="4"/>
      <c r="R145" s="4"/>
      <c r="S145" s="4"/>
      <c r="T145" s="4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4"/>
      <c r="AG145" s="3"/>
      <c r="AH145" s="82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82"/>
      <c r="BC145" s="82"/>
      <c r="BD145" s="82"/>
      <c r="BE145" s="82"/>
      <c r="BF145" s="82"/>
      <c r="BG145" s="4"/>
      <c r="BH145" s="4"/>
      <c r="BI145" s="4"/>
      <c r="BJ145" s="4"/>
    </row>
    <row r="146" spans="1:62" ht="12.75" x14ac:dyDescent="0.2">
      <c r="A146" s="64" t="s">
        <v>2</v>
      </c>
      <c r="B146" s="85"/>
      <c r="C146" s="4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4"/>
      <c r="P146" s="4"/>
      <c r="Q146" s="4"/>
      <c r="R146" s="4"/>
      <c r="S146" s="4"/>
      <c r="T146" s="4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4"/>
      <c r="AG146" s="3"/>
      <c r="AH146" s="82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82"/>
      <c r="BC146" s="82"/>
      <c r="BD146" s="82"/>
      <c r="BE146" s="82"/>
      <c r="BF146" s="82"/>
      <c r="BG146" s="4"/>
      <c r="BH146" s="4"/>
      <c r="BI146" s="4"/>
      <c r="BJ146" s="4"/>
    </row>
    <row r="147" spans="1:62" ht="12.75" x14ac:dyDescent="0.2">
      <c r="A147" s="64" t="s">
        <v>2</v>
      </c>
      <c r="B147" s="85"/>
      <c r="C147" s="4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4"/>
      <c r="P147" s="4"/>
      <c r="Q147" s="4"/>
      <c r="R147" s="4"/>
      <c r="S147" s="4"/>
      <c r="T147" s="4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4"/>
      <c r="AG147" s="3"/>
      <c r="AH147" s="82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82"/>
      <c r="BC147" s="82"/>
      <c r="BD147" s="82"/>
      <c r="BE147" s="82"/>
      <c r="BF147" s="82"/>
      <c r="BG147" s="4"/>
      <c r="BH147" s="4"/>
      <c r="BI147" s="4"/>
      <c r="BJ147" s="4"/>
    </row>
    <row r="148" spans="1:62" ht="12.75" x14ac:dyDescent="0.2">
      <c r="A148" s="64" t="s">
        <v>2</v>
      </c>
      <c r="B148" s="85"/>
      <c r="C148" s="4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4"/>
      <c r="P148" s="4"/>
      <c r="Q148" s="4"/>
      <c r="R148" s="4"/>
      <c r="S148" s="4"/>
      <c r="T148" s="4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4"/>
      <c r="AG148" s="3"/>
      <c r="AH148" s="82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82"/>
      <c r="BC148" s="82"/>
      <c r="BD148" s="82"/>
      <c r="BE148" s="82"/>
      <c r="BF148" s="82"/>
      <c r="BG148" s="4"/>
      <c r="BH148" s="4"/>
      <c r="BI148" s="4"/>
      <c r="BJ148" s="4"/>
    </row>
    <row r="149" spans="1:62" ht="12.75" x14ac:dyDescent="0.2">
      <c r="A149" s="64" t="s">
        <v>2</v>
      </c>
      <c r="B149" s="85"/>
      <c r="C149" s="4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4"/>
      <c r="P149" s="4"/>
      <c r="Q149" s="4"/>
      <c r="R149" s="4"/>
      <c r="S149" s="4"/>
      <c r="T149" s="4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4"/>
      <c r="AG149" s="3"/>
      <c r="AH149" s="82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82"/>
      <c r="BC149" s="82"/>
      <c r="BD149" s="82"/>
      <c r="BE149" s="82"/>
      <c r="BF149" s="82"/>
      <c r="BG149" s="4"/>
      <c r="BH149" s="4"/>
      <c r="BI149" s="4"/>
      <c r="BJ149" s="4"/>
    </row>
    <row r="150" spans="1:62" ht="12.75" x14ac:dyDescent="0.2">
      <c r="A150" s="64" t="s">
        <v>2</v>
      </c>
      <c r="B150" s="85"/>
      <c r="C150" s="4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4"/>
      <c r="P150" s="4"/>
      <c r="Q150" s="4"/>
      <c r="R150" s="4"/>
      <c r="S150" s="4"/>
      <c r="T150" s="4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4"/>
      <c r="AG150" s="3"/>
      <c r="AH150" s="82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82"/>
      <c r="BC150" s="82"/>
      <c r="BD150" s="82"/>
      <c r="BE150" s="82"/>
      <c r="BF150" s="82"/>
      <c r="BG150" s="4"/>
      <c r="BH150" s="4"/>
      <c r="BI150" s="4"/>
      <c r="BJ150" s="4"/>
    </row>
    <row r="151" spans="1:62" ht="12.75" x14ac:dyDescent="0.2">
      <c r="A151" s="64" t="s">
        <v>2</v>
      </c>
      <c r="B151" s="85"/>
      <c r="C151" s="4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4"/>
      <c r="P151" s="4"/>
      <c r="Q151" s="4"/>
      <c r="R151" s="4"/>
      <c r="S151" s="4"/>
      <c r="T151" s="4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4"/>
      <c r="AG151" s="3"/>
      <c r="AH151" s="82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82"/>
      <c r="BC151" s="82"/>
      <c r="BD151" s="82"/>
      <c r="BE151" s="82"/>
      <c r="BF151" s="82"/>
      <c r="BG151" s="4"/>
      <c r="BH151" s="4"/>
      <c r="BI151" s="4"/>
      <c r="BJ151" s="4"/>
    </row>
    <row r="152" spans="1:62" ht="12.75" x14ac:dyDescent="0.2">
      <c r="A152" s="64" t="s">
        <v>2</v>
      </c>
      <c r="B152" s="85"/>
      <c r="C152" s="4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4"/>
      <c r="P152" s="4"/>
      <c r="Q152" s="4"/>
      <c r="R152" s="4"/>
      <c r="S152" s="4"/>
      <c r="T152" s="4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4"/>
      <c r="AG152" s="3"/>
      <c r="AH152" s="82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82"/>
      <c r="BC152" s="82"/>
      <c r="BD152" s="82"/>
      <c r="BE152" s="82"/>
      <c r="BF152" s="82"/>
      <c r="BG152" s="4"/>
      <c r="BH152" s="4"/>
      <c r="BI152" s="4"/>
      <c r="BJ152" s="4"/>
    </row>
    <row r="153" spans="1:62" ht="12.75" x14ac:dyDescent="0.2">
      <c r="A153" s="64" t="s">
        <v>2</v>
      </c>
      <c r="B153" s="85"/>
      <c r="C153" s="4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4"/>
      <c r="P153" s="4"/>
      <c r="Q153" s="4"/>
      <c r="R153" s="4"/>
      <c r="S153" s="4"/>
      <c r="T153" s="4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4"/>
      <c r="AG153" s="3"/>
      <c r="AH153" s="82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82"/>
      <c r="BC153" s="82"/>
      <c r="BD153" s="82"/>
      <c r="BE153" s="82"/>
      <c r="BF153" s="82"/>
      <c r="BG153" s="4"/>
      <c r="BH153" s="4"/>
      <c r="BI153" s="4"/>
      <c r="BJ153" s="4"/>
    </row>
    <row r="154" spans="1:62" ht="12.75" x14ac:dyDescent="0.2">
      <c r="A154" s="64" t="s">
        <v>2</v>
      </c>
      <c r="B154" s="88"/>
      <c r="C154" s="4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4"/>
      <c r="P154" s="4"/>
      <c r="Q154" s="4"/>
      <c r="R154" s="4"/>
      <c r="S154" s="4"/>
      <c r="T154" s="4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4"/>
      <c r="AG154" s="3"/>
      <c r="AH154" s="82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82"/>
      <c r="BC154" s="82"/>
      <c r="BD154" s="82"/>
      <c r="BE154" s="82"/>
      <c r="BF154" s="82"/>
      <c r="BG154" s="4"/>
      <c r="BH154" s="4"/>
      <c r="BI154" s="4"/>
      <c r="BJ154" s="4"/>
    </row>
    <row r="155" spans="1:62" ht="12.75" x14ac:dyDescent="0.2">
      <c r="A155" s="64" t="s">
        <v>2</v>
      </c>
      <c r="B155" s="88"/>
      <c r="C155" s="4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4"/>
      <c r="P155" s="4"/>
      <c r="Q155" s="4"/>
      <c r="R155" s="4"/>
      <c r="S155" s="4"/>
      <c r="T155" s="4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4"/>
      <c r="AG155" s="3"/>
      <c r="AH155" s="82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82"/>
      <c r="BC155" s="82"/>
      <c r="BD155" s="82"/>
      <c r="BE155" s="82"/>
      <c r="BF155" s="82"/>
      <c r="BG155" s="4"/>
      <c r="BH155" s="4"/>
      <c r="BI155" s="4"/>
      <c r="BJ155" s="4"/>
    </row>
    <row r="156" spans="1:62" ht="12.75" x14ac:dyDescent="0.2">
      <c r="A156" s="64" t="s">
        <v>2</v>
      </c>
      <c r="B156" s="88"/>
      <c r="C156" s="4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4"/>
      <c r="P156" s="4"/>
      <c r="Q156" s="4"/>
      <c r="R156" s="4"/>
      <c r="S156" s="4"/>
      <c r="T156" s="4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4"/>
      <c r="AG156" s="3"/>
      <c r="AH156" s="82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82"/>
      <c r="BC156" s="82"/>
      <c r="BD156" s="82"/>
      <c r="BE156" s="82"/>
      <c r="BF156" s="82"/>
      <c r="BG156" s="4"/>
      <c r="BH156" s="4"/>
      <c r="BI156" s="4"/>
      <c r="BJ156" s="4"/>
    </row>
    <row r="157" spans="1:62" ht="12.75" x14ac:dyDescent="0.2">
      <c r="A157" s="64" t="s">
        <v>2</v>
      </c>
      <c r="B157" s="88"/>
      <c r="C157" s="4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4"/>
      <c r="P157" s="4"/>
      <c r="Q157" s="4"/>
      <c r="R157" s="4"/>
      <c r="S157" s="4"/>
      <c r="T157" s="4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4"/>
      <c r="AG157" s="3"/>
      <c r="AH157" s="82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82"/>
      <c r="BC157" s="82"/>
      <c r="BD157" s="82"/>
      <c r="BE157" s="82"/>
      <c r="BF157" s="82"/>
      <c r="BG157" s="4"/>
      <c r="BH157" s="4"/>
      <c r="BI157" s="4"/>
      <c r="BJ157" s="4"/>
    </row>
    <row r="158" spans="1:62" ht="12.75" x14ac:dyDescent="0.2">
      <c r="A158" s="64" t="s">
        <v>2</v>
      </c>
      <c r="B158" s="88"/>
      <c r="C158" s="4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4"/>
      <c r="P158" s="4"/>
      <c r="Q158" s="4"/>
      <c r="R158" s="4"/>
      <c r="S158" s="4"/>
      <c r="T158" s="4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4"/>
      <c r="AG158" s="3"/>
      <c r="AH158" s="82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82"/>
      <c r="BC158" s="82"/>
      <c r="BD158" s="82"/>
      <c r="BE158" s="82"/>
      <c r="BF158" s="82"/>
      <c r="BG158" s="4"/>
      <c r="BH158" s="4"/>
      <c r="BI158" s="4"/>
      <c r="BJ158" s="4"/>
    </row>
    <row r="159" spans="1:62" ht="12.75" x14ac:dyDescent="0.2">
      <c r="A159" s="64" t="s">
        <v>2</v>
      </c>
      <c r="B159" s="88"/>
      <c r="C159" s="4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4"/>
      <c r="P159" s="4"/>
      <c r="Q159" s="4"/>
      <c r="R159" s="4"/>
      <c r="S159" s="4"/>
      <c r="T159" s="4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4"/>
      <c r="AG159" s="3"/>
      <c r="AH159" s="82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82"/>
      <c r="BC159" s="82"/>
      <c r="BD159" s="82"/>
      <c r="BE159" s="82"/>
      <c r="BF159" s="82"/>
      <c r="BG159" s="4"/>
      <c r="BH159" s="4"/>
      <c r="BI159" s="4"/>
      <c r="BJ159" s="4"/>
    </row>
    <row r="160" spans="1:62" ht="12.75" x14ac:dyDescent="0.2">
      <c r="A160" s="64" t="s">
        <v>2</v>
      </c>
      <c r="B160" s="88"/>
      <c r="C160" s="4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4"/>
      <c r="P160" s="4"/>
      <c r="Q160" s="4"/>
      <c r="R160" s="4"/>
      <c r="S160" s="4"/>
      <c r="T160" s="4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4"/>
      <c r="AG160" s="3"/>
      <c r="AH160" s="82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82"/>
      <c r="BC160" s="82"/>
      <c r="BD160" s="82"/>
      <c r="BE160" s="82"/>
      <c r="BF160" s="82"/>
      <c r="BG160" s="4"/>
      <c r="BH160" s="4"/>
      <c r="BI160" s="4"/>
      <c r="BJ160" s="4"/>
    </row>
    <row r="161" spans="1:62" ht="12.75" x14ac:dyDescent="0.2">
      <c r="A161" s="64" t="s">
        <v>2</v>
      </c>
      <c r="B161" s="88"/>
      <c r="C161" s="4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4"/>
      <c r="P161" s="4"/>
      <c r="Q161" s="4"/>
      <c r="R161" s="4"/>
      <c r="S161" s="4"/>
      <c r="T161" s="4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4"/>
      <c r="AG161" s="3"/>
      <c r="AH161" s="82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82"/>
      <c r="BC161" s="82"/>
      <c r="BD161" s="82"/>
      <c r="BE161" s="82"/>
      <c r="BF161" s="82"/>
      <c r="BG161" s="4"/>
      <c r="BH161" s="4"/>
      <c r="BI161" s="4"/>
      <c r="BJ161" s="4"/>
    </row>
    <row r="162" spans="1:62" ht="12.75" x14ac:dyDescent="0.2">
      <c r="A162" s="64" t="s">
        <v>2</v>
      </c>
      <c r="B162" s="88"/>
      <c r="C162" s="4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4"/>
      <c r="P162" s="4"/>
      <c r="Q162" s="4"/>
      <c r="R162" s="4"/>
      <c r="S162" s="4"/>
      <c r="T162" s="4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4"/>
      <c r="AG162" s="3"/>
      <c r="AH162" s="82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82"/>
      <c r="BC162" s="82"/>
      <c r="BD162" s="82"/>
      <c r="BE162" s="82"/>
      <c r="BF162" s="82"/>
      <c r="BG162" s="4"/>
      <c r="BH162" s="4"/>
      <c r="BI162" s="4"/>
      <c r="BJ162" s="4"/>
    </row>
    <row r="163" spans="1:62" ht="12.75" x14ac:dyDescent="0.2">
      <c r="A163" s="64" t="s">
        <v>2</v>
      </c>
      <c r="B163" s="88"/>
      <c r="C163" s="4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4"/>
      <c r="P163" s="4"/>
      <c r="Q163" s="4"/>
      <c r="R163" s="4"/>
      <c r="S163" s="4"/>
      <c r="T163" s="4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4"/>
      <c r="AG163" s="3"/>
      <c r="AH163" s="82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82"/>
      <c r="BC163" s="82"/>
      <c r="BD163" s="82"/>
      <c r="BE163" s="82"/>
      <c r="BF163" s="82"/>
      <c r="BG163" s="4"/>
      <c r="BH163" s="4"/>
      <c r="BI163" s="4"/>
      <c r="BJ163" s="4"/>
    </row>
    <row r="164" spans="1:62" ht="12.75" x14ac:dyDescent="0.2">
      <c r="A164" s="64" t="s">
        <v>2</v>
      </c>
      <c r="B164" s="88"/>
      <c r="C164" s="4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4"/>
      <c r="P164" s="4"/>
      <c r="Q164" s="4"/>
      <c r="R164" s="4"/>
      <c r="S164" s="4"/>
      <c r="T164" s="4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4"/>
      <c r="AG164" s="3"/>
      <c r="AH164" s="82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82"/>
      <c r="BC164" s="82"/>
      <c r="BD164" s="82"/>
      <c r="BE164" s="82"/>
      <c r="BF164" s="82"/>
      <c r="BG164" s="4"/>
      <c r="BH164" s="4"/>
      <c r="BI164" s="4"/>
      <c r="BJ164" s="4"/>
    </row>
    <row r="165" spans="1:62" ht="12.75" x14ac:dyDescent="0.2">
      <c r="A165" s="64" t="s">
        <v>2</v>
      </c>
      <c r="B165" s="88"/>
      <c r="C165" s="4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4"/>
      <c r="P165" s="4"/>
      <c r="Q165" s="4"/>
      <c r="R165" s="4"/>
      <c r="S165" s="4"/>
      <c r="T165" s="4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4"/>
      <c r="AG165" s="3"/>
      <c r="AH165" s="82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82"/>
      <c r="BC165" s="82"/>
      <c r="BD165" s="82"/>
      <c r="BE165" s="82"/>
      <c r="BF165" s="82"/>
      <c r="BG165" s="4"/>
      <c r="BH165" s="4"/>
      <c r="BI165" s="4"/>
      <c r="BJ165" s="4"/>
    </row>
    <row r="166" spans="1:62" ht="12.75" x14ac:dyDescent="0.2">
      <c r="A166" s="64" t="s">
        <v>2</v>
      </c>
      <c r="B166" s="88"/>
      <c r="C166" s="4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4"/>
      <c r="P166" s="4"/>
      <c r="Q166" s="4"/>
      <c r="R166" s="4"/>
      <c r="S166" s="4"/>
      <c r="T166" s="4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4"/>
      <c r="AG166" s="3"/>
      <c r="AH166" s="82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82"/>
      <c r="BC166" s="82"/>
      <c r="BD166" s="82"/>
      <c r="BE166" s="82"/>
      <c r="BF166" s="82"/>
      <c r="BG166" s="4"/>
      <c r="BH166" s="4"/>
      <c r="BI166" s="4"/>
      <c r="BJ166" s="4"/>
    </row>
    <row r="167" spans="1:62" ht="12.75" x14ac:dyDescent="0.2">
      <c r="A167" s="64" t="s">
        <v>2</v>
      </c>
      <c r="B167" s="88"/>
      <c r="C167" s="4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4"/>
      <c r="P167" s="4"/>
      <c r="Q167" s="4"/>
      <c r="R167" s="4"/>
      <c r="S167" s="4"/>
      <c r="T167" s="4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4"/>
      <c r="AG167" s="3"/>
      <c r="AH167" s="82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82"/>
      <c r="BC167" s="82"/>
      <c r="BD167" s="82"/>
      <c r="BE167" s="82"/>
      <c r="BF167" s="82"/>
      <c r="BG167" s="4"/>
      <c r="BH167" s="4"/>
      <c r="BI167" s="4"/>
      <c r="BJ167" s="4"/>
    </row>
    <row r="168" spans="1:62" ht="12.75" x14ac:dyDescent="0.2">
      <c r="A168" s="64" t="s">
        <v>2</v>
      </c>
      <c r="B168" s="88"/>
      <c r="C168" s="4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4"/>
      <c r="P168" s="4"/>
      <c r="Q168" s="4"/>
      <c r="R168" s="4"/>
      <c r="S168" s="4"/>
      <c r="T168" s="4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4"/>
      <c r="AG168" s="3"/>
      <c r="AH168" s="82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82"/>
      <c r="BC168" s="82"/>
      <c r="BD168" s="82"/>
      <c r="BE168" s="82"/>
      <c r="BF168" s="82"/>
      <c r="BG168" s="4"/>
      <c r="BH168" s="4"/>
      <c r="BI168" s="4"/>
      <c r="BJ168" s="4"/>
    </row>
    <row r="169" spans="1:62" ht="12.75" x14ac:dyDescent="0.2">
      <c r="A169" s="64" t="s">
        <v>2</v>
      </c>
      <c r="B169" s="88"/>
      <c r="C169" s="4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4"/>
      <c r="P169" s="4"/>
      <c r="Q169" s="4"/>
      <c r="R169" s="4"/>
      <c r="S169" s="4"/>
      <c r="T169" s="4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4"/>
      <c r="AG169" s="3"/>
      <c r="AH169" s="82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82"/>
      <c r="BC169" s="82"/>
      <c r="BD169" s="82"/>
      <c r="BE169" s="82"/>
      <c r="BF169" s="82"/>
      <c r="BG169" s="4"/>
      <c r="BH169" s="4"/>
      <c r="BI169" s="4"/>
      <c r="BJ169" s="4"/>
    </row>
    <row r="170" spans="1:62" ht="12.75" x14ac:dyDescent="0.2">
      <c r="A170" s="64" t="s">
        <v>2</v>
      </c>
      <c r="B170" s="88"/>
      <c r="C170" s="4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4"/>
      <c r="P170" s="4"/>
      <c r="Q170" s="4"/>
      <c r="R170" s="4"/>
      <c r="S170" s="4"/>
      <c r="T170" s="4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4"/>
      <c r="AG170" s="3"/>
      <c r="AH170" s="82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82"/>
      <c r="BC170" s="82"/>
      <c r="BD170" s="82"/>
      <c r="BE170" s="82"/>
      <c r="BF170" s="82"/>
      <c r="BG170" s="4"/>
      <c r="BH170" s="4"/>
      <c r="BI170" s="4"/>
      <c r="BJ170" s="4"/>
    </row>
    <row r="171" spans="1:62" ht="12.75" x14ac:dyDescent="0.2">
      <c r="A171" s="64" t="s">
        <v>2</v>
      </c>
      <c r="B171" s="88"/>
      <c r="C171" s="4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4"/>
      <c r="P171" s="4"/>
      <c r="Q171" s="4"/>
      <c r="R171" s="4"/>
      <c r="S171" s="4"/>
      <c r="T171" s="4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4"/>
      <c r="AG171" s="3"/>
      <c r="AH171" s="82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82"/>
      <c r="BC171" s="82"/>
      <c r="BD171" s="82"/>
      <c r="BE171" s="82"/>
      <c r="BF171" s="82"/>
      <c r="BG171" s="4"/>
      <c r="BH171" s="4"/>
      <c r="BI171" s="4"/>
      <c r="BJ171" s="4"/>
    </row>
    <row r="172" spans="1:62" ht="12.75" x14ac:dyDescent="0.2">
      <c r="A172" s="64" t="s">
        <v>2</v>
      </c>
      <c r="B172" s="88"/>
      <c r="C172" s="4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4"/>
      <c r="P172" s="4"/>
      <c r="Q172" s="4"/>
      <c r="R172" s="4"/>
      <c r="S172" s="4"/>
      <c r="T172" s="4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4"/>
      <c r="AG172" s="3"/>
      <c r="AH172" s="82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82"/>
      <c r="BC172" s="82"/>
      <c r="BD172" s="82"/>
      <c r="BE172" s="82"/>
      <c r="BF172" s="82"/>
      <c r="BG172" s="4"/>
      <c r="BH172" s="4"/>
      <c r="BI172" s="4"/>
      <c r="BJ172" s="4"/>
    </row>
    <row r="173" spans="1:62" ht="12.75" x14ac:dyDescent="0.2">
      <c r="A173" s="64" t="s">
        <v>2</v>
      </c>
      <c r="B173" s="88"/>
      <c r="C173" s="4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4"/>
      <c r="P173" s="4"/>
      <c r="Q173" s="4"/>
      <c r="R173" s="4"/>
      <c r="S173" s="4"/>
      <c r="T173" s="4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4"/>
      <c r="AG173" s="3"/>
      <c r="AH173" s="82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82"/>
      <c r="BC173" s="82"/>
      <c r="BD173" s="82"/>
      <c r="BE173" s="82"/>
      <c r="BF173" s="82"/>
      <c r="BG173" s="4"/>
      <c r="BH173" s="4"/>
      <c r="BI173" s="4"/>
      <c r="BJ173" s="4"/>
    </row>
    <row r="174" spans="1:62" ht="12.75" x14ac:dyDescent="0.2">
      <c r="A174" s="64" t="s">
        <v>2</v>
      </c>
      <c r="B174" s="85"/>
      <c r="C174" s="4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4"/>
      <c r="P174" s="4"/>
      <c r="Q174" s="4"/>
      <c r="R174" s="4"/>
      <c r="S174" s="4"/>
      <c r="T174" s="4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4"/>
      <c r="AG174" s="3"/>
      <c r="AH174" s="82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82"/>
      <c r="BC174" s="82"/>
      <c r="BD174" s="82"/>
      <c r="BE174" s="82"/>
      <c r="BF174" s="82"/>
      <c r="BG174" s="4"/>
      <c r="BH174" s="4"/>
      <c r="BI174" s="4"/>
      <c r="BJ174" s="4"/>
    </row>
    <row r="175" spans="1:62" ht="12.75" x14ac:dyDescent="0.2">
      <c r="A175" s="64" t="s">
        <v>2</v>
      </c>
      <c r="B175" s="85"/>
      <c r="C175" s="4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4"/>
      <c r="P175" s="4"/>
      <c r="Q175" s="4"/>
      <c r="R175" s="4"/>
      <c r="S175" s="4"/>
      <c r="T175" s="4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4"/>
      <c r="AG175" s="3"/>
      <c r="AH175" s="82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82"/>
      <c r="BC175" s="82"/>
      <c r="BD175" s="82"/>
      <c r="BE175" s="82"/>
      <c r="BF175" s="82"/>
      <c r="BG175" s="4"/>
      <c r="BH175" s="4"/>
      <c r="BI175" s="4"/>
      <c r="BJ175" s="4"/>
    </row>
    <row r="176" spans="1:62" ht="12.75" x14ac:dyDescent="0.2">
      <c r="A176" s="64" t="s">
        <v>2</v>
      </c>
      <c r="B176" s="85"/>
      <c r="C176" s="4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4"/>
      <c r="P176" s="4"/>
      <c r="Q176" s="4"/>
      <c r="R176" s="4"/>
      <c r="S176" s="4"/>
      <c r="T176" s="4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4"/>
      <c r="AG176" s="3"/>
      <c r="AH176" s="82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82"/>
      <c r="BC176" s="82"/>
      <c r="BD176" s="82"/>
      <c r="BE176" s="82"/>
      <c r="BF176" s="82"/>
      <c r="BG176" s="4"/>
      <c r="BH176" s="4"/>
      <c r="BI176" s="4"/>
      <c r="BJ176" s="4"/>
    </row>
    <row r="177" spans="1:62" ht="12.75" x14ac:dyDescent="0.2">
      <c r="A177" s="64" t="s">
        <v>2</v>
      </c>
      <c r="B177" s="85"/>
      <c r="C177" s="4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4"/>
      <c r="P177" s="4"/>
      <c r="Q177" s="4"/>
      <c r="R177" s="4"/>
      <c r="S177" s="4"/>
      <c r="T177" s="4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4"/>
      <c r="AG177" s="3"/>
      <c r="AH177" s="82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82"/>
      <c r="BC177" s="82"/>
      <c r="BD177" s="82"/>
      <c r="BE177" s="82"/>
      <c r="BF177" s="82"/>
      <c r="BG177" s="4"/>
      <c r="BH177" s="4"/>
      <c r="BI177" s="4"/>
      <c r="BJ177" s="4"/>
    </row>
    <row r="178" spans="1:62" ht="12.75" x14ac:dyDescent="0.2">
      <c r="A178" s="64" t="s">
        <v>2</v>
      </c>
      <c r="B178" s="85"/>
      <c r="C178" s="4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4"/>
      <c r="P178" s="4"/>
      <c r="Q178" s="4"/>
      <c r="R178" s="4"/>
      <c r="S178" s="4"/>
      <c r="T178" s="4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4"/>
      <c r="AG178" s="3"/>
      <c r="AH178" s="82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82"/>
      <c r="BC178" s="82"/>
      <c r="BD178" s="82"/>
      <c r="BE178" s="82"/>
      <c r="BF178" s="82"/>
      <c r="BG178" s="4"/>
      <c r="BH178" s="4"/>
      <c r="BI178" s="4"/>
      <c r="BJ178" s="4"/>
    </row>
    <row r="179" spans="1:62" ht="12.75" x14ac:dyDescent="0.2">
      <c r="A179" s="64" t="s">
        <v>2</v>
      </c>
      <c r="B179" s="85"/>
      <c r="C179" s="4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4"/>
      <c r="P179" s="4"/>
      <c r="Q179" s="4"/>
      <c r="R179" s="4"/>
      <c r="S179" s="4"/>
      <c r="T179" s="4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4"/>
      <c r="AG179" s="3"/>
      <c r="AH179" s="82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82"/>
      <c r="BC179" s="82"/>
      <c r="BD179" s="82"/>
      <c r="BE179" s="82"/>
      <c r="BF179" s="82"/>
      <c r="BG179" s="4"/>
      <c r="BH179" s="4"/>
      <c r="BI179" s="4"/>
      <c r="BJ179" s="4"/>
    </row>
    <row r="180" spans="1:62" ht="12.75" x14ac:dyDescent="0.2">
      <c r="A180" s="64" t="s">
        <v>2</v>
      </c>
      <c r="B180" s="85"/>
      <c r="C180" s="4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4"/>
      <c r="P180" s="4"/>
      <c r="Q180" s="4"/>
      <c r="R180" s="4"/>
      <c r="S180" s="4"/>
      <c r="T180" s="4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4"/>
      <c r="AG180" s="3"/>
      <c r="AH180" s="82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82"/>
      <c r="BC180" s="82"/>
      <c r="BD180" s="82"/>
      <c r="BE180" s="82"/>
      <c r="BF180" s="82"/>
      <c r="BG180" s="4"/>
      <c r="BH180" s="4"/>
      <c r="BI180" s="4"/>
      <c r="BJ180" s="4"/>
    </row>
    <row r="181" spans="1:62" ht="12.75" x14ac:dyDescent="0.2">
      <c r="A181" s="64" t="s">
        <v>2</v>
      </c>
      <c r="B181" s="85"/>
      <c r="C181" s="4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4"/>
      <c r="P181" s="4"/>
      <c r="Q181" s="4"/>
      <c r="R181" s="4"/>
      <c r="S181" s="4"/>
      <c r="T181" s="4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4"/>
      <c r="AG181" s="3"/>
      <c r="AH181" s="82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82"/>
      <c r="BC181" s="82"/>
      <c r="BD181" s="82"/>
      <c r="BE181" s="82"/>
      <c r="BF181" s="82"/>
      <c r="BG181" s="4"/>
      <c r="BH181" s="4"/>
      <c r="BI181" s="4"/>
      <c r="BJ181" s="4"/>
    </row>
    <row r="182" spans="1:62" ht="12.75" x14ac:dyDescent="0.2">
      <c r="A182" s="64" t="s">
        <v>2</v>
      </c>
      <c r="B182" s="85"/>
      <c r="C182" s="4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4"/>
      <c r="P182" s="4"/>
      <c r="Q182" s="4"/>
      <c r="R182" s="4"/>
      <c r="S182" s="4"/>
      <c r="T182" s="4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4"/>
      <c r="AG182" s="3"/>
      <c r="AH182" s="82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82"/>
      <c r="BC182" s="82"/>
      <c r="BD182" s="82"/>
      <c r="BE182" s="82"/>
      <c r="BF182" s="82"/>
      <c r="BG182" s="4"/>
      <c r="BH182" s="4"/>
      <c r="BI182" s="4"/>
      <c r="BJ182" s="4"/>
    </row>
    <row r="183" spans="1:62" ht="12.75" x14ac:dyDescent="0.2">
      <c r="A183" s="64" t="s">
        <v>2</v>
      </c>
      <c r="B183" s="88"/>
      <c r="C183" s="4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4"/>
      <c r="P183" s="4"/>
      <c r="Q183" s="4"/>
      <c r="R183" s="4"/>
      <c r="S183" s="4"/>
      <c r="T183" s="4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4"/>
      <c r="AG183" s="3"/>
      <c r="AH183" s="82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82"/>
      <c r="BC183" s="82"/>
      <c r="BD183" s="82"/>
      <c r="BE183" s="82"/>
      <c r="BF183" s="82"/>
      <c r="BG183" s="4"/>
      <c r="BH183" s="4"/>
      <c r="BI183" s="4"/>
      <c r="BJ183" s="4"/>
    </row>
    <row r="184" spans="1:62" ht="12.75" x14ac:dyDescent="0.2">
      <c r="A184" s="64" t="s">
        <v>2</v>
      </c>
      <c r="B184" s="88"/>
      <c r="C184" s="4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4"/>
      <c r="P184" s="4"/>
      <c r="Q184" s="4"/>
      <c r="R184" s="4"/>
      <c r="S184" s="4"/>
      <c r="T184" s="4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4"/>
      <c r="AG184" s="3"/>
      <c r="AH184" s="82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82"/>
      <c r="BC184" s="82"/>
      <c r="BD184" s="82"/>
      <c r="BE184" s="82"/>
      <c r="BF184" s="82"/>
      <c r="BG184" s="4"/>
      <c r="BH184" s="4"/>
      <c r="BI184" s="4"/>
      <c r="BJ184" s="4"/>
    </row>
    <row r="185" spans="1:62" ht="12.75" x14ac:dyDescent="0.2">
      <c r="A185" s="64" t="s">
        <v>2</v>
      </c>
      <c r="B185" s="88"/>
      <c r="C185" s="4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4"/>
      <c r="P185" s="4"/>
      <c r="Q185" s="4"/>
      <c r="R185" s="4"/>
      <c r="S185" s="4"/>
      <c r="T185" s="4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4"/>
      <c r="AG185" s="3"/>
      <c r="AH185" s="82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82"/>
      <c r="BC185" s="82"/>
      <c r="BD185" s="82"/>
      <c r="BE185" s="82"/>
      <c r="BF185" s="82"/>
      <c r="BG185" s="4"/>
      <c r="BH185" s="4"/>
      <c r="BI185" s="4"/>
      <c r="BJ185" s="4"/>
    </row>
    <row r="186" spans="1:62" ht="12.75" x14ac:dyDescent="0.2">
      <c r="A186" s="64" t="s">
        <v>2</v>
      </c>
      <c r="B186" s="88"/>
      <c r="C186" s="4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4"/>
      <c r="P186" s="4"/>
      <c r="Q186" s="4"/>
      <c r="R186" s="4"/>
      <c r="S186" s="4"/>
      <c r="T186" s="4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4"/>
      <c r="AG186" s="3"/>
      <c r="AH186" s="82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82"/>
      <c r="BC186" s="82"/>
      <c r="BD186" s="82"/>
      <c r="BE186" s="82"/>
      <c r="BF186" s="82"/>
      <c r="BG186" s="4"/>
      <c r="BH186" s="4"/>
      <c r="BI186" s="4"/>
      <c r="BJ186" s="4"/>
    </row>
    <row r="187" spans="1:62" ht="12.75" x14ac:dyDescent="0.2">
      <c r="A187" s="64" t="s">
        <v>2</v>
      </c>
      <c r="B187" s="88"/>
      <c r="C187" s="4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4"/>
      <c r="P187" s="4"/>
      <c r="Q187" s="4"/>
      <c r="R187" s="4"/>
      <c r="S187" s="4"/>
      <c r="T187" s="4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4"/>
      <c r="AG187" s="3"/>
      <c r="AH187" s="82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82"/>
      <c r="BC187" s="82"/>
      <c r="BD187" s="82"/>
      <c r="BE187" s="82"/>
      <c r="BF187" s="82"/>
      <c r="BG187" s="4"/>
      <c r="BH187" s="4"/>
      <c r="BI187" s="4"/>
      <c r="BJ187" s="4"/>
    </row>
    <row r="188" spans="1:62" ht="12.75" x14ac:dyDescent="0.2">
      <c r="A188" s="64" t="s">
        <v>2</v>
      </c>
      <c r="B188" s="88"/>
      <c r="C188" s="4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4"/>
      <c r="P188" s="4"/>
      <c r="Q188" s="4"/>
      <c r="R188" s="4"/>
      <c r="S188" s="4"/>
      <c r="T188" s="4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4"/>
      <c r="AG188" s="3"/>
      <c r="AH188" s="82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82"/>
      <c r="BC188" s="82"/>
      <c r="BD188" s="82"/>
      <c r="BE188" s="82"/>
      <c r="BF188" s="82"/>
      <c r="BG188" s="4"/>
      <c r="BH188" s="4"/>
      <c r="BI188" s="4"/>
      <c r="BJ188" s="4"/>
    </row>
    <row r="189" spans="1:62" ht="12.75" x14ac:dyDescent="0.2">
      <c r="A189" s="64" t="s">
        <v>2</v>
      </c>
      <c r="B189" s="88"/>
      <c r="C189" s="4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4"/>
      <c r="P189" s="4"/>
      <c r="Q189" s="4"/>
      <c r="R189" s="4"/>
      <c r="S189" s="4"/>
      <c r="T189" s="4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4"/>
      <c r="AG189" s="3"/>
      <c r="AH189" s="82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82"/>
      <c r="BC189" s="82"/>
      <c r="BD189" s="82"/>
      <c r="BE189" s="82"/>
      <c r="BF189" s="82"/>
      <c r="BG189" s="4"/>
      <c r="BH189" s="4"/>
      <c r="BI189" s="4"/>
      <c r="BJ189" s="4"/>
    </row>
    <row r="190" spans="1:62" ht="12.75" x14ac:dyDescent="0.2">
      <c r="A190" s="64" t="s">
        <v>2</v>
      </c>
      <c r="B190" s="88"/>
      <c r="C190" s="4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4"/>
      <c r="P190" s="4"/>
      <c r="Q190" s="4"/>
      <c r="R190" s="4"/>
      <c r="S190" s="4"/>
      <c r="T190" s="4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4"/>
      <c r="AG190" s="3"/>
      <c r="AH190" s="82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82"/>
      <c r="BC190" s="82"/>
      <c r="BD190" s="82"/>
      <c r="BE190" s="82"/>
      <c r="BF190" s="82"/>
      <c r="BG190" s="4"/>
      <c r="BH190" s="4"/>
      <c r="BI190" s="4"/>
      <c r="BJ190" s="4"/>
    </row>
    <row r="191" spans="1:62" ht="12.75" x14ac:dyDescent="0.2">
      <c r="A191" s="64" t="s">
        <v>2</v>
      </c>
      <c r="B191" s="88"/>
      <c r="C191" s="4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4"/>
      <c r="P191" s="4"/>
      <c r="Q191" s="4"/>
      <c r="R191" s="4"/>
      <c r="S191" s="4"/>
      <c r="T191" s="4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4"/>
      <c r="AG191" s="3"/>
      <c r="AH191" s="82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82"/>
      <c r="BC191" s="82"/>
      <c r="BD191" s="82"/>
      <c r="BE191" s="82"/>
      <c r="BF191" s="82"/>
      <c r="BG191" s="4"/>
      <c r="BH191" s="4"/>
      <c r="BI191" s="4"/>
      <c r="BJ191" s="4"/>
    </row>
    <row r="192" spans="1:62" ht="12.75" x14ac:dyDescent="0.2">
      <c r="A192" s="64" t="s">
        <v>2</v>
      </c>
      <c r="B192" s="88"/>
      <c r="C192" s="4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4"/>
      <c r="P192" s="4"/>
      <c r="Q192" s="4"/>
      <c r="R192" s="4"/>
      <c r="S192" s="4"/>
      <c r="T192" s="4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4"/>
      <c r="AG192" s="3"/>
      <c r="AH192" s="82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82"/>
      <c r="BC192" s="82"/>
      <c r="BD192" s="82"/>
      <c r="BE192" s="82"/>
      <c r="BF192" s="82"/>
      <c r="BG192" s="4"/>
      <c r="BH192" s="4"/>
      <c r="BI192" s="4"/>
      <c r="BJ192" s="4"/>
    </row>
    <row r="193" spans="1:62" ht="12.75" x14ac:dyDescent="0.2">
      <c r="A193" s="64" t="s">
        <v>2</v>
      </c>
      <c r="B193" s="88"/>
      <c r="C193" s="4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4"/>
      <c r="P193" s="4"/>
      <c r="Q193" s="4"/>
      <c r="R193" s="4"/>
      <c r="S193" s="4"/>
      <c r="T193" s="4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4"/>
      <c r="AG193" s="3"/>
      <c r="AH193" s="82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82"/>
      <c r="BC193" s="82"/>
      <c r="BD193" s="82"/>
      <c r="BE193" s="82"/>
      <c r="BF193" s="82"/>
      <c r="BG193" s="4"/>
      <c r="BH193" s="4"/>
      <c r="BI193" s="4"/>
      <c r="BJ193" s="4"/>
    </row>
    <row r="194" spans="1:62" ht="12.75" x14ac:dyDescent="0.2">
      <c r="A194" s="64" t="s">
        <v>2</v>
      </c>
      <c r="B194" s="88"/>
      <c r="C194" s="4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4"/>
      <c r="P194" s="4"/>
      <c r="Q194" s="4"/>
      <c r="R194" s="4"/>
      <c r="S194" s="4"/>
      <c r="T194" s="4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4"/>
      <c r="AG194" s="3"/>
      <c r="AH194" s="82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82"/>
      <c r="BC194" s="82"/>
      <c r="BD194" s="82"/>
      <c r="BE194" s="82"/>
      <c r="BF194" s="82"/>
      <c r="BG194" s="4"/>
      <c r="BH194" s="4"/>
      <c r="BI194" s="4"/>
      <c r="BJ194" s="4"/>
    </row>
    <row r="195" spans="1:62" ht="12.75" x14ac:dyDescent="0.2">
      <c r="A195" s="64" t="s">
        <v>2</v>
      </c>
      <c r="B195" s="88"/>
      <c r="C195" s="4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4"/>
      <c r="P195" s="4"/>
      <c r="Q195" s="4"/>
      <c r="R195" s="4"/>
      <c r="S195" s="4"/>
      <c r="T195" s="4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4"/>
      <c r="AG195" s="3"/>
      <c r="AH195" s="82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82"/>
      <c r="BC195" s="82"/>
      <c r="BD195" s="82"/>
      <c r="BE195" s="82"/>
      <c r="BF195" s="82"/>
      <c r="BG195" s="4"/>
      <c r="BH195" s="4"/>
      <c r="BI195" s="4"/>
      <c r="BJ195" s="4"/>
    </row>
    <row r="196" spans="1:62" ht="12.75" x14ac:dyDescent="0.2">
      <c r="A196" s="64" t="s">
        <v>2</v>
      </c>
      <c r="B196" s="88"/>
      <c r="C196" s="4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4"/>
      <c r="P196" s="4"/>
      <c r="Q196" s="4"/>
      <c r="R196" s="4"/>
      <c r="S196" s="4"/>
      <c r="T196" s="4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4"/>
      <c r="AG196" s="3"/>
      <c r="AH196" s="82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82"/>
      <c r="BC196" s="82"/>
      <c r="BD196" s="82"/>
      <c r="BE196" s="82"/>
      <c r="BF196" s="82"/>
      <c r="BG196" s="4"/>
      <c r="BH196" s="4"/>
      <c r="BI196" s="4"/>
      <c r="BJ196" s="4"/>
    </row>
    <row r="197" spans="1:62" ht="12.75" x14ac:dyDescent="0.2">
      <c r="A197" s="64" t="s">
        <v>2</v>
      </c>
      <c r="B197" s="88"/>
      <c r="C197" s="4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4"/>
      <c r="P197" s="4"/>
      <c r="Q197" s="4"/>
      <c r="R197" s="4"/>
      <c r="S197" s="4"/>
      <c r="T197" s="4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4"/>
      <c r="AG197" s="3"/>
      <c r="AH197" s="82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82"/>
      <c r="BC197" s="82"/>
      <c r="BD197" s="82"/>
      <c r="BE197" s="82"/>
      <c r="BF197" s="82"/>
      <c r="BG197" s="4"/>
      <c r="BH197" s="4"/>
      <c r="BI197" s="4"/>
      <c r="BJ197" s="4"/>
    </row>
    <row r="198" spans="1:62" ht="12.75" x14ac:dyDescent="0.2">
      <c r="A198" s="64" t="s">
        <v>2</v>
      </c>
      <c r="B198" s="88"/>
      <c r="C198" s="4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4"/>
      <c r="P198" s="4"/>
      <c r="Q198" s="4"/>
      <c r="R198" s="4"/>
      <c r="S198" s="4"/>
      <c r="T198" s="4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4"/>
      <c r="AG198" s="3"/>
      <c r="AH198" s="82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82"/>
      <c r="BC198" s="82"/>
      <c r="BD198" s="82"/>
      <c r="BE198" s="82"/>
      <c r="BF198" s="82"/>
      <c r="BG198" s="4"/>
      <c r="BH198" s="4"/>
      <c r="BI198" s="4"/>
      <c r="BJ198" s="4"/>
    </row>
    <row r="199" spans="1:62" ht="12.75" x14ac:dyDescent="0.2">
      <c r="A199" s="64" t="s">
        <v>2</v>
      </c>
      <c r="B199" s="88"/>
      <c r="C199" s="4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4"/>
      <c r="P199" s="4"/>
      <c r="Q199" s="4"/>
      <c r="R199" s="4"/>
      <c r="S199" s="4"/>
      <c r="T199" s="4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4"/>
      <c r="AG199" s="3"/>
      <c r="AH199" s="82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82"/>
      <c r="BC199" s="82"/>
      <c r="BD199" s="82"/>
      <c r="BE199" s="82"/>
      <c r="BF199" s="82"/>
      <c r="BG199" s="4"/>
      <c r="BH199" s="4"/>
      <c r="BI199" s="4"/>
      <c r="BJ199" s="4"/>
    </row>
    <row r="200" spans="1:62" ht="12.75" x14ac:dyDescent="0.2">
      <c r="A200" s="64" t="s">
        <v>2</v>
      </c>
      <c r="B200" s="88"/>
      <c r="C200" s="4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4"/>
      <c r="P200" s="4"/>
      <c r="Q200" s="4"/>
      <c r="R200" s="4"/>
      <c r="S200" s="4"/>
      <c r="T200" s="4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4"/>
      <c r="AG200" s="3"/>
      <c r="AH200" s="82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82"/>
      <c r="BC200" s="82"/>
      <c r="BD200" s="82"/>
      <c r="BE200" s="82"/>
      <c r="BF200" s="82"/>
      <c r="BG200" s="4"/>
      <c r="BH200" s="4"/>
      <c r="BI200" s="4"/>
      <c r="BJ200" s="4"/>
    </row>
    <row r="201" spans="1:62" ht="12.75" x14ac:dyDescent="0.2">
      <c r="A201" s="64" t="s">
        <v>2</v>
      </c>
      <c r="B201" s="88"/>
      <c r="C201" s="4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4"/>
      <c r="P201" s="4"/>
      <c r="Q201" s="4"/>
      <c r="R201" s="4"/>
      <c r="S201" s="4"/>
      <c r="T201" s="4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4"/>
      <c r="AG201" s="3"/>
      <c r="AH201" s="82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82"/>
      <c r="BC201" s="82"/>
      <c r="BD201" s="82"/>
      <c r="BE201" s="82"/>
      <c r="BF201" s="82"/>
      <c r="BG201" s="4"/>
      <c r="BH201" s="4"/>
      <c r="BI201" s="4"/>
      <c r="BJ201" s="4"/>
    </row>
    <row r="202" spans="1:62" ht="12.75" x14ac:dyDescent="0.2">
      <c r="A202" s="64" t="s">
        <v>2</v>
      </c>
      <c r="B202" s="88"/>
      <c r="C202" s="4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4"/>
      <c r="P202" s="4"/>
      <c r="Q202" s="4"/>
      <c r="R202" s="4"/>
      <c r="S202" s="4"/>
      <c r="T202" s="4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4"/>
      <c r="AG202" s="3"/>
      <c r="AH202" s="82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82"/>
      <c r="BC202" s="82"/>
      <c r="BD202" s="82"/>
      <c r="BE202" s="82"/>
      <c r="BF202" s="82"/>
      <c r="BG202" s="4"/>
      <c r="BH202" s="4"/>
      <c r="BI202" s="4"/>
      <c r="BJ202" s="4"/>
    </row>
    <row r="203" spans="1:62" ht="12.75" x14ac:dyDescent="0.2">
      <c r="A203" s="64" t="s">
        <v>2</v>
      </c>
      <c r="B203" s="88"/>
      <c r="C203" s="4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4"/>
      <c r="P203" s="4"/>
      <c r="Q203" s="4"/>
      <c r="R203" s="4"/>
      <c r="S203" s="4"/>
      <c r="T203" s="4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4"/>
      <c r="AG203" s="3"/>
      <c r="AH203" s="82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82"/>
      <c r="BC203" s="82"/>
      <c r="BD203" s="82"/>
      <c r="BE203" s="82"/>
      <c r="BF203" s="82"/>
      <c r="BG203" s="4"/>
      <c r="BH203" s="4"/>
      <c r="BI203" s="4"/>
      <c r="BJ203" s="4"/>
    </row>
    <row r="204" spans="1:62" ht="12.75" x14ac:dyDescent="0.2">
      <c r="A204" s="64" t="s">
        <v>2</v>
      </c>
      <c r="B204" s="88"/>
      <c r="C204" s="4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4"/>
      <c r="P204" s="4"/>
      <c r="Q204" s="4"/>
      <c r="R204" s="4"/>
      <c r="S204" s="4"/>
      <c r="T204" s="4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4"/>
      <c r="AG204" s="3"/>
      <c r="AH204" s="82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82"/>
      <c r="BC204" s="82"/>
      <c r="BD204" s="82"/>
      <c r="BE204" s="82"/>
      <c r="BF204" s="82"/>
      <c r="BG204" s="4"/>
      <c r="BH204" s="4"/>
      <c r="BI204" s="4"/>
      <c r="BJ204" s="4"/>
    </row>
    <row r="205" spans="1:62" ht="12.75" x14ac:dyDescent="0.2">
      <c r="A205" s="64" t="s">
        <v>2</v>
      </c>
      <c r="B205" s="88"/>
      <c r="C205" s="4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4"/>
      <c r="P205" s="4"/>
      <c r="Q205" s="4"/>
      <c r="R205" s="4"/>
      <c r="S205" s="4"/>
      <c r="T205" s="4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4"/>
      <c r="AG205" s="3"/>
      <c r="AH205" s="82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82"/>
      <c r="BC205" s="82"/>
      <c r="BD205" s="82"/>
      <c r="BE205" s="82"/>
      <c r="BF205" s="82"/>
      <c r="BG205" s="4"/>
      <c r="BH205" s="4"/>
      <c r="BI205" s="4"/>
      <c r="BJ205" s="4"/>
    </row>
    <row r="206" spans="1:62" ht="12.75" x14ac:dyDescent="0.2">
      <c r="A206" s="64" t="s">
        <v>2</v>
      </c>
      <c r="B206" s="88"/>
      <c r="C206" s="4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4"/>
      <c r="P206" s="4"/>
      <c r="Q206" s="4"/>
      <c r="R206" s="4"/>
      <c r="S206" s="4"/>
      <c r="T206" s="4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4"/>
      <c r="AG206" s="3"/>
      <c r="AH206" s="82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82"/>
      <c r="BC206" s="82"/>
      <c r="BD206" s="82"/>
      <c r="BE206" s="82"/>
      <c r="BF206" s="82"/>
      <c r="BG206" s="4"/>
      <c r="BH206" s="4"/>
      <c r="BI206" s="4"/>
      <c r="BJ206" s="4"/>
    </row>
    <row r="207" spans="1:62" ht="12.75" x14ac:dyDescent="0.2">
      <c r="A207" s="64" t="s">
        <v>2</v>
      </c>
      <c r="B207" s="88"/>
      <c r="C207" s="4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4"/>
      <c r="P207" s="4"/>
      <c r="Q207" s="4"/>
      <c r="R207" s="4"/>
      <c r="S207" s="4"/>
      <c r="T207" s="4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4"/>
      <c r="AG207" s="3"/>
      <c r="AH207" s="82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82"/>
      <c r="BC207" s="82"/>
      <c r="BD207" s="82"/>
      <c r="BE207" s="82"/>
      <c r="BF207" s="82"/>
      <c r="BG207" s="4"/>
      <c r="BH207" s="4"/>
      <c r="BI207" s="4"/>
      <c r="BJ207" s="4"/>
    </row>
    <row r="208" spans="1:62" ht="12.75" x14ac:dyDescent="0.2">
      <c r="A208" s="64" t="s">
        <v>2</v>
      </c>
      <c r="B208" s="88"/>
      <c r="C208" s="4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4"/>
      <c r="P208" s="4"/>
      <c r="Q208" s="4"/>
      <c r="R208" s="4"/>
      <c r="S208" s="4"/>
      <c r="T208" s="4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4"/>
      <c r="AG208" s="3"/>
      <c r="AH208" s="82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82"/>
      <c r="BC208" s="82"/>
      <c r="BD208" s="82"/>
      <c r="BE208" s="82"/>
      <c r="BF208" s="82"/>
      <c r="BG208" s="4"/>
      <c r="BH208" s="4"/>
      <c r="BI208" s="4"/>
      <c r="BJ208" s="4"/>
    </row>
    <row r="209" spans="1:62" ht="12.75" x14ac:dyDescent="0.2">
      <c r="A209" s="64" t="s">
        <v>2</v>
      </c>
      <c r="B209" s="88"/>
      <c r="C209" s="4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4"/>
      <c r="P209" s="4"/>
      <c r="Q209" s="4"/>
      <c r="R209" s="4"/>
      <c r="S209" s="4"/>
      <c r="T209" s="4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4"/>
      <c r="AG209" s="3"/>
      <c r="AH209" s="82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82"/>
      <c r="BC209" s="82"/>
      <c r="BD209" s="82"/>
      <c r="BE209" s="82"/>
      <c r="BF209" s="82"/>
      <c r="BG209" s="4"/>
      <c r="BH209" s="4"/>
      <c r="BI209" s="4"/>
      <c r="BJ209" s="4"/>
    </row>
    <row r="210" spans="1:62" ht="12.75" x14ac:dyDescent="0.2">
      <c r="A210" s="64" t="s">
        <v>2</v>
      </c>
      <c r="B210" s="88"/>
      <c r="C210" s="4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4"/>
      <c r="P210" s="4"/>
      <c r="Q210" s="4"/>
      <c r="R210" s="4"/>
      <c r="S210" s="4"/>
      <c r="T210" s="4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4"/>
      <c r="AG210" s="3"/>
      <c r="AH210" s="82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82"/>
      <c r="BC210" s="82"/>
      <c r="BD210" s="82"/>
      <c r="BE210" s="82"/>
      <c r="BF210" s="82"/>
      <c r="BG210" s="4"/>
      <c r="BH210" s="4"/>
      <c r="BI210" s="4"/>
      <c r="BJ210" s="4"/>
    </row>
    <row r="211" spans="1:62" ht="12.75" x14ac:dyDescent="0.2">
      <c r="A211" s="64" t="s">
        <v>2</v>
      </c>
      <c r="B211" s="88"/>
      <c r="C211" s="4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4"/>
      <c r="P211" s="4"/>
      <c r="Q211" s="4"/>
      <c r="R211" s="4"/>
      <c r="S211" s="4"/>
      <c r="T211" s="4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4"/>
      <c r="AG211" s="3"/>
      <c r="AH211" s="82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82"/>
      <c r="BC211" s="82"/>
      <c r="BD211" s="82"/>
      <c r="BE211" s="82"/>
      <c r="BF211" s="82"/>
      <c r="BG211" s="4"/>
      <c r="BH211" s="4"/>
      <c r="BI211" s="4"/>
      <c r="BJ211" s="4"/>
    </row>
    <row r="212" spans="1:62" ht="12.75" x14ac:dyDescent="0.2">
      <c r="A212" s="64" t="s">
        <v>2</v>
      </c>
      <c r="B212" s="88"/>
      <c r="C212" s="4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4"/>
      <c r="P212" s="4"/>
      <c r="Q212" s="4"/>
      <c r="R212" s="4"/>
      <c r="S212" s="4"/>
      <c r="T212" s="4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4"/>
      <c r="AG212" s="3"/>
      <c r="AH212" s="82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82"/>
      <c r="BC212" s="82"/>
      <c r="BD212" s="82"/>
      <c r="BE212" s="82"/>
      <c r="BF212" s="82"/>
      <c r="BG212" s="4"/>
      <c r="BH212" s="4"/>
      <c r="BI212" s="4"/>
      <c r="BJ212" s="4"/>
    </row>
    <row r="213" spans="1:62" ht="12.75" x14ac:dyDescent="0.2">
      <c r="A213" s="64" t="s">
        <v>2</v>
      </c>
      <c r="B213" s="85"/>
      <c r="C213" s="4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4"/>
      <c r="P213" s="4"/>
      <c r="Q213" s="4"/>
      <c r="R213" s="4"/>
      <c r="S213" s="4"/>
      <c r="T213" s="4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4"/>
      <c r="AG213" s="3"/>
      <c r="AH213" s="82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82"/>
      <c r="BC213" s="82"/>
      <c r="BD213" s="82"/>
      <c r="BE213" s="82"/>
      <c r="BF213" s="82"/>
      <c r="BG213" s="4"/>
      <c r="BH213" s="4"/>
      <c r="BI213" s="4"/>
      <c r="BJ213" s="4"/>
    </row>
    <row r="214" spans="1:62" ht="12.75" x14ac:dyDescent="0.2">
      <c r="A214" s="64" t="s">
        <v>2</v>
      </c>
      <c r="B214" s="85"/>
      <c r="C214" s="4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4"/>
      <c r="P214" s="4"/>
      <c r="Q214" s="4"/>
      <c r="R214" s="4"/>
      <c r="S214" s="4"/>
      <c r="T214" s="4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4"/>
      <c r="AG214" s="3"/>
      <c r="AH214" s="82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82"/>
      <c r="BC214" s="82"/>
      <c r="BD214" s="82"/>
      <c r="BE214" s="82"/>
      <c r="BF214" s="82"/>
      <c r="BG214" s="4"/>
      <c r="BH214" s="4"/>
      <c r="BI214" s="4"/>
      <c r="BJ214" s="4"/>
    </row>
    <row r="215" spans="1:62" ht="12.75" x14ac:dyDescent="0.2">
      <c r="A215" s="64" t="s">
        <v>2</v>
      </c>
      <c r="B215" s="85"/>
      <c r="C215" s="4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4"/>
      <c r="P215" s="4"/>
      <c r="Q215" s="4"/>
      <c r="R215" s="4"/>
      <c r="S215" s="4"/>
      <c r="T215" s="4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4"/>
      <c r="AG215" s="3"/>
      <c r="AH215" s="82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82"/>
      <c r="BC215" s="82"/>
      <c r="BD215" s="82"/>
      <c r="BE215" s="82"/>
      <c r="BF215" s="82"/>
      <c r="BG215" s="4"/>
      <c r="BH215" s="4"/>
      <c r="BI215" s="4"/>
      <c r="BJ215" s="4"/>
    </row>
    <row r="216" spans="1:62" ht="12.75" x14ac:dyDescent="0.2">
      <c r="A216" s="64" t="s">
        <v>2</v>
      </c>
      <c r="B216" s="85"/>
      <c r="C216" s="4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4"/>
      <c r="P216" s="4"/>
      <c r="Q216" s="4"/>
      <c r="R216" s="4"/>
      <c r="S216" s="4"/>
      <c r="T216" s="4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4"/>
      <c r="AG216" s="3"/>
      <c r="AH216" s="82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82"/>
      <c r="BC216" s="82"/>
      <c r="BD216" s="82"/>
      <c r="BE216" s="82"/>
      <c r="BF216" s="82"/>
      <c r="BG216" s="4"/>
      <c r="BH216" s="4"/>
      <c r="BI216" s="4"/>
      <c r="BJ216" s="4"/>
    </row>
    <row r="217" spans="1:62" ht="12.75" x14ac:dyDescent="0.2">
      <c r="A217" s="64" t="s">
        <v>2</v>
      </c>
      <c r="B217" s="85"/>
      <c r="C217" s="4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4"/>
      <c r="P217" s="4"/>
      <c r="Q217" s="4"/>
      <c r="R217" s="4"/>
      <c r="S217" s="4"/>
      <c r="T217" s="4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4"/>
      <c r="AG217" s="3"/>
      <c r="AH217" s="82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82"/>
      <c r="BC217" s="82"/>
      <c r="BD217" s="82"/>
      <c r="BE217" s="82"/>
      <c r="BF217" s="82"/>
      <c r="BG217" s="4"/>
      <c r="BH217" s="4"/>
      <c r="BI217" s="4"/>
      <c r="BJ217" s="4"/>
    </row>
    <row r="218" spans="1:62" ht="12.75" x14ac:dyDescent="0.2">
      <c r="A218" s="64" t="s">
        <v>2</v>
      </c>
      <c r="B218" s="85"/>
      <c r="C218" s="4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4"/>
      <c r="P218" s="4"/>
      <c r="Q218" s="4"/>
      <c r="R218" s="4"/>
      <c r="S218" s="4"/>
      <c r="T218" s="4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4"/>
      <c r="AG218" s="3"/>
      <c r="AH218" s="82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82"/>
      <c r="BC218" s="82"/>
      <c r="BD218" s="82"/>
      <c r="BE218" s="82"/>
      <c r="BF218" s="82"/>
      <c r="BG218" s="4"/>
      <c r="BH218" s="4"/>
      <c r="BI218" s="4"/>
      <c r="BJ218" s="4"/>
    </row>
    <row r="219" spans="1:62" ht="12.75" x14ac:dyDescent="0.2">
      <c r="A219" s="64" t="s">
        <v>2</v>
      </c>
      <c r="B219" s="85"/>
      <c r="C219" s="4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4"/>
      <c r="P219" s="4"/>
      <c r="Q219" s="4"/>
      <c r="R219" s="4"/>
      <c r="S219" s="4"/>
      <c r="T219" s="4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4"/>
      <c r="AG219" s="3"/>
      <c r="AH219" s="82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82"/>
      <c r="BC219" s="82"/>
      <c r="BD219" s="82"/>
      <c r="BE219" s="82"/>
      <c r="BF219" s="82"/>
      <c r="BG219" s="4"/>
      <c r="BH219" s="4"/>
      <c r="BI219" s="4"/>
      <c r="BJ219" s="4"/>
    </row>
    <row r="220" spans="1:62" ht="12.75" x14ac:dyDescent="0.2">
      <c r="A220" s="64" t="s">
        <v>2</v>
      </c>
      <c r="B220" s="85"/>
      <c r="C220" s="4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4"/>
      <c r="P220" s="4"/>
      <c r="Q220" s="4"/>
      <c r="R220" s="4"/>
      <c r="S220" s="4"/>
      <c r="T220" s="4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4"/>
      <c r="AG220" s="3"/>
      <c r="AH220" s="82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82"/>
      <c r="BC220" s="82"/>
      <c r="BD220" s="82"/>
      <c r="BE220" s="82"/>
      <c r="BF220" s="82"/>
      <c r="BG220" s="4"/>
      <c r="BH220" s="4"/>
      <c r="BI220" s="4"/>
      <c r="BJ220" s="4"/>
    </row>
    <row r="221" spans="1:62" ht="12.75" x14ac:dyDescent="0.2">
      <c r="A221" s="64" t="s">
        <v>2</v>
      </c>
      <c r="B221" s="85"/>
      <c r="C221" s="4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4"/>
      <c r="P221" s="4"/>
      <c r="Q221" s="4"/>
      <c r="R221" s="4"/>
      <c r="S221" s="4"/>
      <c r="T221" s="4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4"/>
      <c r="AG221" s="3"/>
      <c r="AH221" s="82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82"/>
      <c r="BC221" s="82"/>
      <c r="BD221" s="82"/>
      <c r="BE221" s="82"/>
      <c r="BF221" s="82"/>
      <c r="BG221" s="4"/>
      <c r="BH221" s="4"/>
      <c r="BI221" s="4"/>
      <c r="BJ221" s="4"/>
    </row>
    <row r="222" spans="1:62" ht="12.75" x14ac:dyDescent="0.2">
      <c r="A222" s="64" t="s">
        <v>2</v>
      </c>
      <c r="B222" s="85"/>
      <c r="C222" s="4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4"/>
      <c r="P222" s="4"/>
      <c r="Q222" s="4"/>
      <c r="R222" s="4"/>
      <c r="S222" s="4"/>
      <c r="T222" s="4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4"/>
      <c r="AG222" s="3"/>
      <c r="AH222" s="82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82"/>
      <c r="BC222" s="82"/>
      <c r="BD222" s="82"/>
      <c r="BE222" s="82"/>
      <c r="BF222" s="82"/>
      <c r="BG222" s="4"/>
      <c r="BH222" s="4"/>
      <c r="BI222" s="4"/>
      <c r="BJ222" s="4"/>
    </row>
    <row r="223" spans="1:62" ht="12.75" x14ac:dyDescent="0.2">
      <c r="A223" s="64" t="s">
        <v>2</v>
      </c>
      <c r="B223" s="85"/>
      <c r="C223" s="4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4"/>
      <c r="P223" s="4"/>
      <c r="Q223" s="4"/>
      <c r="R223" s="4"/>
      <c r="S223" s="4"/>
      <c r="T223" s="4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4"/>
      <c r="AG223" s="3"/>
      <c r="AH223" s="82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82"/>
      <c r="BC223" s="82"/>
      <c r="BD223" s="82"/>
      <c r="BE223" s="82"/>
      <c r="BF223" s="82"/>
      <c r="BG223" s="4"/>
      <c r="BH223" s="4"/>
      <c r="BI223" s="4"/>
      <c r="BJ223" s="4"/>
    </row>
    <row r="224" spans="1:62" ht="12.75" x14ac:dyDescent="0.2">
      <c r="A224" s="64" t="s">
        <v>2</v>
      </c>
      <c r="B224" s="85"/>
      <c r="C224" s="4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4"/>
      <c r="P224" s="4"/>
      <c r="Q224" s="4"/>
      <c r="R224" s="4"/>
      <c r="S224" s="4"/>
      <c r="T224" s="4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4"/>
      <c r="AG224" s="3"/>
      <c r="AH224" s="82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82"/>
      <c r="BC224" s="82"/>
      <c r="BD224" s="82"/>
      <c r="BE224" s="82"/>
      <c r="BF224" s="82"/>
      <c r="BG224" s="4"/>
      <c r="BH224" s="4"/>
      <c r="BI224" s="4"/>
      <c r="BJ224" s="4"/>
    </row>
    <row r="225" spans="1:62" ht="12.75" x14ac:dyDescent="0.2">
      <c r="A225" s="64" t="s">
        <v>2</v>
      </c>
      <c r="B225" s="85"/>
      <c r="C225" s="4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4"/>
      <c r="P225" s="4"/>
      <c r="Q225" s="4"/>
      <c r="R225" s="4"/>
      <c r="S225" s="4"/>
      <c r="T225" s="4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4"/>
      <c r="AG225" s="3"/>
      <c r="AH225" s="82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82"/>
      <c r="BC225" s="82"/>
      <c r="BD225" s="82"/>
      <c r="BE225" s="82"/>
      <c r="BF225" s="82"/>
      <c r="BG225" s="4"/>
      <c r="BH225" s="4"/>
      <c r="BI225" s="4"/>
      <c r="BJ225" s="4"/>
    </row>
    <row r="226" spans="1:62" ht="12.75" x14ac:dyDescent="0.2">
      <c r="A226" s="64" t="s">
        <v>2</v>
      </c>
      <c r="B226" s="85"/>
      <c r="C226" s="4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4"/>
      <c r="P226" s="4"/>
      <c r="Q226" s="4"/>
      <c r="R226" s="4"/>
      <c r="S226" s="4"/>
      <c r="T226" s="4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4"/>
      <c r="AG226" s="3"/>
      <c r="AH226" s="82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82"/>
      <c r="BC226" s="82"/>
      <c r="BD226" s="82"/>
      <c r="BE226" s="82"/>
      <c r="BF226" s="82"/>
      <c r="BG226" s="4"/>
      <c r="BH226" s="4"/>
      <c r="BI226" s="4"/>
      <c r="BJ226" s="4"/>
    </row>
    <row r="227" spans="1:62" ht="12.75" x14ac:dyDescent="0.2">
      <c r="A227" s="64" t="s">
        <v>2</v>
      </c>
      <c r="B227" s="85"/>
      <c r="C227" s="4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4"/>
      <c r="P227" s="4"/>
      <c r="Q227" s="4"/>
      <c r="R227" s="4"/>
      <c r="S227" s="4"/>
      <c r="T227" s="4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4"/>
      <c r="AG227" s="3"/>
      <c r="AH227" s="82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82"/>
      <c r="BC227" s="82"/>
      <c r="BD227" s="82"/>
      <c r="BE227" s="82"/>
      <c r="BF227" s="82"/>
      <c r="BG227" s="4"/>
      <c r="BH227" s="4"/>
      <c r="BI227" s="4"/>
      <c r="BJ227" s="4"/>
    </row>
    <row r="228" spans="1:62" ht="12.75" x14ac:dyDescent="0.2">
      <c r="A228" s="64" t="s">
        <v>2</v>
      </c>
      <c r="B228" s="85"/>
      <c r="C228" s="4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4"/>
      <c r="P228" s="4"/>
      <c r="Q228" s="4"/>
      <c r="R228" s="4"/>
      <c r="S228" s="4"/>
      <c r="T228" s="4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4"/>
      <c r="AG228" s="3"/>
      <c r="AH228" s="82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82"/>
      <c r="BC228" s="82"/>
      <c r="BD228" s="82"/>
      <c r="BE228" s="82"/>
      <c r="BF228" s="82"/>
      <c r="BG228" s="4"/>
      <c r="BH228" s="4"/>
      <c r="BI228" s="4"/>
      <c r="BJ228" s="4"/>
    </row>
    <row r="229" spans="1:62" ht="12.75" x14ac:dyDescent="0.2">
      <c r="A229" s="64" t="s">
        <v>2</v>
      </c>
      <c r="B229" s="85"/>
      <c r="C229" s="4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4"/>
      <c r="P229" s="4"/>
      <c r="Q229" s="4"/>
      <c r="R229" s="4"/>
      <c r="S229" s="4"/>
      <c r="T229" s="4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4"/>
      <c r="AG229" s="3"/>
      <c r="AH229" s="82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82"/>
      <c r="BC229" s="82"/>
      <c r="BD229" s="82"/>
      <c r="BE229" s="82"/>
      <c r="BF229" s="82"/>
      <c r="BG229" s="4"/>
      <c r="BH229" s="4"/>
      <c r="BI229" s="4"/>
      <c r="BJ229" s="4"/>
    </row>
    <row r="230" spans="1:62" ht="12.75" x14ac:dyDescent="0.2">
      <c r="A230" s="64" t="s">
        <v>2</v>
      </c>
      <c r="B230" s="85"/>
      <c r="C230" s="4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4"/>
      <c r="P230" s="4"/>
      <c r="Q230" s="4"/>
      <c r="R230" s="4"/>
      <c r="S230" s="4"/>
      <c r="T230" s="4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4"/>
      <c r="AG230" s="3"/>
      <c r="AH230" s="82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82"/>
      <c r="BC230" s="82"/>
      <c r="BD230" s="82"/>
      <c r="BE230" s="82"/>
      <c r="BF230" s="82"/>
      <c r="BG230" s="4"/>
      <c r="BH230" s="4"/>
      <c r="BI230" s="4"/>
      <c r="BJ230" s="4"/>
    </row>
    <row r="231" spans="1:62" ht="12.75" x14ac:dyDescent="0.2">
      <c r="A231" s="64" t="s">
        <v>2</v>
      </c>
      <c r="B231" s="85"/>
      <c r="C231" s="4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4"/>
      <c r="P231" s="4"/>
      <c r="Q231" s="4"/>
      <c r="R231" s="4"/>
      <c r="S231" s="4"/>
      <c r="T231" s="4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4"/>
      <c r="AG231" s="3"/>
      <c r="AH231" s="82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82"/>
      <c r="BC231" s="82"/>
      <c r="BD231" s="82"/>
      <c r="BE231" s="82"/>
      <c r="BF231" s="82"/>
      <c r="BG231" s="4"/>
      <c r="BH231" s="4"/>
      <c r="BI231" s="4"/>
      <c r="BJ231" s="4"/>
    </row>
    <row r="232" spans="1:62" ht="12.75" x14ac:dyDescent="0.2">
      <c r="A232" s="64" t="s">
        <v>2</v>
      </c>
      <c r="B232" s="85"/>
      <c r="C232" s="4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4"/>
      <c r="P232" s="4"/>
      <c r="Q232" s="4"/>
      <c r="R232" s="4"/>
      <c r="S232" s="4"/>
      <c r="T232" s="4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4"/>
      <c r="AG232" s="3"/>
      <c r="AH232" s="82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82"/>
      <c r="BC232" s="82"/>
      <c r="BD232" s="82"/>
      <c r="BE232" s="82"/>
      <c r="BF232" s="82"/>
      <c r="BG232" s="4"/>
      <c r="BH232" s="4"/>
      <c r="BI232" s="4"/>
      <c r="BJ232" s="4"/>
    </row>
    <row r="233" spans="1:62" ht="12.75" x14ac:dyDescent="0.2">
      <c r="A233" s="64" t="s">
        <v>2</v>
      </c>
      <c r="B233" s="85"/>
      <c r="C233" s="4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4"/>
      <c r="P233" s="4"/>
      <c r="Q233" s="4"/>
      <c r="R233" s="4"/>
      <c r="S233" s="4"/>
      <c r="T233" s="4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4"/>
      <c r="AG233" s="3"/>
      <c r="AH233" s="82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82"/>
      <c r="BC233" s="82"/>
      <c r="BD233" s="82"/>
      <c r="BE233" s="82"/>
      <c r="BF233" s="82"/>
      <c r="BG233" s="4"/>
      <c r="BH233" s="4"/>
      <c r="BI233" s="4"/>
      <c r="BJ233" s="4"/>
    </row>
    <row r="234" spans="1:62" ht="12.75" x14ac:dyDescent="0.2">
      <c r="A234" s="64" t="s">
        <v>2</v>
      </c>
      <c r="B234" s="85"/>
      <c r="C234" s="4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4"/>
      <c r="P234" s="4"/>
      <c r="Q234" s="4"/>
      <c r="R234" s="4"/>
      <c r="S234" s="4"/>
      <c r="T234" s="4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4"/>
      <c r="AG234" s="3"/>
      <c r="AH234" s="82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82"/>
      <c r="BC234" s="82"/>
      <c r="BD234" s="82"/>
      <c r="BE234" s="82"/>
      <c r="BF234" s="82"/>
      <c r="BG234" s="4"/>
      <c r="BH234" s="4"/>
      <c r="BI234" s="4"/>
      <c r="BJ234" s="4"/>
    </row>
    <row r="235" spans="1:62" ht="12.75" x14ac:dyDescent="0.2">
      <c r="A235" s="64" t="s">
        <v>2</v>
      </c>
      <c r="B235" s="85"/>
      <c r="C235" s="4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4"/>
      <c r="P235" s="4"/>
      <c r="Q235" s="4"/>
      <c r="R235" s="4"/>
      <c r="S235" s="4"/>
      <c r="T235" s="4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4"/>
      <c r="AG235" s="3"/>
      <c r="AH235" s="82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82"/>
      <c r="BC235" s="82"/>
      <c r="BD235" s="82"/>
      <c r="BE235" s="82"/>
      <c r="BF235" s="82"/>
      <c r="BG235" s="4"/>
      <c r="BH235" s="4"/>
      <c r="BI235" s="4"/>
      <c r="BJ235" s="4"/>
    </row>
    <row r="236" spans="1:62" ht="12.75" x14ac:dyDescent="0.2">
      <c r="A236" s="64" t="s">
        <v>2</v>
      </c>
      <c r="B236" s="85"/>
      <c r="C236" s="4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4"/>
      <c r="P236" s="4"/>
      <c r="Q236" s="4"/>
      <c r="R236" s="4"/>
      <c r="S236" s="4"/>
      <c r="T236" s="4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4"/>
      <c r="AG236" s="3"/>
      <c r="AH236" s="82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82"/>
      <c r="BC236" s="82"/>
      <c r="BD236" s="82"/>
      <c r="BE236" s="82"/>
      <c r="BF236" s="82"/>
      <c r="BG236" s="4"/>
      <c r="BH236" s="4"/>
      <c r="BI236" s="4"/>
      <c r="BJ236" s="4"/>
    </row>
    <row r="237" spans="1:62" ht="12.75" x14ac:dyDescent="0.2">
      <c r="A237" s="64" t="s">
        <v>2</v>
      </c>
      <c r="B237" s="85"/>
      <c r="C237" s="4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4"/>
      <c r="P237" s="4"/>
      <c r="Q237" s="4"/>
      <c r="R237" s="4"/>
      <c r="S237" s="4"/>
      <c r="T237" s="4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4"/>
      <c r="AG237" s="3"/>
      <c r="AH237" s="82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82"/>
      <c r="BC237" s="82"/>
      <c r="BD237" s="82"/>
      <c r="BE237" s="82"/>
      <c r="BF237" s="82"/>
      <c r="BG237" s="4"/>
      <c r="BH237" s="4"/>
      <c r="BI237" s="4"/>
      <c r="BJ237" s="4"/>
    </row>
    <row r="238" spans="1:62" ht="12.75" x14ac:dyDescent="0.2">
      <c r="A238" s="64" t="s">
        <v>2</v>
      </c>
      <c r="B238" s="85"/>
      <c r="C238" s="4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4"/>
      <c r="P238" s="4"/>
      <c r="Q238" s="4"/>
      <c r="R238" s="4"/>
      <c r="S238" s="4"/>
      <c r="T238" s="4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4"/>
      <c r="AG238" s="3"/>
      <c r="AH238" s="82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82"/>
      <c r="BC238" s="82"/>
      <c r="BD238" s="82"/>
      <c r="BE238" s="82"/>
      <c r="BF238" s="82"/>
      <c r="BG238" s="4"/>
      <c r="BH238" s="4"/>
      <c r="BI238" s="4"/>
      <c r="BJ238" s="4"/>
    </row>
    <row r="239" spans="1:62" ht="12.75" x14ac:dyDescent="0.2">
      <c r="A239" s="64" t="s">
        <v>2</v>
      </c>
      <c r="B239" s="85"/>
      <c r="C239" s="4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4"/>
      <c r="P239" s="4"/>
      <c r="Q239" s="4"/>
      <c r="R239" s="4"/>
      <c r="S239" s="4"/>
      <c r="T239" s="4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4"/>
      <c r="AG239" s="3"/>
      <c r="AH239" s="82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82"/>
      <c r="BC239" s="82"/>
      <c r="BD239" s="82"/>
      <c r="BE239" s="82"/>
      <c r="BF239" s="82"/>
      <c r="BG239" s="4"/>
      <c r="BH239" s="4"/>
      <c r="BI239" s="4"/>
      <c r="BJ239" s="4"/>
    </row>
    <row r="240" spans="1:62" ht="12.75" x14ac:dyDescent="0.2">
      <c r="A240" s="64" t="s">
        <v>2</v>
      </c>
      <c r="B240" s="85"/>
      <c r="C240" s="4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4"/>
      <c r="P240" s="4"/>
      <c r="Q240" s="4"/>
      <c r="R240" s="4"/>
      <c r="S240" s="4"/>
      <c r="T240" s="4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4"/>
      <c r="AG240" s="3"/>
      <c r="AH240" s="82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82"/>
      <c r="BC240" s="82"/>
      <c r="BD240" s="82"/>
      <c r="BE240" s="82"/>
      <c r="BF240" s="82"/>
      <c r="BG240" s="4"/>
      <c r="BH240" s="4"/>
      <c r="BI240" s="4"/>
      <c r="BJ240" s="4"/>
    </row>
    <row r="241" spans="1:62" ht="12.75" x14ac:dyDescent="0.2">
      <c r="A241" s="64" t="s">
        <v>2</v>
      </c>
      <c r="B241" s="85"/>
      <c r="C241" s="4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4"/>
      <c r="P241" s="4"/>
      <c r="Q241" s="4"/>
      <c r="R241" s="4"/>
      <c r="S241" s="4"/>
      <c r="T241" s="4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4"/>
      <c r="AG241" s="3"/>
      <c r="AH241" s="82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82"/>
      <c r="BC241" s="82"/>
      <c r="BD241" s="82"/>
      <c r="BE241" s="82"/>
      <c r="BF241" s="82"/>
      <c r="BG241" s="4"/>
      <c r="BH241" s="4"/>
      <c r="BI241" s="4"/>
      <c r="BJ241" s="4"/>
    </row>
    <row r="242" spans="1:62" ht="12.75" x14ac:dyDescent="0.2">
      <c r="A242" s="64" t="s">
        <v>2</v>
      </c>
      <c r="B242" s="85"/>
      <c r="C242" s="4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4"/>
      <c r="P242" s="4"/>
      <c r="Q242" s="4"/>
      <c r="R242" s="4"/>
      <c r="S242" s="4"/>
      <c r="T242" s="4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4"/>
      <c r="AG242" s="3"/>
      <c r="AH242" s="82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82"/>
      <c r="BC242" s="82"/>
      <c r="BD242" s="82"/>
      <c r="BE242" s="82"/>
      <c r="BF242" s="82"/>
      <c r="BG242" s="4"/>
      <c r="BH242" s="4"/>
      <c r="BI242" s="4"/>
      <c r="BJ242" s="4"/>
    </row>
    <row r="243" spans="1:62" ht="12.75" x14ac:dyDescent="0.2">
      <c r="A243" s="64" t="s">
        <v>2</v>
      </c>
      <c r="B243" s="85"/>
      <c r="C243" s="4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4"/>
      <c r="P243" s="4"/>
      <c r="Q243" s="4"/>
      <c r="R243" s="4"/>
      <c r="S243" s="4"/>
      <c r="T243" s="4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4"/>
      <c r="AG243" s="3"/>
      <c r="AH243" s="82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82"/>
      <c r="BC243" s="82"/>
      <c r="BD243" s="82"/>
      <c r="BE243" s="82"/>
      <c r="BF243" s="82"/>
      <c r="BG243" s="4"/>
      <c r="BH243" s="4"/>
      <c r="BI243" s="4"/>
      <c r="BJ243" s="4"/>
    </row>
    <row r="244" spans="1:62" ht="12.75" x14ac:dyDescent="0.2">
      <c r="A244" s="64" t="s">
        <v>2</v>
      </c>
      <c r="B244" s="85"/>
      <c r="C244" s="4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4"/>
      <c r="P244" s="4"/>
      <c r="Q244" s="4"/>
      <c r="R244" s="4"/>
      <c r="S244" s="4"/>
      <c r="T244" s="4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4"/>
      <c r="AG244" s="3"/>
      <c r="AH244" s="82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82"/>
      <c r="BC244" s="82"/>
      <c r="BD244" s="82"/>
      <c r="BE244" s="82"/>
      <c r="BF244" s="82"/>
      <c r="BG244" s="4"/>
      <c r="BH244" s="4"/>
      <c r="BI244" s="4"/>
      <c r="BJ244" s="4"/>
    </row>
    <row r="245" spans="1:62" ht="12.75" x14ac:dyDescent="0.2">
      <c r="A245" s="64" t="s">
        <v>2</v>
      </c>
      <c r="B245" s="85"/>
      <c r="C245" s="4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4"/>
      <c r="P245" s="4"/>
      <c r="Q245" s="4"/>
      <c r="R245" s="4"/>
      <c r="S245" s="4"/>
      <c r="T245" s="4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4"/>
      <c r="AG245" s="3"/>
      <c r="AH245" s="82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82"/>
      <c r="BC245" s="82"/>
      <c r="BD245" s="82"/>
      <c r="BE245" s="82"/>
      <c r="BF245" s="82"/>
      <c r="BG245" s="4"/>
      <c r="BH245" s="4"/>
      <c r="BI245" s="4"/>
      <c r="BJ245" s="4"/>
    </row>
    <row r="246" spans="1:62" ht="12.75" x14ac:dyDescent="0.2">
      <c r="A246" s="64" t="s">
        <v>2</v>
      </c>
      <c r="B246" s="85"/>
      <c r="C246" s="4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4"/>
      <c r="P246" s="4"/>
      <c r="Q246" s="4"/>
      <c r="R246" s="4"/>
      <c r="S246" s="4"/>
      <c r="T246" s="4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4"/>
      <c r="AG246" s="3"/>
      <c r="AH246" s="82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82"/>
      <c r="BC246" s="82"/>
      <c r="BD246" s="82"/>
      <c r="BE246" s="82"/>
      <c r="BF246" s="82"/>
      <c r="BG246" s="4"/>
      <c r="BH246" s="4"/>
      <c r="BI246" s="4"/>
      <c r="BJ246" s="4"/>
    </row>
    <row r="247" spans="1:62" ht="12.75" x14ac:dyDescent="0.2">
      <c r="A247" s="64" t="s">
        <v>2</v>
      </c>
      <c r="B247" s="85"/>
      <c r="C247" s="4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4"/>
      <c r="P247" s="4"/>
      <c r="Q247" s="4"/>
      <c r="R247" s="4"/>
      <c r="S247" s="4"/>
      <c r="T247" s="4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4"/>
      <c r="AG247" s="3"/>
      <c r="AH247" s="82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82"/>
      <c r="BC247" s="82"/>
      <c r="BD247" s="82"/>
      <c r="BE247" s="82"/>
      <c r="BF247" s="82"/>
      <c r="BG247" s="4"/>
      <c r="BH247" s="4"/>
      <c r="BI247" s="4"/>
      <c r="BJ247" s="4"/>
    </row>
    <row r="248" spans="1:62" ht="12.75" x14ac:dyDescent="0.2">
      <c r="A248" s="64" t="s">
        <v>2</v>
      </c>
      <c r="B248" s="85"/>
      <c r="C248" s="4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4"/>
      <c r="P248" s="4"/>
      <c r="Q248" s="4"/>
      <c r="R248" s="4"/>
      <c r="S248" s="4"/>
      <c r="T248" s="4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4"/>
      <c r="AG248" s="3"/>
      <c r="AH248" s="82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82"/>
      <c r="BC248" s="82"/>
      <c r="BD248" s="82"/>
      <c r="BE248" s="82"/>
      <c r="BF248" s="82"/>
      <c r="BG248" s="4"/>
      <c r="BH248" s="4"/>
      <c r="BI248" s="4"/>
      <c r="BJ248" s="4"/>
    </row>
    <row r="249" spans="1:62" ht="12.75" x14ac:dyDescent="0.2">
      <c r="A249" s="64" t="s">
        <v>2</v>
      </c>
      <c r="B249" s="85"/>
      <c r="C249" s="4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4"/>
      <c r="P249" s="4"/>
      <c r="Q249" s="4"/>
      <c r="R249" s="4"/>
      <c r="S249" s="4"/>
      <c r="T249" s="4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4"/>
      <c r="AG249" s="3"/>
      <c r="AH249" s="82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82"/>
      <c r="BC249" s="82"/>
      <c r="BD249" s="82"/>
      <c r="BE249" s="82"/>
      <c r="BF249" s="82"/>
      <c r="BG249" s="4"/>
      <c r="BH249" s="4"/>
      <c r="BI249" s="4"/>
      <c r="BJ249" s="4"/>
    </row>
    <row r="250" spans="1:62" ht="12.75" x14ac:dyDescent="0.2">
      <c r="A250" s="64" t="s">
        <v>2</v>
      </c>
      <c r="B250" s="85"/>
      <c r="C250" s="4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4"/>
      <c r="P250" s="4"/>
      <c r="Q250" s="4"/>
      <c r="R250" s="4"/>
      <c r="S250" s="4"/>
      <c r="T250" s="4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4"/>
      <c r="AG250" s="3"/>
      <c r="AH250" s="82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82"/>
      <c r="BC250" s="82"/>
      <c r="BD250" s="82"/>
      <c r="BE250" s="82"/>
      <c r="BF250" s="82"/>
      <c r="BG250" s="4"/>
      <c r="BH250" s="4"/>
      <c r="BI250" s="4"/>
      <c r="BJ250" s="4"/>
    </row>
    <row r="251" spans="1:62" ht="12.75" x14ac:dyDescent="0.2">
      <c r="A251" s="64" t="s">
        <v>2</v>
      </c>
      <c r="B251" s="85"/>
      <c r="C251" s="4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4"/>
      <c r="P251" s="4"/>
      <c r="Q251" s="4"/>
      <c r="R251" s="4"/>
      <c r="S251" s="4"/>
      <c r="T251" s="4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4"/>
      <c r="AG251" s="3"/>
      <c r="AH251" s="82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82"/>
      <c r="BC251" s="82"/>
      <c r="BD251" s="82"/>
      <c r="BE251" s="82"/>
      <c r="BF251" s="82"/>
      <c r="BG251" s="4"/>
      <c r="BH251" s="4"/>
      <c r="BI251" s="4"/>
      <c r="BJ251" s="4"/>
    </row>
    <row r="252" spans="1:62" ht="12.75" x14ac:dyDescent="0.2">
      <c r="A252" s="64" t="s">
        <v>2</v>
      </c>
      <c r="B252" s="85"/>
      <c r="C252" s="4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4"/>
      <c r="P252" s="4"/>
      <c r="Q252" s="4"/>
      <c r="R252" s="4"/>
      <c r="S252" s="4"/>
      <c r="T252" s="4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4"/>
      <c r="AG252" s="3"/>
      <c r="AH252" s="82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82"/>
      <c r="BC252" s="82"/>
      <c r="BD252" s="82"/>
      <c r="BE252" s="82"/>
      <c r="BF252" s="82"/>
      <c r="BG252" s="4"/>
      <c r="BH252" s="4"/>
      <c r="BI252" s="4"/>
      <c r="BJ252" s="4"/>
    </row>
    <row r="253" spans="1:62" ht="12.75" x14ac:dyDescent="0.2">
      <c r="A253" s="64" t="s">
        <v>2</v>
      </c>
      <c r="B253" s="85"/>
      <c r="C253" s="4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4"/>
      <c r="P253" s="4"/>
      <c r="Q253" s="4"/>
      <c r="R253" s="4"/>
      <c r="S253" s="4"/>
      <c r="T253" s="4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4"/>
      <c r="AG253" s="3"/>
      <c r="AH253" s="82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82"/>
      <c r="BC253" s="82"/>
      <c r="BD253" s="82"/>
      <c r="BE253" s="82"/>
      <c r="BF253" s="82"/>
      <c r="BG253" s="4"/>
      <c r="BH253" s="4"/>
      <c r="BI253" s="4"/>
      <c r="BJ253" s="4"/>
    </row>
    <row r="254" spans="1:62" ht="12.75" x14ac:dyDescent="0.2">
      <c r="A254" s="64" t="s">
        <v>2</v>
      </c>
      <c r="B254" s="85"/>
      <c r="C254" s="4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4"/>
      <c r="P254" s="4"/>
      <c r="Q254" s="4"/>
      <c r="R254" s="4"/>
      <c r="S254" s="4"/>
      <c r="T254" s="4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4"/>
      <c r="AG254" s="3"/>
      <c r="AH254" s="82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82"/>
      <c r="BC254" s="82"/>
      <c r="BD254" s="82"/>
      <c r="BE254" s="82"/>
      <c r="BF254" s="82"/>
      <c r="BG254" s="4"/>
      <c r="BH254" s="4"/>
      <c r="BI254" s="4"/>
      <c r="BJ254" s="4"/>
    </row>
    <row r="255" spans="1:62" ht="12.75" x14ac:dyDescent="0.2">
      <c r="A255" s="64" t="s">
        <v>2</v>
      </c>
      <c r="B255" s="85"/>
      <c r="C255" s="4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4"/>
      <c r="P255" s="4"/>
      <c r="Q255" s="4"/>
      <c r="R255" s="4"/>
      <c r="S255" s="4"/>
      <c r="T255" s="4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4"/>
      <c r="AG255" s="3"/>
      <c r="AH255" s="82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82"/>
      <c r="BC255" s="82"/>
      <c r="BD255" s="82"/>
      <c r="BE255" s="82"/>
      <c r="BF255" s="82"/>
      <c r="BG255" s="4"/>
      <c r="BH255" s="4"/>
      <c r="BI255" s="4"/>
      <c r="BJ255" s="4"/>
    </row>
    <row r="256" spans="1:62" ht="12.75" x14ac:dyDescent="0.2">
      <c r="A256" s="64" t="s">
        <v>2</v>
      </c>
      <c r="B256" s="85"/>
      <c r="C256" s="4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4"/>
      <c r="P256" s="4"/>
      <c r="Q256" s="4"/>
      <c r="R256" s="4"/>
      <c r="S256" s="4"/>
      <c r="T256" s="4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4"/>
      <c r="AG256" s="3"/>
      <c r="AH256" s="82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82"/>
      <c r="BC256" s="82"/>
      <c r="BD256" s="82"/>
      <c r="BE256" s="82"/>
      <c r="BF256" s="82"/>
      <c r="BG256" s="4"/>
      <c r="BH256" s="4"/>
      <c r="BI256" s="4"/>
      <c r="BJ256" s="4"/>
    </row>
    <row r="257" spans="1:62" ht="12.75" x14ac:dyDescent="0.2">
      <c r="A257" s="63" t="s">
        <v>2</v>
      </c>
      <c r="B257" s="85"/>
      <c r="C257" s="4"/>
      <c r="D257" s="83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4"/>
      <c r="P257" s="4"/>
      <c r="Q257" s="4"/>
      <c r="R257" s="4"/>
      <c r="S257" s="4"/>
      <c r="T257" s="4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4"/>
      <c r="AG257" s="3"/>
      <c r="AH257" s="82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82"/>
      <c r="BC257" s="82"/>
      <c r="BD257" s="82"/>
      <c r="BE257" s="82"/>
      <c r="BF257" s="82"/>
      <c r="BG257" s="4"/>
      <c r="BH257" s="4"/>
      <c r="BI257" s="4"/>
      <c r="BJ257" s="4"/>
    </row>
    <row r="258" spans="1:62" ht="12.75" x14ac:dyDescent="0.2">
      <c r="A258" s="63"/>
      <c r="B258" s="85"/>
      <c r="C258" s="4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4"/>
      <c r="P258" s="4"/>
      <c r="Q258" s="4"/>
      <c r="R258" s="4"/>
      <c r="S258" s="4"/>
      <c r="T258" s="4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4"/>
      <c r="AG258" s="3"/>
      <c r="AH258" s="82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82"/>
      <c r="BC258" s="82"/>
      <c r="BD258" s="82"/>
      <c r="BE258" s="82"/>
      <c r="BF258" s="82"/>
      <c r="BG258" s="4"/>
      <c r="BH258" s="4"/>
      <c r="BI258" s="4"/>
      <c r="BJ258" s="4"/>
    </row>
    <row r="259" spans="1:62" ht="12.75" x14ac:dyDescent="0.2">
      <c r="A259" s="63"/>
      <c r="B259" s="85"/>
      <c r="C259" s="4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4"/>
      <c r="P259" s="4"/>
      <c r="Q259" s="4"/>
      <c r="R259" s="4"/>
      <c r="S259" s="4"/>
      <c r="T259" s="4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4"/>
      <c r="AG259" s="3"/>
      <c r="AH259" s="82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82"/>
      <c r="BC259" s="82"/>
      <c r="BD259" s="82"/>
      <c r="BE259" s="82"/>
      <c r="BF259" s="82"/>
      <c r="BG259" s="4"/>
      <c r="BH259" s="4"/>
      <c r="BI259" s="4"/>
      <c r="BJ259" s="4"/>
    </row>
    <row r="260" spans="1:62" ht="12.75" x14ac:dyDescent="0.2">
      <c r="A260" s="63"/>
      <c r="B260" s="85"/>
      <c r="C260" s="4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4"/>
      <c r="P260" s="4"/>
      <c r="Q260" s="4"/>
      <c r="R260" s="4"/>
      <c r="S260" s="4"/>
      <c r="T260" s="4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4"/>
      <c r="AG260" s="3"/>
      <c r="AH260" s="82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82"/>
      <c r="BC260" s="82"/>
      <c r="BD260" s="82"/>
      <c r="BE260" s="82"/>
      <c r="BF260" s="82"/>
      <c r="BG260" s="4"/>
      <c r="BH260" s="4"/>
      <c r="BI260" s="4"/>
      <c r="BJ260" s="4"/>
    </row>
    <row r="261" spans="1:62" ht="12.75" x14ac:dyDescent="0.2">
      <c r="A261" s="63"/>
      <c r="B261" s="85"/>
      <c r="C261" s="4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4"/>
      <c r="P261" s="4"/>
      <c r="Q261" s="4"/>
      <c r="R261" s="4"/>
      <c r="S261" s="4"/>
      <c r="T261" s="4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4"/>
      <c r="AG261" s="3"/>
      <c r="AH261" s="82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82"/>
      <c r="BC261" s="82"/>
      <c r="BD261" s="82"/>
      <c r="BE261" s="82"/>
      <c r="BF261" s="82"/>
      <c r="BG261" s="4"/>
      <c r="BH261" s="4"/>
      <c r="BI261" s="4"/>
      <c r="BJ261" s="4"/>
    </row>
    <row r="262" spans="1:62" ht="12.75" x14ac:dyDescent="0.2">
      <c r="A262" s="63"/>
      <c r="B262" s="85"/>
      <c r="C262" s="4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4"/>
      <c r="P262" s="4"/>
      <c r="Q262" s="4"/>
      <c r="R262" s="4"/>
      <c r="S262" s="4"/>
      <c r="T262" s="4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4"/>
      <c r="AG262" s="3"/>
      <c r="AH262" s="82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82"/>
      <c r="BC262" s="82"/>
      <c r="BD262" s="82"/>
      <c r="BE262" s="82"/>
      <c r="BF262" s="82"/>
      <c r="BG262" s="4"/>
      <c r="BH262" s="4"/>
      <c r="BI262" s="4"/>
      <c r="BJ262" s="4"/>
    </row>
    <row r="263" spans="1:62" ht="12.75" x14ac:dyDescent="0.2">
      <c r="A263" s="63"/>
      <c r="B263" s="85"/>
      <c r="C263" s="4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4"/>
      <c r="P263" s="4"/>
      <c r="Q263" s="4"/>
      <c r="R263" s="4"/>
      <c r="S263" s="4"/>
      <c r="T263" s="4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4"/>
      <c r="AG263" s="3"/>
      <c r="AH263" s="82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82"/>
      <c r="BC263" s="82"/>
      <c r="BD263" s="82"/>
      <c r="BE263" s="82"/>
      <c r="BF263" s="82"/>
      <c r="BG263" s="4"/>
      <c r="BH263" s="4"/>
      <c r="BI263" s="4"/>
      <c r="BJ263" s="4"/>
    </row>
    <row r="264" spans="1:62" ht="12.75" x14ac:dyDescent="0.2">
      <c r="A264" s="63"/>
      <c r="B264" s="85"/>
      <c r="C264" s="4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4"/>
      <c r="P264" s="4"/>
      <c r="Q264" s="4"/>
      <c r="R264" s="4"/>
      <c r="S264" s="4"/>
      <c r="T264" s="4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4"/>
      <c r="AG264" s="3"/>
      <c r="AH264" s="82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82"/>
      <c r="BC264" s="82"/>
      <c r="BD264" s="82"/>
      <c r="BE264" s="82"/>
      <c r="BF264" s="82"/>
      <c r="BG264" s="4"/>
      <c r="BH264" s="4"/>
      <c r="BI264" s="4"/>
      <c r="BJ264" s="4"/>
    </row>
    <row r="265" spans="1:62" ht="12.75" x14ac:dyDescent="0.2">
      <c r="A265" s="63"/>
      <c r="B265" s="85"/>
      <c r="C265" s="4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4"/>
      <c r="P265" s="4"/>
      <c r="Q265" s="4"/>
      <c r="R265" s="4"/>
      <c r="S265" s="4"/>
      <c r="T265" s="4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4"/>
      <c r="AG265" s="3"/>
      <c r="AH265" s="82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82"/>
      <c r="BC265" s="82"/>
      <c r="BD265" s="82"/>
      <c r="BE265" s="82"/>
      <c r="BF265" s="82"/>
      <c r="BG265" s="4"/>
      <c r="BH265" s="4"/>
      <c r="BI265" s="4"/>
      <c r="BJ265" s="4"/>
    </row>
    <row r="266" spans="1:62" ht="12.75" x14ac:dyDescent="0.2">
      <c r="A266" s="63"/>
      <c r="B266" s="85"/>
      <c r="C266" s="4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4"/>
      <c r="P266" s="4"/>
      <c r="Q266" s="4"/>
      <c r="R266" s="4"/>
      <c r="S266" s="4"/>
      <c r="T266" s="4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4"/>
      <c r="AG266" s="3"/>
      <c r="AH266" s="82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82"/>
      <c r="BC266" s="82"/>
      <c r="BD266" s="82"/>
      <c r="BE266" s="82"/>
      <c r="BF266" s="82"/>
      <c r="BG266" s="4"/>
      <c r="BH266" s="4"/>
      <c r="BI266" s="4"/>
      <c r="BJ266" s="4"/>
    </row>
    <row r="267" spans="1:62" ht="12.75" x14ac:dyDescent="0.2">
      <c r="A267" s="63"/>
      <c r="B267" s="85"/>
      <c r="C267" s="4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4"/>
      <c r="P267" s="4"/>
      <c r="Q267" s="4"/>
      <c r="R267" s="4"/>
      <c r="S267" s="4"/>
      <c r="T267" s="4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4"/>
      <c r="AG267" s="3"/>
      <c r="AH267" s="82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82"/>
      <c r="BC267" s="82"/>
      <c r="BD267" s="82"/>
      <c r="BE267" s="82"/>
      <c r="BF267" s="82"/>
      <c r="BG267" s="4"/>
      <c r="BH267" s="4"/>
      <c r="BI267" s="4"/>
      <c r="BJ267" s="4"/>
    </row>
    <row r="268" spans="1:62" ht="12.75" x14ac:dyDescent="0.2">
      <c r="A268" s="63"/>
      <c r="B268" s="85"/>
      <c r="C268" s="4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4"/>
      <c r="P268" s="4"/>
      <c r="Q268" s="4"/>
      <c r="R268" s="4"/>
      <c r="S268" s="4"/>
      <c r="T268" s="4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4"/>
      <c r="AG268" s="3"/>
      <c r="AH268" s="82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82"/>
      <c r="BC268" s="82"/>
      <c r="BD268" s="82"/>
      <c r="BE268" s="82"/>
      <c r="BF268" s="82"/>
      <c r="BG268" s="4"/>
      <c r="BH268" s="4"/>
      <c r="BI268" s="4"/>
      <c r="BJ268" s="4"/>
    </row>
    <row r="269" spans="1:62" ht="12.75" x14ac:dyDescent="0.2">
      <c r="A269" s="63"/>
      <c r="B269" s="85"/>
      <c r="C269" s="4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4"/>
      <c r="P269" s="4"/>
      <c r="Q269" s="4"/>
      <c r="R269" s="4"/>
      <c r="S269" s="4"/>
      <c r="T269" s="4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4"/>
      <c r="AG269" s="3"/>
      <c r="AH269" s="82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82"/>
      <c r="BC269" s="82"/>
      <c r="BD269" s="82"/>
      <c r="BE269" s="82"/>
      <c r="BF269" s="82"/>
      <c r="BG269" s="4"/>
      <c r="BH269" s="4"/>
      <c r="BI269" s="4"/>
      <c r="BJ269" s="4"/>
    </row>
    <row r="270" spans="1:62" ht="12.75" x14ac:dyDescent="0.2">
      <c r="A270" s="63"/>
      <c r="B270" s="85"/>
      <c r="C270" s="4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4"/>
      <c r="P270" s="4"/>
      <c r="Q270" s="4"/>
      <c r="R270" s="4"/>
      <c r="S270" s="4"/>
      <c r="T270" s="4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4"/>
      <c r="AG270" s="3"/>
      <c r="AH270" s="82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82"/>
      <c r="BC270" s="82"/>
      <c r="BD270" s="82"/>
      <c r="BE270" s="82"/>
      <c r="BF270" s="82"/>
      <c r="BG270" s="4"/>
      <c r="BH270" s="4"/>
      <c r="BI270" s="4"/>
      <c r="BJ270" s="4"/>
    </row>
    <row r="271" spans="1:62" ht="12.75" x14ac:dyDescent="0.2">
      <c r="A271" s="63"/>
      <c r="B271" s="85"/>
      <c r="C271" s="4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4"/>
      <c r="P271" s="4"/>
      <c r="Q271" s="4"/>
      <c r="R271" s="4"/>
      <c r="S271" s="4"/>
      <c r="T271" s="4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4"/>
      <c r="AG271" s="3"/>
      <c r="AH271" s="82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82"/>
      <c r="BC271" s="82"/>
      <c r="BD271" s="82"/>
      <c r="BE271" s="82"/>
      <c r="BF271" s="82"/>
      <c r="BG271" s="4"/>
      <c r="BH271" s="4"/>
      <c r="BI271" s="4"/>
      <c r="BJ271" s="4"/>
    </row>
    <row r="272" spans="1:62" ht="12.75" x14ac:dyDescent="0.2">
      <c r="A272" s="63"/>
      <c r="B272" s="85"/>
      <c r="C272" s="4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4"/>
      <c r="P272" s="4"/>
      <c r="Q272" s="4"/>
      <c r="R272" s="4"/>
      <c r="S272" s="4"/>
      <c r="T272" s="4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4"/>
      <c r="AG272" s="3"/>
      <c r="AH272" s="82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82"/>
      <c r="BC272" s="82"/>
      <c r="BD272" s="82"/>
      <c r="BE272" s="82"/>
      <c r="BF272" s="82"/>
      <c r="BG272" s="4"/>
      <c r="BH272" s="4"/>
      <c r="BI272" s="4"/>
      <c r="BJ272" s="4"/>
    </row>
    <row r="273" spans="1:62" ht="12.75" x14ac:dyDescent="0.2">
      <c r="A273" s="63"/>
      <c r="B273" s="85"/>
      <c r="C273" s="4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4"/>
      <c r="P273" s="4"/>
      <c r="Q273" s="4"/>
      <c r="R273" s="4"/>
      <c r="S273" s="4"/>
      <c r="T273" s="4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4"/>
      <c r="AG273" s="3"/>
      <c r="AH273" s="82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82"/>
      <c r="BC273" s="82"/>
      <c r="BD273" s="82"/>
      <c r="BE273" s="82"/>
      <c r="BF273" s="82"/>
      <c r="BG273" s="4"/>
      <c r="BH273" s="4"/>
      <c r="BI273" s="4"/>
      <c r="BJ273" s="4"/>
    </row>
    <row r="274" spans="1:62" ht="12.75" x14ac:dyDescent="0.2">
      <c r="A274" s="63"/>
      <c r="B274" s="85"/>
      <c r="C274" s="4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4"/>
      <c r="P274" s="4"/>
      <c r="Q274" s="4"/>
      <c r="R274" s="4"/>
      <c r="S274" s="4"/>
      <c r="T274" s="4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4"/>
      <c r="AG274" s="3"/>
      <c r="AH274" s="82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82"/>
      <c r="BC274" s="82"/>
      <c r="BD274" s="82"/>
      <c r="BE274" s="82"/>
      <c r="BF274" s="82"/>
      <c r="BG274" s="4"/>
      <c r="BH274" s="4"/>
      <c r="BI274" s="4"/>
      <c r="BJ274" s="4"/>
    </row>
    <row r="275" spans="1:62" ht="12.75" x14ac:dyDescent="0.2">
      <c r="A275" s="63"/>
      <c r="B275" s="85"/>
      <c r="C275" s="4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4"/>
      <c r="P275" s="4"/>
      <c r="Q275" s="4"/>
      <c r="R275" s="4"/>
      <c r="S275" s="4"/>
      <c r="T275" s="4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4"/>
      <c r="AG275" s="3"/>
      <c r="AH275" s="82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82"/>
      <c r="BC275" s="82"/>
      <c r="BD275" s="82"/>
      <c r="BE275" s="82"/>
      <c r="BF275" s="82"/>
      <c r="BG275" s="4"/>
      <c r="BH275" s="4"/>
      <c r="BI275" s="4"/>
      <c r="BJ275" s="4"/>
    </row>
    <row r="276" spans="1:62" ht="12.75" x14ac:dyDescent="0.2">
      <c r="A276" s="63"/>
      <c r="B276" s="85"/>
      <c r="C276" s="4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4"/>
      <c r="P276" s="4"/>
      <c r="Q276" s="4"/>
      <c r="R276" s="4"/>
      <c r="S276" s="4"/>
      <c r="T276" s="4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4"/>
      <c r="AG276" s="3"/>
      <c r="AH276" s="82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82"/>
      <c r="BC276" s="82"/>
      <c r="BD276" s="82"/>
      <c r="BE276" s="82"/>
      <c r="BF276" s="82"/>
      <c r="BG276" s="4"/>
      <c r="BH276" s="4"/>
      <c r="BI276" s="4"/>
      <c r="BJ276" s="4"/>
    </row>
    <row r="277" spans="1:62" ht="12.75" x14ac:dyDescent="0.2">
      <c r="A277" s="63"/>
      <c r="B277" s="85"/>
      <c r="C277" s="4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4"/>
      <c r="P277" s="4"/>
      <c r="Q277" s="4"/>
      <c r="R277" s="4"/>
      <c r="S277" s="4"/>
      <c r="T277" s="4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4"/>
      <c r="AG277" s="3"/>
      <c r="AH277" s="82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82"/>
      <c r="BC277" s="82"/>
      <c r="BD277" s="82"/>
      <c r="BE277" s="82"/>
      <c r="BF277" s="82"/>
      <c r="BG277" s="4"/>
      <c r="BH277" s="4"/>
      <c r="BI277" s="4"/>
      <c r="BJ277" s="4"/>
    </row>
    <row r="278" spans="1:62" ht="12.75" x14ac:dyDescent="0.2">
      <c r="A278" s="63"/>
      <c r="B278" s="85"/>
      <c r="C278" s="4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4"/>
      <c r="P278" s="4"/>
      <c r="Q278" s="4"/>
      <c r="R278" s="4"/>
      <c r="S278" s="4"/>
      <c r="T278" s="4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4"/>
      <c r="AG278" s="3"/>
      <c r="AH278" s="82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82"/>
      <c r="BC278" s="82"/>
      <c r="BD278" s="82"/>
      <c r="BE278" s="82"/>
      <c r="BF278" s="82"/>
      <c r="BG278" s="4"/>
      <c r="BH278" s="4"/>
      <c r="BI278" s="4"/>
      <c r="BJ278" s="4"/>
    </row>
    <row r="279" spans="1:62" ht="12.75" x14ac:dyDescent="0.2">
      <c r="A279" s="63"/>
      <c r="B279" s="85"/>
      <c r="C279" s="4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4"/>
      <c r="P279" s="4"/>
      <c r="Q279" s="4"/>
      <c r="R279" s="4"/>
      <c r="S279" s="4"/>
      <c r="T279" s="4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4"/>
      <c r="AG279" s="3"/>
      <c r="AH279" s="82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82"/>
      <c r="BC279" s="82"/>
      <c r="BD279" s="82"/>
      <c r="BE279" s="82"/>
      <c r="BF279" s="82"/>
      <c r="BG279" s="4"/>
      <c r="BH279" s="4"/>
      <c r="BI279" s="4"/>
      <c r="BJ279" s="4"/>
    </row>
    <row r="280" spans="1:62" ht="12.75" x14ac:dyDescent="0.2">
      <c r="A280" s="63"/>
      <c r="B280" s="85"/>
      <c r="C280" s="4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4"/>
      <c r="P280" s="4"/>
      <c r="Q280" s="4"/>
      <c r="R280" s="4"/>
      <c r="S280" s="4"/>
      <c r="T280" s="4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4"/>
      <c r="AG280" s="3"/>
      <c r="AH280" s="82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82"/>
      <c r="BC280" s="82"/>
      <c r="BD280" s="82"/>
      <c r="BE280" s="82"/>
      <c r="BF280" s="82"/>
      <c r="BG280" s="4"/>
      <c r="BH280" s="4"/>
      <c r="BI280" s="4"/>
      <c r="BJ280" s="4"/>
    </row>
    <row r="281" spans="1:62" ht="12.75" x14ac:dyDescent="0.2">
      <c r="A281" s="63"/>
      <c r="B281" s="85"/>
      <c r="C281" s="4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4"/>
      <c r="P281" s="4"/>
      <c r="Q281" s="4"/>
      <c r="R281" s="4"/>
      <c r="S281" s="4"/>
      <c r="T281" s="4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4"/>
      <c r="AG281" s="3"/>
      <c r="AH281" s="82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82"/>
      <c r="BC281" s="82"/>
      <c r="BD281" s="82"/>
      <c r="BE281" s="82"/>
      <c r="BF281" s="82"/>
      <c r="BG281" s="4"/>
      <c r="BH281" s="4"/>
      <c r="BI281" s="4"/>
      <c r="BJ281" s="4"/>
    </row>
    <row r="282" spans="1:62" ht="12.75" x14ac:dyDescent="0.2">
      <c r="A282" s="63"/>
      <c r="B282" s="85"/>
      <c r="C282" s="4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4"/>
      <c r="P282" s="4"/>
      <c r="Q282" s="4"/>
      <c r="R282" s="4"/>
      <c r="S282" s="4"/>
      <c r="T282" s="4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4"/>
      <c r="AG282" s="3"/>
      <c r="AH282" s="82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82"/>
      <c r="BC282" s="82"/>
      <c r="BD282" s="82"/>
      <c r="BE282" s="82"/>
      <c r="BF282" s="82"/>
      <c r="BG282" s="4"/>
      <c r="BH282" s="4"/>
      <c r="BI282" s="4"/>
      <c r="BJ282" s="4"/>
    </row>
    <row r="283" spans="1:62" ht="12.75" x14ac:dyDescent="0.2">
      <c r="A283" s="63"/>
      <c r="B283" s="85"/>
      <c r="C283" s="4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4"/>
      <c r="P283" s="4"/>
      <c r="Q283" s="4"/>
      <c r="R283" s="4"/>
      <c r="S283" s="4"/>
      <c r="T283" s="4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4"/>
      <c r="AG283" s="3"/>
      <c r="AH283" s="82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82"/>
      <c r="BC283" s="82"/>
      <c r="BD283" s="82"/>
      <c r="BE283" s="82"/>
      <c r="BF283" s="82"/>
      <c r="BG283" s="4"/>
      <c r="BH283" s="4"/>
      <c r="BI283" s="4"/>
      <c r="BJ283" s="4"/>
    </row>
    <row r="284" spans="1:62" ht="12.75" x14ac:dyDescent="0.2">
      <c r="A284" s="63"/>
      <c r="B284" s="85"/>
      <c r="C284" s="4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4"/>
      <c r="P284" s="4"/>
      <c r="Q284" s="4"/>
      <c r="R284" s="4"/>
      <c r="S284" s="4"/>
      <c r="T284" s="4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4"/>
      <c r="AG284" s="3"/>
      <c r="AH284" s="82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82"/>
      <c r="BC284" s="82"/>
      <c r="BD284" s="82"/>
      <c r="BE284" s="82"/>
      <c r="BF284" s="82"/>
      <c r="BG284" s="4"/>
      <c r="BH284" s="4"/>
      <c r="BI284" s="4"/>
      <c r="BJ284" s="4"/>
    </row>
    <row r="285" spans="1:62" ht="12.75" x14ac:dyDescent="0.2">
      <c r="A285" s="63"/>
      <c r="B285" s="85"/>
      <c r="C285" s="4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4"/>
      <c r="P285" s="4"/>
      <c r="Q285" s="4"/>
      <c r="R285" s="4"/>
      <c r="S285" s="4"/>
      <c r="T285" s="4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4"/>
      <c r="AG285" s="3"/>
      <c r="AH285" s="82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82"/>
      <c r="BC285" s="82"/>
      <c r="BD285" s="82"/>
      <c r="BE285" s="82"/>
      <c r="BF285" s="82"/>
      <c r="BG285" s="4"/>
      <c r="BH285" s="4"/>
      <c r="BI285" s="4"/>
      <c r="BJ285" s="4"/>
    </row>
    <row r="286" spans="1:62" ht="12.75" x14ac:dyDescent="0.2">
      <c r="A286" s="63"/>
      <c r="B286" s="85"/>
      <c r="C286" s="4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4"/>
      <c r="P286" s="4"/>
      <c r="Q286" s="4"/>
      <c r="R286" s="4"/>
      <c r="S286" s="4"/>
      <c r="T286" s="4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4"/>
      <c r="AG286" s="3"/>
      <c r="AH286" s="82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82"/>
      <c r="BC286" s="82"/>
      <c r="BD286" s="82"/>
      <c r="BE286" s="82"/>
      <c r="BF286" s="82"/>
      <c r="BG286" s="4"/>
      <c r="BH286" s="4"/>
      <c r="BI286" s="4"/>
      <c r="BJ286" s="4"/>
    </row>
    <row r="287" spans="1:62" ht="12.75" x14ac:dyDescent="0.2">
      <c r="A287" s="63"/>
      <c r="B287" s="85"/>
      <c r="C287" s="4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4"/>
      <c r="P287" s="4"/>
      <c r="Q287" s="4"/>
      <c r="R287" s="4"/>
      <c r="S287" s="4"/>
      <c r="T287" s="4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4"/>
      <c r="AG287" s="3"/>
      <c r="AH287" s="82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82"/>
      <c r="BC287" s="82"/>
      <c r="BD287" s="82"/>
      <c r="BE287" s="82"/>
      <c r="BF287" s="82"/>
      <c r="BG287" s="4"/>
      <c r="BH287" s="4"/>
      <c r="BI287" s="4"/>
      <c r="BJ287" s="4"/>
    </row>
    <row r="288" spans="1:62" ht="12.75" x14ac:dyDescent="0.2">
      <c r="A288" s="63"/>
      <c r="B288" s="85"/>
      <c r="C288" s="4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4"/>
      <c r="P288" s="4"/>
      <c r="Q288" s="4"/>
      <c r="R288" s="4"/>
      <c r="S288" s="4"/>
      <c r="T288" s="4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4"/>
      <c r="AG288" s="3"/>
      <c r="AH288" s="82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82"/>
      <c r="BC288" s="82"/>
      <c r="BD288" s="82"/>
      <c r="BE288" s="82"/>
      <c r="BF288" s="82"/>
      <c r="BG288" s="4"/>
      <c r="BH288" s="4"/>
      <c r="BI288" s="4"/>
      <c r="BJ288" s="4"/>
    </row>
    <row r="289" spans="1:62" ht="12.75" x14ac:dyDescent="0.2">
      <c r="A289" s="63"/>
      <c r="B289" s="85"/>
      <c r="C289" s="4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4"/>
      <c r="P289" s="4"/>
      <c r="Q289" s="4"/>
      <c r="R289" s="4"/>
      <c r="S289" s="4"/>
      <c r="T289" s="4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4"/>
      <c r="AG289" s="3"/>
      <c r="AH289" s="82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82"/>
      <c r="BC289" s="82"/>
      <c r="BD289" s="82"/>
      <c r="BE289" s="82"/>
      <c r="BF289" s="82"/>
      <c r="BG289" s="4"/>
      <c r="BH289" s="4"/>
      <c r="BI289" s="4"/>
      <c r="BJ289" s="4"/>
    </row>
    <row r="290" spans="1:62" ht="12.75" x14ac:dyDescent="0.2">
      <c r="A290" s="63"/>
      <c r="B290" s="85"/>
      <c r="C290" s="4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4"/>
      <c r="P290" s="4"/>
      <c r="Q290" s="4"/>
      <c r="R290" s="4"/>
      <c r="S290" s="4"/>
      <c r="T290" s="4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4"/>
      <c r="AG290" s="3"/>
      <c r="AH290" s="82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82"/>
      <c r="BC290" s="82"/>
      <c r="BD290" s="82"/>
      <c r="BE290" s="82"/>
      <c r="BF290" s="82"/>
      <c r="BG290" s="4"/>
      <c r="BH290" s="4"/>
      <c r="BI290" s="4"/>
      <c r="BJ290" s="4"/>
    </row>
    <row r="291" spans="1:62" ht="12.75" x14ac:dyDescent="0.2">
      <c r="A291" s="63"/>
      <c r="B291" s="85"/>
      <c r="C291" s="4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4"/>
      <c r="P291" s="4"/>
      <c r="Q291" s="4"/>
      <c r="R291" s="4"/>
      <c r="S291" s="4"/>
      <c r="T291" s="4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4"/>
      <c r="AG291" s="3"/>
      <c r="AH291" s="82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82"/>
      <c r="BC291" s="82"/>
      <c r="BD291" s="82"/>
      <c r="BE291" s="82"/>
      <c r="BF291" s="82"/>
      <c r="BG291" s="4"/>
      <c r="BH291" s="4"/>
      <c r="BI291" s="4"/>
      <c r="BJ291" s="4"/>
    </row>
    <row r="292" spans="1:62" ht="12.75" x14ac:dyDescent="0.2">
      <c r="A292" s="63"/>
      <c r="B292" s="85"/>
      <c r="C292" s="4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4"/>
      <c r="P292" s="4"/>
      <c r="Q292" s="4"/>
      <c r="R292" s="4"/>
      <c r="S292" s="4"/>
      <c r="T292" s="4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4"/>
      <c r="AG292" s="3"/>
      <c r="AH292" s="82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82"/>
      <c r="BC292" s="82"/>
      <c r="BD292" s="82"/>
      <c r="BE292" s="82"/>
      <c r="BF292" s="82"/>
      <c r="BG292" s="4"/>
      <c r="BH292" s="4"/>
      <c r="BI292" s="4"/>
      <c r="BJ292" s="4"/>
    </row>
    <row r="293" spans="1:62" ht="12.75" x14ac:dyDescent="0.2">
      <c r="A293" s="63"/>
      <c r="B293" s="85"/>
      <c r="C293" s="4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4"/>
      <c r="P293" s="4"/>
      <c r="Q293" s="4"/>
      <c r="R293" s="4"/>
      <c r="S293" s="4"/>
      <c r="T293" s="4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4"/>
      <c r="AG293" s="3"/>
      <c r="AH293" s="82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82"/>
      <c r="BC293" s="82"/>
      <c r="BD293" s="82"/>
      <c r="BE293" s="82"/>
      <c r="BF293" s="82"/>
      <c r="BG293" s="4"/>
      <c r="BH293" s="4"/>
      <c r="BI293" s="4"/>
      <c r="BJ293" s="4"/>
    </row>
    <row r="294" spans="1:62" ht="12.75" x14ac:dyDescent="0.2">
      <c r="A294" s="63"/>
      <c r="B294" s="85"/>
      <c r="C294" s="4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4"/>
      <c r="P294" s="4"/>
      <c r="Q294" s="4"/>
      <c r="R294" s="4"/>
      <c r="S294" s="4"/>
      <c r="T294" s="4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4"/>
      <c r="AG294" s="3"/>
      <c r="AH294" s="82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82"/>
      <c r="BC294" s="82"/>
      <c r="BD294" s="82"/>
      <c r="BE294" s="82"/>
      <c r="BF294" s="82"/>
      <c r="BG294" s="4"/>
      <c r="BH294" s="4"/>
      <c r="BI294" s="4"/>
      <c r="BJ294" s="4"/>
    </row>
    <row r="295" spans="1:62" ht="12.75" x14ac:dyDescent="0.2">
      <c r="A295" s="63"/>
      <c r="B295" s="85"/>
      <c r="C295" s="4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4"/>
      <c r="P295" s="4"/>
      <c r="Q295" s="4"/>
      <c r="R295" s="4"/>
      <c r="S295" s="4"/>
      <c r="T295" s="4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4"/>
      <c r="AG295" s="3"/>
      <c r="AH295" s="82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82"/>
      <c r="BC295" s="82"/>
      <c r="BD295" s="82"/>
      <c r="BE295" s="82"/>
      <c r="BF295" s="82"/>
      <c r="BG295" s="4"/>
      <c r="BH295" s="4"/>
      <c r="BI295" s="4"/>
      <c r="BJ295" s="4"/>
    </row>
    <row r="296" spans="1:62" ht="12.75" x14ac:dyDescent="0.2">
      <c r="A296" s="63"/>
      <c r="B296" s="85"/>
      <c r="C296" s="4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4"/>
      <c r="P296" s="4"/>
      <c r="Q296" s="4"/>
      <c r="R296" s="4"/>
      <c r="S296" s="4"/>
      <c r="T296" s="4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4"/>
      <c r="AG296" s="3"/>
      <c r="AH296" s="82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82"/>
      <c r="BC296" s="82"/>
      <c r="BD296" s="82"/>
      <c r="BE296" s="82"/>
      <c r="BF296" s="82"/>
      <c r="BG296" s="4"/>
      <c r="BH296" s="4"/>
      <c r="BI296" s="4"/>
      <c r="BJ296" s="4"/>
    </row>
    <row r="297" spans="1:62" ht="12.75" x14ac:dyDescent="0.2">
      <c r="A297" s="63"/>
      <c r="B297" s="85"/>
      <c r="C297" s="4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4"/>
      <c r="P297" s="4"/>
      <c r="Q297" s="4"/>
      <c r="R297" s="4"/>
      <c r="S297" s="4"/>
      <c r="T297" s="4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4"/>
      <c r="AG297" s="3"/>
      <c r="AH297" s="82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82"/>
      <c r="BC297" s="82"/>
      <c r="BD297" s="82"/>
      <c r="BE297" s="82"/>
      <c r="BF297" s="82"/>
      <c r="BG297" s="4"/>
      <c r="BH297" s="4"/>
      <c r="BI297" s="4"/>
      <c r="BJ297" s="4"/>
    </row>
    <row r="298" spans="1:62" ht="12.75" x14ac:dyDescent="0.2">
      <c r="A298" s="63"/>
      <c r="B298" s="85"/>
      <c r="C298" s="4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4"/>
      <c r="P298" s="4"/>
      <c r="Q298" s="4"/>
      <c r="R298" s="4"/>
      <c r="S298" s="4"/>
      <c r="T298" s="4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4"/>
      <c r="AG298" s="3"/>
      <c r="AH298" s="82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82"/>
      <c r="BC298" s="82"/>
      <c r="BD298" s="82"/>
      <c r="BE298" s="82"/>
      <c r="BF298" s="82"/>
      <c r="BG298" s="4"/>
      <c r="BH298" s="4"/>
      <c r="BI298" s="4"/>
      <c r="BJ298" s="4"/>
    </row>
    <row r="299" spans="1:62" ht="12.75" x14ac:dyDescent="0.2">
      <c r="A299" s="63"/>
      <c r="B299" s="85"/>
      <c r="C299" s="4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4"/>
      <c r="P299" s="4"/>
      <c r="Q299" s="4"/>
      <c r="R299" s="4"/>
      <c r="S299" s="4"/>
      <c r="T299" s="4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4"/>
      <c r="AG299" s="3"/>
      <c r="AH299" s="82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82"/>
      <c r="BC299" s="82"/>
      <c r="BD299" s="82"/>
      <c r="BE299" s="82"/>
      <c r="BF299" s="82"/>
      <c r="BG299" s="4"/>
      <c r="BH299" s="4"/>
      <c r="BI299" s="4"/>
      <c r="BJ299" s="4"/>
    </row>
    <row r="300" spans="1:62" ht="12.75" x14ac:dyDescent="0.2">
      <c r="A300" s="63"/>
      <c r="B300" s="85"/>
      <c r="C300" s="4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4"/>
      <c r="P300" s="4"/>
      <c r="Q300" s="4"/>
      <c r="R300" s="4"/>
      <c r="S300" s="4"/>
      <c r="T300" s="4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4"/>
      <c r="AG300" s="3"/>
      <c r="AH300" s="82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82"/>
      <c r="BC300" s="82"/>
      <c r="BD300" s="82"/>
      <c r="BE300" s="82"/>
      <c r="BF300" s="82"/>
      <c r="BG300" s="4"/>
      <c r="BH300" s="4"/>
      <c r="BI300" s="4"/>
      <c r="BJ300" s="4"/>
    </row>
    <row r="301" spans="1:62" ht="12.75" x14ac:dyDescent="0.2">
      <c r="A301" s="63"/>
      <c r="B301" s="85"/>
      <c r="C301" s="4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4"/>
      <c r="P301" s="4"/>
      <c r="Q301" s="4"/>
      <c r="R301" s="4"/>
      <c r="S301" s="4"/>
      <c r="T301" s="4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4"/>
      <c r="AG301" s="3"/>
      <c r="AH301" s="82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82"/>
      <c r="BC301" s="82"/>
      <c r="BD301" s="82"/>
      <c r="BE301" s="82"/>
      <c r="BF301" s="82"/>
      <c r="BG301" s="4"/>
      <c r="BH301" s="4"/>
      <c r="BI301" s="4"/>
      <c r="BJ301" s="4"/>
    </row>
    <row r="302" spans="1:62" ht="12.75" x14ac:dyDescent="0.2">
      <c r="A302" s="63"/>
      <c r="B302" s="85"/>
      <c r="C302" s="4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4"/>
      <c r="P302" s="4"/>
      <c r="Q302" s="4"/>
      <c r="R302" s="4"/>
      <c r="S302" s="4"/>
      <c r="T302" s="4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4"/>
      <c r="AG302" s="3"/>
      <c r="AH302" s="82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82"/>
      <c r="BC302" s="82"/>
      <c r="BD302" s="82"/>
      <c r="BE302" s="82"/>
      <c r="BF302" s="82"/>
      <c r="BG302" s="4"/>
      <c r="BH302" s="4"/>
      <c r="BI302" s="4"/>
      <c r="BJ302" s="4"/>
    </row>
    <row r="303" spans="1:62" ht="12.75" x14ac:dyDescent="0.2">
      <c r="A303" s="63"/>
      <c r="B303" s="85"/>
      <c r="C303" s="4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4"/>
      <c r="P303" s="4"/>
      <c r="Q303" s="4"/>
      <c r="R303" s="4"/>
      <c r="S303" s="4"/>
      <c r="T303" s="4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4"/>
      <c r="AG303" s="3"/>
      <c r="AH303" s="82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82"/>
      <c r="BC303" s="82"/>
      <c r="BD303" s="82"/>
      <c r="BE303" s="82"/>
      <c r="BF303" s="82"/>
      <c r="BG303" s="4"/>
      <c r="BH303" s="4"/>
      <c r="BI303" s="4"/>
      <c r="BJ303" s="4"/>
    </row>
    <row r="304" spans="1:62" ht="12.75" x14ac:dyDescent="0.2">
      <c r="A304" s="63"/>
      <c r="B304" s="85"/>
      <c r="C304" s="4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4"/>
      <c r="P304" s="4"/>
      <c r="Q304" s="4"/>
      <c r="R304" s="4"/>
      <c r="S304" s="4"/>
      <c r="T304" s="4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4"/>
      <c r="AG304" s="3"/>
      <c r="AH304" s="82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82"/>
      <c r="BC304" s="82"/>
      <c r="BD304" s="82"/>
      <c r="BE304" s="82"/>
      <c r="BF304" s="82"/>
      <c r="BG304" s="4"/>
      <c r="BH304" s="4"/>
      <c r="BI304" s="4"/>
      <c r="BJ304" s="4"/>
    </row>
    <row r="305" spans="1:62" ht="12.75" x14ac:dyDescent="0.2">
      <c r="A305" s="63"/>
      <c r="B305" s="85"/>
      <c r="C305" s="4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4"/>
      <c r="P305" s="4"/>
      <c r="Q305" s="4"/>
      <c r="R305" s="4"/>
      <c r="S305" s="4"/>
      <c r="T305" s="4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4"/>
      <c r="AG305" s="3"/>
      <c r="AH305" s="82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82"/>
      <c r="BC305" s="82"/>
      <c r="BD305" s="82"/>
      <c r="BE305" s="82"/>
      <c r="BF305" s="82"/>
      <c r="BG305" s="4"/>
      <c r="BH305" s="4"/>
      <c r="BI305" s="4"/>
      <c r="BJ305" s="4"/>
    </row>
    <row r="306" spans="1:62" ht="12.75" x14ac:dyDescent="0.2">
      <c r="A306" s="63"/>
      <c r="B306" s="85"/>
      <c r="C306" s="4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4"/>
      <c r="P306" s="4"/>
      <c r="Q306" s="4"/>
      <c r="R306" s="4"/>
      <c r="S306" s="4"/>
      <c r="T306" s="4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4"/>
      <c r="AG306" s="3"/>
      <c r="AH306" s="82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82"/>
      <c r="BC306" s="82"/>
      <c r="BD306" s="82"/>
      <c r="BE306" s="82"/>
      <c r="BF306" s="82"/>
      <c r="BG306" s="4"/>
      <c r="BH306" s="4"/>
      <c r="BI306" s="4"/>
      <c r="BJ306" s="4"/>
    </row>
    <row r="307" spans="1:62" ht="12.75" x14ac:dyDescent="0.2">
      <c r="A307" s="63"/>
      <c r="B307" s="85"/>
      <c r="C307" s="4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4"/>
      <c r="P307" s="4"/>
      <c r="Q307" s="4"/>
      <c r="R307" s="4"/>
      <c r="S307" s="4"/>
      <c r="T307" s="4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4"/>
      <c r="AG307" s="3"/>
      <c r="AH307" s="82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82"/>
      <c r="BC307" s="82"/>
      <c r="BD307" s="82"/>
      <c r="BE307" s="82"/>
      <c r="BF307" s="82"/>
      <c r="BG307" s="4"/>
      <c r="BH307" s="4"/>
      <c r="BI307" s="4"/>
      <c r="BJ307" s="4"/>
    </row>
    <row r="308" spans="1:62" ht="12.75" x14ac:dyDescent="0.2">
      <c r="A308" s="63"/>
      <c r="B308" s="85"/>
      <c r="C308" s="4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4"/>
      <c r="P308" s="4"/>
      <c r="Q308" s="4"/>
      <c r="R308" s="4"/>
      <c r="S308" s="4"/>
      <c r="T308" s="4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4"/>
      <c r="AG308" s="3"/>
      <c r="AH308" s="82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82"/>
      <c r="BC308" s="82"/>
      <c r="BD308" s="82"/>
      <c r="BE308" s="82"/>
      <c r="BF308" s="82"/>
      <c r="BG308" s="4"/>
      <c r="BH308" s="4"/>
      <c r="BI308" s="4"/>
      <c r="BJ308" s="4"/>
    </row>
    <row r="309" spans="1:62" ht="12.75" x14ac:dyDescent="0.2">
      <c r="A309" s="63"/>
      <c r="B309" s="85"/>
      <c r="C309" s="4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4"/>
      <c r="P309" s="4"/>
      <c r="Q309" s="4"/>
      <c r="R309" s="4"/>
      <c r="S309" s="4"/>
      <c r="T309" s="4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4"/>
      <c r="AG309" s="3"/>
      <c r="AH309" s="82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82"/>
      <c r="BC309" s="82"/>
      <c r="BD309" s="82"/>
      <c r="BE309" s="82"/>
      <c r="BF309" s="82"/>
      <c r="BG309" s="4"/>
      <c r="BH309" s="4"/>
      <c r="BI309" s="4"/>
      <c r="BJ309" s="4"/>
    </row>
    <row r="310" spans="1:62" ht="12.75" x14ac:dyDescent="0.2">
      <c r="A310" s="63"/>
      <c r="B310" s="85"/>
      <c r="C310" s="4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4"/>
      <c r="P310" s="4"/>
      <c r="Q310" s="4"/>
      <c r="R310" s="4"/>
      <c r="S310" s="4"/>
      <c r="T310" s="4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4"/>
      <c r="AG310" s="3"/>
      <c r="AH310" s="82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82"/>
      <c r="BC310" s="82"/>
      <c r="BD310" s="82"/>
      <c r="BE310" s="82"/>
      <c r="BF310" s="82"/>
      <c r="BG310" s="4"/>
      <c r="BH310" s="4"/>
      <c r="BI310" s="4"/>
      <c r="BJ310" s="4"/>
    </row>
    <row r="311" spans="1:62" ht="12.75" x14ac:dyDescent="0.2">
      <c r="A311" s="63"/>
      <c r="B311" s="85"/>
      <c r="C311" s="4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4"/>
      <c r="P311" s="4"/>
      <c r="Q311" s="4"/>
      <c r="R311" s="4"/>
      <c r="S311" s="4"/>
      <c r="T311" s="4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4"/>
      <c r="AG311" s="3"/>
      <c r="AH311" s="82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82"/>
      <c r="BC311" s="82"/>
      <c r="BD311" s="82"/>
      <c r="BE311" s="82"/>
      <c r="BF311" s="82"/>
      <c r="BG311" s="4"/>
      <c r="BH311" s="4"/>
      <c r="BI311" s="4"/>
      <c r="BJ311" s="4"/>
    </row>
    <row r="312" spans="1:62" ht="12.75" x14ac:dyDescent="0.2">
      <c r="A312" s="63"/>
      <c r="B312" s="85"/>
      <c r="C312" s="4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4"/>
      <c r="P312" s="4"/>
      <c r="Q312" s="4"/>
      <c r="R312" s="4"/>
      <c r="S312" s="4"/>
      <c r="T312" s="4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4"/>
      <c r="AG312" s="3"/>
      <c r="AH312" s="82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82"/>
      <c r="BC312" s="82"/>
      <c r="BD312" s="82"/>
      <c r="BE312" s="82"/>
      <c r="BF312" s="82"/>
      <c r="BG312" s="4"/>
      <c r="BH312" s="4"/>
      <c r="BI312" s="4"/>
      <c r="BJ312" s="4"/>
    </row>
    <row r="313" spans="1:62" ht="12.75" x14ac:dyDescent="0.2">
      <c r="A313" s="63"/>
      <c r="B313" s="85"/>
      <c r="C313" s="4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4"/>
      <c r="P313" s="4"/>
      <c r="Q313" s="4"/>
      <c r="R313" s="4"/>
      <c r="S313" s="4"/>
      <c r="T313" s="4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4"/>
      <c r="AG313" s="3"/>
      <c r="AH313" s="82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82"/>
      <c r="BC313" s="82"/>
      <c r="BD313" s="82"/>
      <c r="BE313" s="82"/>
      <c r="BF313" s="82"/>
      <c r="BG313" s="4"/>
      <c r="BH313" s="4"/>
      <c r="BI313" s="4"/>
      <c r="BJ313" s="4"/>
    </row>
    <row r="314" spans="1:62" ht="12.75" x14ac:dyDescent="0.2">
      <c r="A314" s="63"/>
      <c r="B314" s="85"/>
      <c r="C314" s="4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4"/>
      <c r="P314" s="4"/>
      <c r="Q314" s="4"/>
      <c r="R314" s="4"/>
      <c r="S314" s="4"/>
      <c r="T314" s="4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4"/>
      <c r="AG314" s="3"/>
      <c r="AH314" s="82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82"/>
      <c r="BC314" s="82"/>
      <c r="BD314" s="82"/>
      <c r="BE314" s="82"/>
      <c r="BF314" s="82"/>
      <c r="BG314" s="4"/>
      <c r="BH314" s="4"/>
      <c r="BI314" s="4"/>
      <c r="BJ314" s="4"/>
    </row>
    <row r="315" spans="1:62" ht="12.75" x14ac:dyDescent="0.2">
      <c r="A315" s="63"/>
      <c r="B315" s="85"/>
      <c r="C315" s="4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4"/>
      <c r="P315" s="4"/>
      <c r="Q315" s="4"/>
      <c r="R315" s="4"/>
      <c r="S315" s="4"/>
      <c r="T315" s="4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4"/>
      <c r="AG315" s="3"/>
      <c r="AH315" s="82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82"/>
      <c r="BC315" s="82"/>
      <c r="BD315" s="82"/>
      <c r="BE315" s="82"/>
      <c r="BF315" s="82"/>
      <c r="BG315" s="4"/>
      <c r="BH315" s="4"/>
      <c r="BI315" s="4"/>
      <c r="BJ315" s="4"/>
    </row>
    <row r="316" spans="1:62" ht="12.75" x14ac:dyDescent="0.2">
      <c r="A316" s="63"/>
      <c r="B316" s="85"/>
      <c r="C316" s="4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4"/>
      <c r="P316" s="4"/>
      <c r="Q316" s="4"/>
      <c r="R316" s="4"/>
      <c r="S316" s="4"/>
      <c r="T316" s="4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4"/>
      <c r="AG316" s="3"/>
      <c r="AH316" s="82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82"/>
      <c r="BC316" s="82"/>
      <c r="BD316" s="82"/>
      <c r="BE316" s="82"/>
      <c r="BF316" s="82"/>
      <c r="BG316" s="4"/>
      <c r="BH316" s="4"/>
      <c r="BI316" s="4"/>
      <c r="BJ316" s="4"/>
    </row>
    <row r="317" spans="1:62" ht="12.75" x14ac:dyDescent="0.2">
      <c r="A317" s="63"/>
      <c r="B317" s="85"/>
      <c r="C317" s="4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4"/>
      <c r="P317" s="4"/>
      <c r="Q317" s="4"/>
      <c r="R317" s="4"/>
      <c r="S317" s="4"/>
      <c r="T317" s="4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4"/>
      <c r="AG317" s="3"/>
      <c r="AH317" s="82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82"/>
      <c r="BC317" s="82"/>
      <c r="BD317" s="82"/>
      <c r="BE317" s="82"/>
      <c r="BF317" s="82"/>
      <c r="BG317" s="4"/>
      <c r="BH317" s="4"/>
      <c r="BI317" s="4"/>
      <c r="BJ317" s="4"/>
    </row>
    <row r="318" spans="1:62" ht="12.75" x14ac:dyDescent="0.2">
      <c r="A318" s="63"/>
      <c r="B318" s="85"/>
      <c r="C318" s="4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4"/>
      <c r="P318" s="4"/>
      <c r="Q318" s="4"/>
      <c r="R318" s="4"/>
      <c r="S318" s="4"/>
      <c r="T318" s="4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4"/>
      <c r="AG318" s="3"/>
      <c r="AH318" s="82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82"/>
      <c r="BC318" s="82"/>
      <c r="BD318" s="82"/>
      <c r="BE318" s="82"/>
      <c r="BF318" s="82"/>
      <c r="BG318" s="4"/>
      <c r="BH318" s="4"/>
      <c r="BI318" s="4"/>
      <c r="BJ318" s="4"/>
    </row>
    <row r="319" spans="1:62" ht="12.75" x14ac:dyDescent="0.2">
      <c r="A319" s="63"/>
      <c r="B319" s="85"/>
      <c r="C319" s="4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4"/>
      <c r="P319" s="4"/>
      <c r="Q319" s="4"/>
      <c r="R319" s="4"/>
      <c r="S319" s="4"/>
      <c r="T319" s="4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4"/>
      <c r="AG319" s="3"/>
      <c r="AH319" s="82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82"/>
      <c r="BC319" s="82"/>
      <c r="BD319" s="82"/>
      <c r="BE319" s="82"/>
      <c r="BF319" s="82"/>
      <c r="BG319" s="4"/>
      <c r="BH319" s="4"/>
      <c r="BI319" s="4"/>
      <c r="BJ319" s="4"/>
    </row>
    <row r="320" spans="1:62" ht="12.75" x14ac:dyDescent="0.2">
      <c r="A320" s="63"/>
      <c r="B320" s="85"/>
      <c r="C320" s="4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4"/>
      <c r="P320" s="4"/>
      <c r="Q320" s="4"/>
      <c r="R320" s="4"/>
      <c r="S320" s="4"/>
      <c r="T320" s="4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4"/>
      <c r="AG320" s="3"/>
      <c r="AH320" s="82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82"/>
      <c r="BC320" s="82"/>
      <c r="BD320" s="82"/>
      <c r="BE320" s="82"/>
      <c r="BF320" s="82"/>
      <c r="BG320" s="4"/>
      <c r="BH320" s="4"/>
      <c r="BI320" s="4"/>
      <c r="BJ320" s="4"/>
    </row>
    <row r="321" spans="1:62" ht="12.75" x14ac:dyDescent="0.2">
      <c r="A321" s="63"/>
      <c r="B321" s="85"/>
      <c r="C321" s="4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4"/>
      <c r="P321" s="4"/>
      <c r="Q321" s="4"/>
      <c r="R321" s="4"/>
      <c r="S321" s="4"/>
      <c r="T321" s="4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4"/>
      <c r="AG321" s="3"/>
      <c r="AH321" s="82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82"/>
      <c r="BC321" s="82"/>
      <c r="BD321" s="82"/>
      <c r="BE321" s="82"/>
      <c r="BF321" s="82"/>
      <c r="BG321" s="4"/>
      <c r="BH321" s="4"/>
      <c r="BI321" s="4"/>
      <c r="BJ321" s="4"/>
    </row>
    <row r="322" spans="1:62" ht="12.75" x14ac:dyDescent="0.2">
      <c r="A322" s="63"/>
      <c r="B322" s="85"/>
      <c r="C322" s="4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4"/>
      <c r="P322" s="4"/>
      <c r="Q322" s="4"/>
      <c r="R322" s="4"/>
      <c r="S322" s="4"/>
      <c r="T322" s="4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4"/>
      <c r="AG322" s="3"/>
      <c r="AH322" s="82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82"/>
      <c r="BC322" s="82"/>
      <c r="BD322" s="82"/>
      <c r="BE322" s="82"/>
      <c r="BF322" s="82"/>
      <c r="BG322" s="4"/>
      <c r="BH322" s="4"/>
      <c r="BI322" s="4"/>
      <c r="BJ322" s="4"/>
    </row>
    <row r="323" spans="1:62" ht="12.75" x14ac:dyDescent="0.2">
      <c r="A323" s="63"/>
      <c r="B323" s="85"/>
      <c r="C323" s="4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4"/>
      <c r="P323" s="4"/>
      <c r="Q323" s="4"/>
      <c r="R323" s="4"/>
      <c r="S323" s="4"/>
      <c r="T323" s="4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4"/>
      <c r="AG323" s="3"/>
      <c r="AH323" s="82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82"/>
      <c r="BC323" s="82"/>
      <c r="BD323" s="82"/>
      <c r="BE323" s="82"/>
      <c r="BF323" s="82"/>
      <c r="BG323" s="4"/>
      <c r="BH323" s="4"/>
      <c r="BI323" s="4"/>
      <c r="BJ323" s="4"/>
    </row>
    <row r="324" spans="1:62" ht="12.75" x14ac:dyDescent="0.2">
      <c r="A324" s="63"/>
      <c r="B324" s="85"/>
      <c r="C324" s="4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4"/>
      <c r="P324" s="4"/>
      <c r="Q324" s="4"/>
      <c r="R324" s="4"/>
      <c r="S324" s="4"/>
      <c r="T324" s="4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4"/>
      <c r="AG324" s="3"/>
      <c r="AH324" s="82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82"/>
      <c r="BC324" s="82"/>
      <c r="BD324" s="82"/>
      <c r="BE324" s="82"/>
      <c r="BF324" s="82"/>
      <c r="BG324" s="4"/>
      <c r="BH324" s="4"/>
      <c r="BI324" s="4"/>
      <c r="BJ324" s="4"/>
    </row>
    <row r="325" spans="1:62" ht="12.75" x14ac:dyDescent="0.2">
      <c r="A325" s="63"/>
      <c r="B325" s="85"/>
      <c r="C325" s="4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4"/>
      <c r="P325" s="4"/>
      <c r="Q325" s="4"/>
      <c r="R325" s="4"/>
      <c r="S325" s="4"/>
      <c r="T325" s="4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4"/>
      <c r="AG325" s="3"/>
      <c r="AH325" s="82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82"/>
      <c r="BC325" s="82"/>
      <c r="BD325" s="82"/>
      <c r="BE325" s="82"/>
      <c r="BF325" s="82"/>
      <c r="BG325" s="4"/>
      <c r="BH325" s="4"/>
      <c r="BI325" s="4"/>
      <c r="BJ325" s="4"/>
    </row>
    <row r="326" spans="1:62" ht="12.75" x14ac:dyDescent="0.2">
      <c r="A326" s="63"/>
      <c r="B326" s="85"/>
      <c r="C326" s="4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4"/>
      <c r="P326" s="4"/>
      <c r="Q326" s="4"/>
      <c r="R326" s="4"/>
      <c r="S326" s="4"/>
      <c r="T326" s="4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4"/>
      <c r="AG326" s="3"/>
      <c r="AH326" s="82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82"/>
      <c r="BC326" s="82"/>
      <c r="BD326" s="82"/>
      <c r="BE326" s="82"/>
      <c r="BF326" s="82"/>
      <c r="BG326" s="4"/>
      <c r="BH326" s="4"/>
      <c r="BI326" s="4"/>
      <c r="BJ326" s="4"/>
    </row>
    <row r="327" spans="1:62" ht="12.75" x14ac:dyDescent="0.2">
      <c r="A327" s="63"/>
      <c r="B327" s="85"/>
      <c r="C327" s="4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4"/>
      <c r="P327" s="4"/>
      <c r="Q327" s="4"/>
      <c r="R327" s="4"/>
      <c r="S327" s="4"/>
      <c r="T327" s="4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4"/>
      <c r="AG327" s="3"/>
      <c r="AH327" s="82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82"/>
      <c r="BC327" s="82"/>
      <c r="BD327" s="82"/>
      <c r="BE327" s="82"/>
      <c r="BF327" s="82"/>
      <c r="BG327" s="4"/>
      <c r="BH327" s="4"/>
      <c r="BI327" s="4"/>
      <c r="BJ327" s="4"/>
    </row>
    <row r="328" spans="1:62" ht="12.75" x14ac:dyDescent="0.2">
      <c r="A328" s="63"/>
      <c r="B328" s="85"/>
      <c r="C328" s="4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4"/>
      <c r="P328" s="4"/>
      <c r="Q328" s="4"/>
      <c r="R328" s="4"/>
      <c r="S328" s="4"/>
      <c r="T328" s="4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4"/>
      <c r="AG328" s="3"/>
      <c r="AH328" s="82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82"/>
      <c r="BC328" s="82"/>
      <c r="BD328" s="82"/>
      <c r="BE328" s="82"/>
      <c r="BF328" s="82"/>
      <c r="BG328" s="4"/>
      <c r="BH328" s="4"/>
      <c r="BI328" s="4"/>
      <c r="BJ328" s="4"/>
    </row>
    <row r="329" spans="1:62" ht="12.75" x14ac:dyDescent="0.2">
      <c r="A329" s="63"/>
      <c r="B329" s="85"/>
      <c r="C329" s="4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4"/>
      <c r="P329" s="4"/>
      <c r="Q329" s="4"/>
      <c r="R329" s="4"/>
      <c r="S329" s="4"/>
      <c r="T329" s="4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4"/>
      <c r="AG329" s="3"/>
      <c r="AH329" s="82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82"/>
      <c r="BC329" s="82"/>
      <c r="BD329" s="82"/>
      <c r="BE329" s="82"/>
      <c r="BF329" s="82"/>
      <c r="BG329" s="4"/>
      <c r="BH329" s="4"/>
      <c r="BI329" s="4"/>
      <c r="BJ329" s="4"/>
    </row>
    <row r="330" spans="1:62" ht="12.75" x14ac:dyDescent="0.2">
      <c r="A330" s="63"/>
      <c r="B330" s="85"/>
      <c r="C330" s="4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4"/>
      <c r="P330" s="4"/>
      <c r="Q330" s="4"/>
      <c r="R330" s="4"/>
      <c r="S330" s="4"/>
      <c r="T330" s="4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4"/>
      <c r="AG330" s="3"/>
      <c r="AH330" s="82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82"/>
      <c r="BC330" s="82"/>
      <c r="BD330" s="82"/>
      <c r="BE330" s="82"/>
      <c r="BF330" s="82"/>
      <c r="BG330" s="4"/>
      <c r="BH330" s="4"/>
      <c r="BI330" s="4"/>
      <c r="BJ330" s="4"/>
    </row>
    <row r="331" spans="1:62" ht="12.75" x14ac:dyDescent="0.2">
      <c r="A331" s="63"/>
      <c r="B331" s="85"/>
      <c r="C331" s="4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4"/>
      <c r="P331" s="4"/>
      <c r="Q331" s="4"/>
      <c r="R331" s="4"/>
      <c r="S331" s="4"/>
      <c r="T331" s="4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4"/>
      <c r="AG331" s="3"/>
      <c r="AH331" s="82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82"/>
      <c r="BC331" s="82"/>
      <c r="BD331" s="82"/>
      <c r="BE331" s="82"/>
      <c r="BF331" s="82"/>
      <c r="BG331" s="4"/>
      <c r="BH331" s="4"/>
      <c r="BI331" s="4"/>
      <c r="BJ331" s="4"/>
    </row>
    <row r="332" spans="1:62" ht="12.75" x14ac:dyDescent="0.2">
      <c r="A332" s="63"/>
      <c r="B332" s="85"/>
      <c r="C332" s="4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4"/>
      <c r="P332" s="4"/>
      <c r="Q332" s="4"/>
      <c r="R332" s="4"/>
      <c r="S332" s="4"/>
      <c r="T332" s="4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4"/>
      <c r="AG332" s="3"/>
      <c r="AH332" s="82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82"/>
      <c r="BC332" s="82"/>
      <c r="BD332" s="82"/>
      <c r="BE332" s="82"/>
      <c r="BF332" s="82"/>
      <c r="BG332" s="4"/>
      <c r="BH332" s="4"/>
      <c r="BI332" s="4"/>
      <c r="BJ332" s="4"/>
    </row>
    <row r="333" spans="1:62" ht="12.75" x14ac:dyDescent="0.2">
      <c r="A333" s="63"/>
      <c r="B333" s="85"/>
      <c r="C333" s="4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4"/>
      <c r="P333" s="4"/>
      <c r="Q333" s="4"/>
      <c r="R333" s="4"/>
      <c r="S333" s="4"/>
      <c r="T333" s="4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4"/>
      <c r="AG333" s="3"/>
      <c r="AH333" s="82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82"/>
      <c r="BC333" s="82"/>
      <c r="BD333" s="82"/>
      <c r="BE333" s="82"/>
      <c r="BF333" s="82"/>
      <c r="BG333" s="4"/>
      <c r="BH333" s="4"/>
      <c r="BI333" s="4"/>
      <c r="BJ333" s="4"/>
    </row>
    <row r="334" spans="1:62" ht="12.75" x14ac:dyDescent="0.2">
      <c r="A334" s="63"/>
      <c r="B334" s="85"/>
      <c r="C334" s="4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4"/>
      <c r="P334" s="4"/>
      <c r="Q334" s="4"/>
      <c r="R334" s="4"/>
      <c r="S334" s="4"/>
      <c r="T334" s="4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4"/>
      <c r="AG334" s="3"/>
      <c r="AH334" s="82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82"/>
      <c r="BC334" s="82"/>
      <c r="BD334" s="82"/>
      <c r="BE334" s="82"/>
      <c r="BF334" s="82"/>
      <c r="BG334" s="4"/>
      <c r="BH334" s="4"/>
      <c r="BI334" s="4"/>
      <c r="BJ334" s="4"/>
    </row>
    <row r="335" spans="1:62" ht="12.75" x14ac:dyDescent="0.2">
      <c r="A335" s="63"/>
      <c r="B335" s="85"/>
      <c r="C335" s="4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4"/>
      <c r="P335" s="4"/>
      <c r="Q335" s="4"/>
      <c r="R335" s="4"/>
      <c r="S335" s="4"/>
      <c r="T335" s="4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4"/>
      <c r="AG335" s="3"/>
      <c r="AH335" s="82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82"/>
      <c r="BC335" s="82"/>
      <c r="BD335" s="82"/>
      <c r="BE335" s="82"/>
      <c r="BF335" s="82"/>
      <c r="BG335" s="4"/>
      <c r="BH335" s="4"/>
      <c r="BI335" s="4"/>
      <c r="BJ335" s="4"/>
    </row>
    <row r="336" spans="1:62" ht="12.75" x14ac:dyDescent="0.2">
      <c r="A336" s="63"/>
      <c r="B336" s="85"/>
      <c r="C336" s="4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4"/>
      <c r="P336" s="4"/>
      <c r="Q336" s="4"/>
      <c r="R336" s="4"/>
      <c r="S336" s="4"/>
      <c r="T336" s="4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4"/>
      <c r="AG336" s="3"/>
      <c r="AH336" s="82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82"/>
      <c r="BC336" s="82"/>
      <c r="BD336" s="82"/>
      <c r="BE336" s="82"/>
      <c r="BF336" s="82"/>
      <c r="BG336" s="4"/>
      <c r="BH336" s="4"/>
      <c r="BI336" s="4"/>
      <c r="BJ336" s="4"/>
    </row>
    <row r="337" spans="1:62" ht="12.75" x14ac:dyDescent="0.2">
      <c r="A337" s="63"/>
      <c r="B337" s="85"/>
      <c r="C337" s="4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4"/>
      <c r="P337" s="4"/>
      <c r="Q337" s="4"/>
      <c r="R337" s="4"/>
      <c r="S337" s="4"/>
      <c r="T337" s="4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4"/>
      <c r="AG337" s="3"/>
      <c r="AH337" s="82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82"/>
      <c r="BC337" s="82"/>
      <c r="BD337" s="82"/>
      <c r="BE337" s="82"/>
      <c r="BF337" s="82"/>
      <c r="BG337" s="4"/>
      <c r="BH337" s="4"/>
      <c r="BI337" s="4"/>
      <c r="BJ337" s="4"/>
    </row>
    <row r="338" spans="1:62" ht="12.75" x14ac:dyDescent="0.2">
      <c r="A338" s="63"/>
      <c r="B338" s="85"/>
      <c r="C338" s="4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4"/>
      <c r="P338" s="4"/>
      <c r="Q338" s="4"/>
      <c r="R338" s="4"/>
      <c r="S338" s="4"/>
      <c r="T338" s="4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4"/>
      <c r="AG338" s="3"/>
      <c r="AH338" s="82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82"/>
      <c r="BC338" s="82"/>
      <c r="BD338" s="82"/>
      <c r="BE338" s="82"/>
      <c r="BF338" s="82"/>
      <c r="BG338" s="4"/>
      <c r="BH338" s="4"/>
      <c r="BI338" s="4"/>
      <c r="BJ338" s="4"/>
    </row>
    <row r="339" spans="1:62" ht="12.75" x14ac:dyDescent="0.2">
      <c r="A339" s="63"/>
      <c r="B339" s="85"/>
      <c r="C339" s="4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4"/>
      <c r="P339" s="4"/>
      <c r="Q339" s="4"/>
      <c r="R339" s="4"/>
      <c r="S339" s="4"/>
      <c r="T339" s="4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4"/>
      <c r="AG339" s="3"/>
      <c r="AH339" s="82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82"/>
      <c r="BC339" s="82"/>
      <c r="BD339" s="82"/>
      <c r="BE339" s="82"/>
      <c r="BF339" s="82"/>
      <c r="BG339" s="4"/>
      <c r="BH339" s="4"/>
      <c r="BI339" s="4"/>
      <c r="BJ339" s="4"/>
    </row>
    <row r="340" spans="1:62" ht="12.75" x14ac:dyDescent="0.2">
      <c r="A340" s="63"/>
      <c r="B340" s="85"/>
      <c r="C340" s="4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4"/>
      <c r="P340" s="4"/>
      <c r="Q340" s="4"/>
      <c r="R340" s="4"/>
      <c r="S340" s="4"/>
      <c r="T340" s="4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4"/>
      <c r="AG340" s="3"/>
      <c r="AH340" s="82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82"/>
      <c r="BC340" s="82"/>
      <c r="BD340" s="82"/>
      <c r="BE340" s="82"/>
      <c r="BF340" s="82"/>
      <c r="BG340" s="4"/>
      <c r="BH340" s="4"/>
      <c r="BI340" s="4"/>
      <c r="BJ340" s="4"/>
    </row>
    <row r="341" spans="1:62" ht="12.75" x14ac:dyDescent="0.2">
      <c r="A341" s="63"/>
      <c r="B341" s="85"/>
      <c r="C341" s="4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4"/>
      <c r="P341" s="4"/>
      <c r="Q341" s="4"/>
      <c r="R341" s="4"/>
      <c r="S341" s="4"/>
      <c r="T341" s="4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4"/>
      <c r="AG341" s="3"/>
      <c r="AH341" s="82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82"/>
      <c r="BC341" s="82"/>
      <c r="BD341" s="82"/>
      <c r="BE341" s="82"/>
      <c r="BF341" s="82"/>
      <c r="BG341" s="4"/>
      <c r="BH341" s="4"/>
      <c r="BI341" s="4"/>
      <c r="BJ341" s="4"/>
    </row>
    <row r="342" spans="1:62" ht="12.75" x14ac:dyDescent="0.2">
      <c r="A342" s="63"/>
      <c r="B342" s="85"/>
      <c r="C342" s="4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4"/>
      <c r="P342" s="4"/>
      <c r="Q342" s="4"/>
      <c r="R342" s="4"/>
      <c r="S342" s="4"/>
      <c r="T342" s="4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4"/>
      <c r="AG342" s="3"/>
      <c r="AH342" s="82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82"/>
      <c r="BC342" s="82"/>
      <c r="BD342" s="82"/>
      <c r="BE342" s="82"/>
      <c r="BF342" s="82"/>
      <c r="BG342" s="4"/>
      <c r="BH342" s="4"/>
      <c r="BI342" s="4"/>
      <c r="BJ342" s="4"/>
    </row>
    <row r="343" spans="1:62" ht="12.75" x14ac:dyDescent="0.2">
      <c r="A343" s="63"/>
      <c r="B343" s="85"/>
      <c r="C343" s="4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4"/>
      <c r="P343" s="4"/>
      <c r="Q343" s="4"/>
      <c r="R343" s="4"/>
      <c r="S343" s="4"/>
      <c r="T343" s="4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4"/>
      <c r="AG343" s="3"/>
      <c r="AH343" s="82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82"/>
      <c r="BC343" s="82"/>
      <c r="BD343" s="82"/>
      <c r="BE343" s="82"/>
      <c r="BF343" s="82"/>
      <c r="BG343" s="4"/>
      <c r="BH343" s="4"/>
      <c r="BI343" s="4"/>
      <c r="BJ343" s="4"/>
    </row>
    <row r="344" spans="1:62" ht="12.75" x14ac:dyDescent="0.2">
      <c r="A344" s="63"/>
      <c r="B344" s="85"/>
      <c r="C344" s="4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4"/>
      <c r="P344" s="4"/>
      <c r="Q344" s="4"/>
      <c r="R344" s="4"/>
      <c r="S344" s="4"/>
      <c r="T344" s="4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4"/>
      <c r="AG344" s="3"/>
      <c r="AH344" s="82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82"/>
      <c r="BC344" s="82"/>
      <c r="BD344" s="82"/>
      <c r="BE344" s="82"/>
      <c r="BF344" s="82"/>
      <c r="BG344" s="4"/>
      <c r="BH344" s="4"/>
      <c r="BI344" s="4"/>
      <c r="BJ344" s="4"/>
    </row>
    <row r="345" spans="1:62" ht="12.75" x14ac:dyDescent="0.2">
      <c r="A345" s="63"/>
      <c r="B345" s="85"/>
      <c r="C345" s="4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4"/>
      <c r="P345" s="4"/>
      <c r="Q345" s="4"/>
      <c r="R345" s="4"/>
      <c r="S345" s="4"/>
      <c r="T345" s="4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4"/>
      <c r="AG345" s="3"/>
      <c r="AH345" s="82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82"/>
      <c r="BC345" s="82"/>
      <c r="BD345" s="82"/>
      <c r="BE345" s="82"/>
      <c r="BF345" s="82"/>
      <c r="BG345" s="4"/>
      <c r="BH345" s="4"/>
      <c r="BI345" s="4"/>
      <c r="BJ345" s="4"/>
    </row>
    <row r="346" spans="1:62" ht="12.75" x14ac:dyDescent="0.2">
      <c r="A346" s="63"/>
      <c r="B346" s="85"/>
      <c r="C346" s="4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4"/>
      <c r="P346" s="4"/>
      <c r="Q346" s="4"/>
      <c r="R346" s="4"/>
      <c r="S346" s="4"/>
      <c r="T346" s="4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4"/>
      <c r="AG346" s="3"/>
      <c r="AH346" s="82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82"/>
      <c r="BC346" s="82"/>
      <c r="BD346" s="82"/>
      <c r="BE346" s="82"/>
      <c r="BF346" s="82"/>
      <c r="BG346" s="4"/>
      <c r="BH346" s="4"/>
      <c r="BI346" s="4"/>
      <c r="BJ346" s="4"/>
    </row>
    <row r="347" spans="1:62" ht="12.75" x14ac:dyDescent="0.2">
      <c r="A347" s="63"/>
      <c r="B347" s="85"/>
      <c r="C347" s="4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4"/>
      <c r="P347" s="4"/>
      <c r="Q347" s="4"/>
      <c r="R347" s="4"/>
      <c r="S347" s="4"/>
      <c r="T347" s="4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4"/>
      <c r="AG347" s="3"/>
      <c r="AH347" s="82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82"/>
      <c r="BC347" s="82"/>
      <c r="BD347" s="82"/>
      <c r="BE347" s="82"/>
      <c r="BF347" s="82"/>
      <c r="BG347" s="4"/>
      <c r="BH347" s="4"/>
      <c r="BI347" s="4"/>
      <c r="BJ347" s="4"/>
    </row>
    <row r="348" spans="1:62" ht="12.75" x14ac:dyDescent="0.2">
      <c r="A348" s="63"/>
      <c r="B348" s="85"/>
      <c r="C348" s="4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4"/>
      <c r="P348" s="4"/>
      <c r="Q348" s="4"/>
      <c r="R348" s="4"/>
      <c r="S348" s="4"/>
      <c r="T348" s="4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4"/>
      <c r="AG348" s="3"/>
      <c r="AH348" s="82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82"/>
      <c r="BC348" s="82"/>
      <c r="BD348" s="82"/>
      <c r="BE348" s="82"/>
      <c r="BF348" s="82"/>
      <c r="BG348" s="4"/>
      <c r="BH348" s="4"/>
      <c r="BI348" s="4"/>
      <c r="BJ348" s="4"/>
    </row>
    <row r="349" spans="1:62" ht="12.75" x14ac:dyDescent="0.2">
      <c r="A349" s="63"/>
      <c r="B349" s="85"/>
      <c r="C349" s="4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4"/>
      <c r="P349" s="4"/>
      <c r="Q349" s="4"/>
      <c r="R349" s="4"/>
      <c r="S349" s="4"/>
      <c r="T349" s="4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4"/>
      <c r="AG349" s="3"/>
      <c r="AH349" s="82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82"/>
      <c r="BC349" s="82"/>
      <c r="BD349" s="82"/>
      <c r="BE349" s="82"/>
      <c r="BF349" s="82"/>
      <c r="BG349" s="4"/>
      <c r="BH349" s="4"/>
      <c r="BI349" s="4"/>
      <c r="BJ349" s="4"/>
    </row>
    <row r="350" spans="1:62" ht="12.75" x14ac:dyDescent="0.2">
      <c r="A350" s="63"/>
      <c r="B350" s="85"/>
      <c r="C350" s="4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4"/>
      <c r="P350" s="4"/>
      <c r="Q350" s="4"/>
      <c r="R350" s="4"/>
      <c r="S350" s="4"/>
      <c r="T350" s="4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4"/>
      <c r="AG350" s="3"/>
      <c r="AH350" s="82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82"/>
      <c r="BC350" s="82"/>
      <c r="BD350" s="82"/>
      <c r="BE350" s="82"/>
      <c r="BF350" s="82"/>
      <c r="BG350" s="4"/>
      <c r="BH350" s="4"/>
      <c r="BI350" s="4"/>
      <c r="BJ350" s="4"/>
    </row>
    <row r="351" spans="1:62" ht="12.75" x14ac:dyDescent="0.2">
      <c r="A351" s="63"/>
      <c r="B351" s="85"/>
      <c r="C351" s="4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4"/>
      <c r="P351" s="4"/>
      <c r="Q351" s="4"/>
      <c r="R351" s="4"/>
      <c r="S351" s="4"/>
      <c r="T351" s="4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4"/>
      <c r="AG351" s="3"/>
      <c r="AH351" s="82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82"/>
      <c r="BC351" s="82"/>
      <c r="BD351" s="82"/>
      <c r="BE351" s="82"/>
      <c r="BF351" s="82"/>
      <c r="BG351" s="4"/>
      <c r="BH351" s="4"/>
      <c r="BI351" s="4"/>
      <c r="BJ351" s="4"/>
    </row>
    <row r="352" spans="1:62" ht="12.75" x14ac:dyDescent="0.2">
      <c r="A352" s="63"/>
      <c r="B352" s="85"/>
      <c r="C352" s="4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4"/>
      <c r="P352" s="4"/>
      <c r="Q352" s="4"/>
      <c r="R352" s="4"/>
      <c r="S352" s="4"/>
      <c r="T352" s="4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4"/>
      <c r="AG352" s="3"/>
      <c r="AH352" s="82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82"/>
      <c r="BC352" s="82"/>
      <c r="BD352" s="82"/>
      <c r="BE352" s="82"/>
      <c r="BF352" s="82"/>
      <c r="BG352" s="4"/>
      <c r="BH352" s="4"/>
      <c r="BI352" s="4"/>
      <c r="BJ352" s="4"/>
    </row>
    <row r="353" spans="1:62" ht="12.75" x14ac:dyDescent="0.2">
      <c r="A353" s="63"/>
      <c r="B353" s="85"/>
      <c r="C353" s="4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4"/>
      <c r="P353" s="4"/>
      <c r="Q353" s="4"/>
      <c r="R353" s="4"/>
      <c r="S353" s="4"/>
      <c r="T353" s="4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4"/>
      <c r="AG353" s="3"/>
      <c r="AH353" s="82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82"/>
      <c r="BC353" s="82"/>
      <c r="BD353" s="82"/>
      <c r="BE353" s="82"/>
      <c r="BF353" s="82"/>
      <c r="BG353" s="4"/>
      <c r="BH353" s="4"/>
      <c r="BI353" s="4"/>
      <c r="BJ353" s="4"/>
    </row>
    <row r="354" spans="1:62" ht="12.75" x14ac:dyDescent="0.2">
      <c r="A354" s="63"/>
      <c r="B354" s="85"/>
      <c r="C354" s="4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4"/>
      <c r="P354" s="4"/>
      <c r="Q354" s="4"/>
      <c r="R354" s="4"/>
      <c r="S354" s="4"/>
      <c r="T354" s="4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4"/>
      <c r="AG354" s="3"/>
      <c r="AH354" s="82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82"/>
      <c r="BC354" s="82"/>
      <c r="BD354" s="82"/>
      <c r="BE354" s="82"/>
      <c r="BF354" s="82"/>
      <c r="BG354" s="4"/>
      <c r="BH354" s="4"/>
      <c r="BI354" s="4"/>
      <c r="BJ354" s="4"/>
    </row>
    <row r="355" spans="1:62" ht="12.75" x14ac:dyDescent="0.2">
      <c r="A355" s="63"/>
      <c r="B355" s="85"/>
      <c r="C355" s="4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4"/>
      <c r="P355" s="4"/>
      <c r="Q355" s="4"/>
      <c r="R355" s="4"/>
      <c r="S355" s="4"/>
      <c r="T355" s="4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4"/>
      <c r="AG355" s="3"/>
      <c r="AH355" s="82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82"/>
      <c r="BC355" s="82"/>
      <c r="BD355" s="82"/>
      <c r="BE355" s="82"/>
      <c r="BF355" s="82"/>
      <c r="BG355" s="4"/>
      <c r="BH355" s="4"/>
      <c r="BI355" s="4"/>
      <c r="BJ355" s="4"/>
    </row>
    <row r="356" spans="1:62" ht="12.75" x14ac:dyDescent="0.2">
      <c r="A356" s="63"/>
      <c r="B356" s="85"/>
      <c r="C356" s="4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4"/>
      <c r="P356" s="4"/>
      <c r="Q356" s="4"/>
      <c r="R356" s="4"/>
      <c r="S356" s="4"/>
      <c r="T356" s="4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4"/>
      <c r="AG356" s="3"/>
      <c r="AH356" s="82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82"/>
      <c r="BC356" s="82"/>
      <c r="BD356" s="82"/>
      <c r="BE356" s="82"/>
      <c r="BF356" s="82"/>
      <c r="BG356" s="4"/>
      <c r="BH356" s="4"/>
      <c r="BI356" s="4"/>
      <c r="BJ356" s="4"/>
    </row>
    <row r="357" spans="1:62" ht="12.75" x14ac:dyDescent="0.2">
      <c r="A357" s="63"/>
      <c r="B357" s="85"/>
      <c r="C357" s="4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4"/>
      <c r="P357" s="4"/>
      <c r="Q357" s="4"/>
      <c r="R357" s="4"/>
      <c r="S357" s="4"/>
      <c r="T357" s="4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4"/>
      <c r="AG357" s="3"/>
      <c r="AH357" s="82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82"/>
      <c r="BC357" s="82"/>
      <c r="BD357" s="82"/>
      <c r="BE357" s="82"/>
      <c r="BF357" s="82"/>
      <c r="BG357" s="4"/>
      <c r="BH357" s="4"/>
      <c r="BI357" s="4"/>
      <c r="BJ357" s="4"/>
    </row>
    <row r="358" spans="1:62" ht="12.75" x14ac:dyDescent="0.2">
      <c r="A358" s="63"/>
      <c r="B358" s="85"/>
      <c r="C358" s="4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4"/>
      <c r="P358" s="4"/>
      <c r="Q358" s="4"/>
      <c r="R358" s="4"/>
      <c r="S358" s="4"/>
      <c r="T358" s="4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4"/>
      <c r="AG358" s="3"/>
      <c r="AH358" s="82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82"/>
      <c r="BC358" s="82"/>
      <c r="BD358" s="82"/>
      <c r="BE358" s="82"/>
      <c r="BF358" s="82"/>
      <c r="BG358" s="4"/>
      <c r="BH358" s="4"/>
      <c r="BI358" s="4"/>
      <c r="BJ358" s="4"/>
    </row>
    <row r="359" spans="1:62" ht="12.75" x14ac:dyDescent="0.2">
      <c r="A359" s="63"/>
      <c r="B359" s="85"/>
      <c r="C359" s="4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4"/>
      <c r="P359" s="4"/>
      <c r="Q359" s="4"/>
      <c r="R359" s="4"/>
      <c r="S359" s="4"/>
      <c r="T359" s="4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4"/>
      <c r="AG359" s="3"/>
      <c r="AH359" s="82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82"/>
      <c r="BC359" s="82"/>
      <c r="BD359" s="82"/>
      <c r="BE359" s="82"/>
      <c r="BF359" s="82"/>
      <c r="BG359" s="4"/>
      <c r="BH359" s="4"/>
      <c r="BI359" s="4"/>
      <c r="BJ359" s="4"/>
    </row>
    <row r="360" spans="1:62" ht="12.75" x14ac:dyDescent="0.2">
      <c r="A360" s="63"/>
      <c r="B360" s="85"/>
      <c r="C360" s="4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4"/>
      <c r="P360" s="4"/>
      <c r="Q360" s="4"/>
      <c r="R360" s="4"/>
      <c r="S360" s="4"/>
      <c r="T360" s="4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4"/>
      <c r="AG360" s="3"/>
      <c r="AH360" s="82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82"/>
      <c r="BC360" s="82"/>
      <c r="BD360" s="82"/>
      <c r="BE360" s="82"/>
      <c r="BF360" s="82"/>
      <c r="BG360" s="4"/>
      <c r="BH360" s="4"/>
      <c r="BI360" s="4"/>
      <c r="BJ360" s="4"/>
    </row>
    <row r="361" spans="1:62" ht="12.75" x14ac:dyDescent="0.2">
      <c r="A361" s="63"/>
      <c r="B361" s="85"/>
      <c r="C361" s="4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4"/>
      <c r="P361" s="4"/>
      <c r="Q361" s="4"/>
      <c r="R361" s="4"/>
      <c r="S361" s="4"/>
      <c r="T361" s="4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4"/>
      <c r="AG361" s="3"/>
      <c r="AH361" s="82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82"/>
      <c r="BC361" s="82"/>
      <c r="BD361" s="82"/>
      <c r="BE361" s="82"/>
      <c r="BF361" s="82"/>
      <c r="BG361" s="4"/>
      <c r="BH361" s="4"/>
      <c r="BI361" s="4"/>
      <c r="BJ361" s="4"/>
    </row>
    <row r="362" spans="1:62" ht="12.75" x14ac:dyDescent="0.2">
      <c r="A362" s="63"/>
      <c r="B362" s="85"/>
      <c r="C362" s="4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4"/>
      <c r="P362" s="4"/>
      <c r="Q362" s="4"/>
      <c r="R362" s="4"/>
      <c r="S362" s="4"/>
      <c r="T362" s="4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4"/>
      <c r="AG362" s="3"/>
      <c r="AH362" s="82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82"/>
      <c r="BC362" s="82"/>
      <c r="BD362" s="82"/>
      <c r="BE362" s="82"/>
      <c r="BF362" s="82"/>
      <c r="BG362" s="4"/>
      <c r="BH362" s="4"/>
      <c r="BI362" s="4"/>
      <c r="BJ362" s="4"/>
    </row>
    <row r="363" spans="1:62" ht="12.75" x14ac:dyDescent="0.2">
      <c r="A363" s="63"/>
      <c r="B363" s="85"/>
      <c r="C363" s="4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4"/>
      <c r="P363" s="4"/>
      <c r="Q363" s="4"/>
      <c r="R363" s="4"/>
      <c r="S363" s="4"/>
      <c r="T363" s="4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4"/>
      <c r="AG363" s="3"/>
      <c r="AH363" s="82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82"/>
      <c r="BC363" s="82"/>
      <c r="BD363" s="82"/>
      <c r="BE363" s="82"/>
      <c r="BF363" s="82"/>
      <c r="BG363" s="4"/>
      <c r="BH363" s="4"/>
      <c r="BI363" s="4"/>
      <c r="BJ363" s="4"/>
    </row>
    <row r="364" spans="1:62" ht="12.75" x14ac:dyDescent="0.2">
      <c r="A364" s="63"/>
      <c r="B364" s="85"/>
      <c r="C364" s="4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4"/>
      <c r="P364" s="4"/>
      <c r="Q364" s="4"/>
      <c r="R364" s="4"/>
      <c r="S364" s="4"/>
      <c r="T364" s="4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4"/>
      <c r="AG364" s="3"/>
      <c r="AH364" s="82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82"/>
      <c r="BC364" s="82"/>
      <c r="BD364" s="82"/>
      <c r="BE364" s="82"/>
      <c r="BF364" s="82"/>
      <c r="BG364" s="4"/>
      <c r="BH364" s="4"/>
      <c r="BI364" s="4"/>
      <c r="BJ364" s="4"/>
    </row>
    <row r="365" spans="1:62" ht="12.75" x14ac:dyDescent="0.2">
      <c r="A365" s="63"/>
      <c r="B365" s="85"/>
      <c r="C365" s="4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4"/>
      <c r="P365" s="4"/>
      <c r="Q365" s="4"/>
      <c r="R365" s="4"/>
      <c r="S365" s="4"/>
      <c r="T365" s="4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4"/>
      <c r="AG365" s="3"/>
      <c r="AH365" s="82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82"/>
      <c r="BC365" s="82"/>
      <c r="BD365" s="82"/>
      <c r="BE365" s="82"/>
      <c r="BF365" s="82"/>
      <c r="BG365" s="4"/>
      <c r="BH365" s="4"/>
      <c r="BI365" s="4"/>
      <c r="BJ365" s="4"/>
    </row>
    <row r="366" spans="1:62" ht="12.75" x14ac:dyDescent="0.2">
      <c r="A366" s="63"/>
      <c r="B366" s="85"/>
      <c r="C366" s="4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4"/>
      <c r="P366" s="4"/>
      <c r="Q366" s="4"/>
      <c r="R366" s="4"/>
      <c r="S366" s="4"/>
      <c r="T366" s="4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4"/>
      <c r="AG366" s="3"/>
      <c r="AH366" s="82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82"/>
      <c r="BC366" s="82"/>
      <c r="BD366" s="82"/>
      <c r="BE366" s="82"/>
      <c r="BF366" s="82"/>
      <c r="BG366" s="4"/>
      <c r="BH366" s="4"/>
      <c r="BI366" s="4"/>
      <c r="BJ366" s="4"/>
    </row>
    <row r="367" spans="1:62" ht="12.75" x14ac:dyDescent="0.2">
      <c r="A367" s="63"/>
      <c r="B367" s="85"/>
      <c r="C367" s="4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4"/>
      <c r="P367" s="4"/>
      <c r="Q367" s="4"/>
      <c r="R367" s="4"/>
      <c r="S367" s="4"/>
      <c r="T367" s="4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4"/>
      <c r="AG367" s="3"/>
      <c r="AH367" s="82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82"/>
      <c r="BC367" s="82"/>
      <c r="BD367" s="82"/>
      <c r="BE367" s="82"/>
      <c r="BF367" s="82"/>
      <c r="BG367" s="4"/>
      <c r="BH367" s="4"/>
      <c r="BI367" s="4"/>
      <c r="BJ367" s="4"/>
    </row>
    <row r="368" spans="1:62" ht="12.75" x14ac:dyDescent="0.2">
      <c r="A368" s="63"/>
      <c r="B368" s="85"/>
      <c r="C368" s="4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4"/>
      <c r="P368" s="4"/>
      <c r="Q368" s="4"/>
      <c r="R368" s="4"/>
      <c r="S368" s="4"/>
      <c r="T368" s="4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4"/>
      <c r="AG368" s="3"/>
      <c r="AH368" s="82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82"/>
      <c r="BC368" s="82"/>
      <c r="BD368" s="82"/>
      <c r="BE368" s="82"/>
      <c r="BF368" s="82"/>
      <c r="BG368" s="4"/>
      <c r="BH368" s="4"/>
      <c r="BI368" s="4"/>
      <c r="BJ368" s="4"/>
    </row>
    <row r="369" spans="1:62" ht="12.75" x14ac:dyDescent="0.2">
      <c r="A369" s="63"/>
      <c r="B369" s="85"/>
      <c r="C369" s="4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4"/>
      <c r="P369" s="4"/>
      <c r="Q369" s="4"/>
      <c r="R369" s="4"/>
      <c r="S369" s="4"/>
      <c r="T369" s="4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4"/>
      <c r="AG369" s="3"/>
      <c r="AH369" s="82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82"/>
      <c r="BC369" s="82"/>
      <c r="BD369" s="82"/>
      <c r="BE369" s="82"/>
      <c r="BF369" s="82"/>
      <c r="BG369" s="4"/>
      <c r="BH369" s="4"/>
      <c r="BI369" s="4"/>
      <c r="BJ369" s="4"/>
    </row>
    <row r="370" spans="1:62" ht="12.75" x14ac:dyDescent="0.2">
      <c r="A370" s="63"/>
      <c r="B370" s="85"/>
      <c r="C370" s="4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4"/>
      <c r="P370" s="4"/>
      <c r="Q370" s="4"/>
      <c r="R370" s="4"/>
      <c r="S370" s="4"/>
      <c r="T370" s="4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4"/>
      <c r="AG370" s="3"/>
      <c r="AH370" s="82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82"/>
      <c r="BC370" s="82"/>
      <c r="BD370" s="82"/>
      <c r="BE370" s="82"/>
      <c r="BF370" s="82"/>
      <c r="BG370" s="4"/>
      <c r="BH370" s="4"/>
      <c r="BI370" s="4"/>
      <c r="BJ370" s="4"/>
    </row>
    <row r="371" spans="1:62" ht="12.75" x14ac:dyDescent="0.2">
      <c r="A371" s="63"/>
      <c r="B371" s="85"/>
      <c r="C371" s="4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4"/>
      <c r="P371" s="4"/>
      <c r="Q371" s="4"/>
      <c r="R371" s="4"/>
      <c r="S371" s="4"/>
      <c r="T371" s="4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4"/>
      <c r="AG371" s="3"/>
      <c r="AH371" s="82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82"/>
      <c r="BC371" s="82"/>
      <c r="BD371" s="82"/>
      <c r="BE371" s="82"/>
      <c r="BF371" s="82"/>
      <c r="BG371" s="4"/>
      <c r="BH371" s="4"/>
      <c r="BI371" s="4"/>
      <c r="BJ371" s="4"/>
    </row>
    <row r="372" spans="1:62" ht="12.75" x14ac:dyDescent="0.2">
      <c r="A372" s="63"/>
      <c r="B372" s="85"/>
      <c r="C372" s="4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4"/>
      <c r="P372" s="4"/>
      <c r="Q372" s="4"/>
      <c r="R372" s="4"/>
      <c r="S372" s="4"/>
      <c r="T372" s="4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4"/>
      <c r="AG372" s="3"/>
      <c r="AH372" s="82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82"/>
      <c r="BC372" s="82"/>
      <c r="BD372" s="82"/>
      <c r="BE372" s="82"/>
      <c r="BF372" s="82"/>
      <c r="BG372" s="4"/>
      <c r="BH372" s="4"/>
      <c r="BI372" s="4"/>
      <c r="BJ372" s="4"/>
    </row>
    <row r="373" spans="1:62" ht="12.75" x14ac:dyDescent="0.2">
      <c r="A373" s="63"/>
      <c r="B373" s="85"/>
      <c r="C373" s="4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4"/>
      <c r="P373" s="4"/>
      <c r="Q373" s="4"/>
      <c r="R373" s="4"/>
      <c r="S373" s="4"/>
      <c r="T373" s="4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4"/>
      <c r="AG373" s="3"/>
      <c r="AH373" s="82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82"/>
      <c r="BC373" s="82"/>
      <c r="BD373" s="82"/>
      <c r="BE373" s="82"/>
      <c r="BF373" s="82"/>
      <c r="BG373" s="4"/>
      <c r="BH373" s="4"/>
      <c r="BI373" s="4"/>
      <c r="BJ373" s="4"/>
    </row>
    <row r="374" spans="1:62" ht="12.75" x14ac:dyDescent="0.2">
      <c r="A374" s="63"/>
      <c r="B374" s="85"/>
      <c r="C374" s="4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4"/>
      <c r="P374" s="4"/>
      <c r="Q374" s="4"/>
      <c r="R374" s="4"/>
      <c r="S374" s="4"/>
      <c r="T374" s="4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4"/>
      <c r="AG374" s="3"/>
      <c r="AH374" s="82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82"/>
      <c r="BC374" s="82"/>
      <c r="BD374" s="82"/>
      <c r="BE374" s="82"/>
      <c r="BF374" s="82"/>
      <c r="BG374" s="4"/>
      <c r="BH374" s="4"/>
      <c r="BI374" s="4"/>
      <c r="BJ374" s="4"/>
    </row>
    <row r="375" spans="1:62" ht="12.75" x14ac:dyDescent="0.2">
      <c r="A375" s="63"/>
      <c r="B375" s="85"/>
      <c r="C375" s="4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4"/>
      <c r="P375" s="4"/>
      <c r="Q375" s="4"/>
      <c r="R375" s="4"/>
      <c r="S375" s="4"/>
      <c r="T375" s="4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4"/>
      <c r="AG375" s="3"/>
      <c r="AH375" s="82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82"/>
      <c r="BC375" s="82"/>
      <c r="BD375" s="82"/>
      <c r="BE375" s="82"/>
      <c r="BF375" s="82"/>
      <c r="BG375" s="4"/>
      <c r="BH375" s="4"/>
      <c r="BI375" s="4"/>
      <c r="BJ375" s="4"/>
    </row>
    <row r="376" spans="1:62" ht="12.75" x14ac:dyDescent="0.2">
      <c r="A376" s="63"/>
      <c r="B376" s="85"/>
      <c r="C376" s="4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4"/>
      <c r="P376" s="4"/>
      <c r="Q376" s="4"/>
      <c r="R376" s="4"/>
      <c r="S376" s="4"/>
      <c r="T376" s="4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4"/>
      <c r="AG376" s="3"/>
      <c r="AH376" s="82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82"/>
      <c r="BC376" s="82"/>
      <c r="BD376" s="82"/>
      <c r="BE376" s="82"/>
      <c r="BF376" s="82"/>
      <c r="BG376" s="4"/>
      <c r="BH376" s="4"/>
      <c r="BI376" s="4"/>
      <c r="BJ376" s="4"/>
    </row>
    <row r="377" spans="1:62" ht="12.75" x14ac:dyDescent="0.2">
      <c r="A377" s="63"/>
      <c r="B377" s="85"/>
      <c r="C377" s="4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4"/>
      <c r="P377" s="4"/>
      <c r="Q377" s="4"/>
      <c r="R377" s="4"/>
      <c r="S377" s="4"/>
      <c r="T377" s="4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4"/>
      <c r="AG377" s="3"/>
      <c r="AH377" s="82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82"/>
      <c r="BC377" s="82"/>
      <c r="BD377" s="82"/>
      <c r="BE377" s="82"/>
      <c r="BF377" s="82"/>
      <c r="BG377" s="4"/>
      <c r="BH377" s="4"/>
      <c r="BI377" s="4"/>
      <c r="BJ377" s="4"/>
    </row>
    <row r="378" spans="1:62" ht="12.75" x14ac:dyDescent="0.2">
      <c r="A378" s="63"/>
      <c r="B378" s="85"/>
      <c r="C378" s="4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4"/>
      <c r="P378" s="4"/>
      <c r="Q378" s="4"/>
      <c r="R378" s="4"/>
      <c r="S378" s="4"/>
      <c r="T378" s="4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4"/>
      <c r="AG378" s="3"/>
      <c r="AH378" s="82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82"/>
      <c r="BC378" s="82"/>
      <c r="BD378" s="82"/>
      <c r="BE378" s="82"/>
      <c r="BF378" s="82"/>
      <c r="BG378" s="4"/>
      <c r="BH378" s="4"/>
      <c r="BI378" s="4"/>
      <c r="BJ378" s="4"/>
    </row>
    <row r="379" spans="1:62" ht="12.75" x14ac:dyDescent="0.2">
      <c r="A379" s="63"/>
      <c r="B379" s="85"/>
      <c r="C379" s="4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4"/>
      <c r="P379" s="4"/>
      <c r="Q379" s="4"/>
      <c r="R379" s="4"/>
      <c r="S379" s="4"/>
      <c r="T379" s="4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4"/>
      <c r="AG379" s="3"/>
      <c r="AH379" s="82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82"/>
      <c r="BC379" s="82"/>
      <c r="BD379" s="82"/>
      <c r="BE379" s="82"/>
      <c r="BF379" s="82"/>
      <c r="BG379" s="4"/>
      <c r="BH379" s="4"/>
      <c r="BI379" s="4"/>
      <c r="BJ379" s="4"/>
    </row>
    <row r="380" spans="1:62" ht="12.75" x14ac:dyDescent="0.2">
      <c r="A380" s="63"/>
      <c r="B380" s="85"/>
      <c r="C380" s="4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4"/>
      <c r="P380" s="4"/>
      <c r="Q380" s="4"/>
      <c r="R380" s="4"/>
      <c r="S380" s="4"/>
      <c r="T380" s="4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4"/>
      <c r="AG380" s="3"/>
      <c r="AH380" s="82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82"/>
      <c r="BC380" s="82"/>
      <c r="BD380" s="82"/>
      <c r="BE380" s="82"/>
      <c r="BF380" s="82"/>
      <c r="BG380" s="4"/>
      <c r="BH380" s="4"/>
      <c r="BI380" s="4"/>
      <c r="BJ380" s="4"/>
    </row>
    <row r="381" spans="1:62" ht="12.75" x14ac:dyDescent="0.2">
      <c r="A381" s="63"/>
      <c r="B381" s="85"/>
      <c r="C381" s="4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4"/>
      <c r="P381" s="4"/>
      <c r="Q381" s="4"/>
      <c r="R381" s="4"/>
      <c r="S381" s="4"/>
      <c r="T381" s="4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4"/>
      <c r="AG381" s="3"/>
      <c r="AH381" s="82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82"/>
      <c r="BC381" s="82"/>
      <c r="BD381" s="82"/>
      <c r="BE381" s="82"/>
      <c r="BF381" s="82"/>
      <c r="BG381" s="4"/>
      <c r="BH381" s="4"/>
      <c r="BI381" s="4"/>
      <c r="BJ381" s="4"/>
    </row>
    <row r="382" spans="1:62" ht="12.75" x14ac:dyDescent="0.2">
      <c r="A382" s="63"/>
      <c r="B382" s="85"/>
      <c r="C382" s="4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4"/>
      <c r="P382" s="4"/>
      <c r="Q382" s="4"/>
      <c r="R382" s="4"/>
      <c r="S382" s="4"/>
      <c r="T382" s="4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4"/>
      <c r="AG382" s="3"/>
      <c r="AH382" s="82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82"/>
      <c r="BC382" s="82"/>
      <c r="BD382" s="82"/>
      <c r="BE382" s="82"/>
      <c r="BF382" s="82"/>
      <c r="BG382" s="4"/>
      <c r="BH382" s="4"/>
      <c r="BI382" s="4"/>
      <c r="BJ382" s="4"/>
    </row>
    <row r="383" spans="1:62" ht="12.75" x14ac:dyDescent="0.2">
      <c r="A383" s="63"/>
      <c r="B383" s="85"/>
      <c r="C383" s="4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4"/>
      <c r="P383" s="4"/>
      <c r="Q383" s="4"/>
      <c r="R383" s="4"/>
      <c r="S383" s="4"/>
      <c r="T383" s="4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4"/>
      <c r="AG383" s="3"/>
      <c r="AH383" s="82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82"/>
      <c r="BC383" s="82"/>
      <c r="BD383" s="82"/>
      <c r="BE383" s="82"/>
      <c r="BF383" s="82"/>
      <c r="BG383" s="4"/>
      <c r="BH383" s="4"/>
      <c r="BI383" s="4"/>
      <c r="BJ383" s="4"/>
    </row>
    <row r="384" spans="1:62" ht="12.75" x14ac:dyDescent="0.2">
      <c r="A384" s="63"/>
      <c r="B384" s="85"/>
      <c r="C384" s="4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4"/>
      <c r="P384" s="4"/>
      <c r="Q384" s="4"/>
      <c r="R384" s="4"/>
      <c r="S384" s="4"/>
      <c r="T384" s="4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4"/>
      <c r="AG384" s="3"/>
      <c r="AH384" s="82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82"/>
      <c r="BC384" s="82"/>
      <c r="BD384" s="82"/>
      <c r="BE384" s="82"/>
      <c r="BF384" s="82"/>
      <c r="BG384" s="4"/>
      <c r="BH384" s="4"/>
      <c r="BI384" s="4"/>
      <c r="BJ384" s="4"/>
    </row>
    <row r="385" spans="1:62" ht="12.75" x14ac:dyDescent="0.2">
      <c r="A385" s="63"/>
      <c r="B385" s="85"/>
      <c r="C385" s="4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4"/>
      <c r="P385" s="4"/>
      <c r="Q385" s="4"/>
      <c r="R385" s="4"/>
      <c r="S385" s="4"/>
      <c r="T385" s="4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4"/>
      <c r="AG385" s="3"/>
      <c r="AH385" s="82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82"/>
      <c r="BC385" s="82"/>
      <c r="BD385" s="82"/>
      <c r="BE385" s="82"/>
      <c r="BF385" s="82"/>
      <c r="BG385" s="4"/>
      <c r="BH385" s="4"/>
      <c r="BI385" s="4"/>
      <c r="BJ385" s="4"/>
    </row>
    <row r="386" spans="1:62" ht="12.75" x14ac:dyDescent="0.2">
      <c r="A386" s="63"/>
      <c r="B386" s="85"/>
      <c r="C386" s="4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4"/>
      <c r="P386" s="4"/>
      <c r="Q386" s="4"/>
      <c r="R386" s="4"/>
      <c r="S386" s="4"/>
      <c r="T386" s="4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4"/>
      <c r="AG386" s="3"/>
      <c r="AH386" s="82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82"/>
      <c r="BC386" s="82"/>
      <c r="BD386" s="82"/>
      <c r="BE386" s="82"/>
      <c r="BF386" s="82"/>
      <c r="BG386" s="4"/>
      <c r="BH386" s="4"/>
      <c r="BI386" s="4"/>
      <c r="BJ386" s="4"/>
    </row>
    <row r="387" spans="1:62" ht="12.75" x14ac:dyDescent="0.2">
      <c r="A387" s="63"/>
      <c r="B387" s="85"/>
      <c r="C387" s="4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4"/>
      <c r="P387" s="4"/>
      <c r="Q387" s="4"/>
      <c r="R387" s="4"/>
      <c r="S387" s="4"/>
      <c r="T387" s="4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4"/>
      <c r="AG387" s="3"/>
      <c r="AH387" s="82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82"/>
      <c r="BC387" s="82"/>
      <c r="BD387" s="82"/>
      <c r="BE387" s="82"/>
      <c r="BF387" s="82"/>
      <c r="BG387" s="4"/>
      <c r="BH387" s="4"/>
      <c r="BI387" s="4"/>
      <c r="BJ387" s="4"/>
    </row>
    <row r="388" spans="1:62" ht="12.75" x14ac:dyDescent="0.2">
      <c r="A388" s="63"/>
      <c r="B388" s="85"/>
      <c r="C388" s="4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4"/>
      <c r="P388" s="4"/>
      <c r="Q388" s="4"/>
      <c r="R388" s="4"/>
      <c r="S388" s="4"/>
      <c r="T388" s="4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4"/>
      <c r="AG388" s="3"/>
      <c r="AH388" s="82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82"/>
      <c r="BC388" s="82"/>
      <c r="BD388" s="82"/>
      <c r="BE388" s="82"/>
      <c r="BF388" s="82"/>
      <c r="BG388" s="4"/>
      <c r="BH388" s="4"/>
      <c r="BI388" s="4"/>
      <c r="BJ388" s="4"/>
    </row>
    <row r="389" spans="1:62" ht="12.75" x14ac:dyDescent="0.2">
      <c r="A389" s="63"/>
      <c r="B389" s="85"/>
      <c r="C389" s="4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4"/>
      <c r="P389" s="4"/>
      <c r="Q389" s="4"/>
      <c r="R389" s="4"/>
      <c r="S389" s="4"/>
      <c r="T389" s="4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4"/>
      <c r="AG389" s="3"/>
      <c r="AH389" s="82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82"/>
      <c r="BC389" s="82"/>
      <c r="BD389" s="82"/>
      <c r="BE389" s="82"/>
      <c r="BF389" s="82"/>
      <c r="BG389" s="4"/>
      <c r="BH389" s="4"/>
      <c r="BI389" s="4"/>
      <c r="BJ389" s="4"/>
    </row>
    <row r="390" spans="1:62" ht="12.75" x14ac:dyDescent="0.2">
      <c r="A390" s="63"/>
      <c r="B390" s="85"/>
      <c r="C390" s="4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4"/>
      <c r="P390" s="4"/>
      <c r="Q390" s="4"/>
      <c r="R390" s="4"/>
      <c r="S390" s="4"/>
      <c r="T390" s="4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4"/>
      <c r="AG390" s="3"/>
      <c r="AH390" s="82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82"/>
      <c r="BC390" s="82"/>
      <c r="BD390" s="82"/>
      <c r="BE390" s="82"/>
      <c r="BF390" s="82"/>
      <c r="BG390" s="4"/>
      <c r="BH390" s="4"/>
      <c r="BI390" s="4"/>
      <c r="BJ390" s="4"/>
    </row>
    <row r="391" spans="1:62" ht="12.75" x14ac:dyDescent="0.2">
      <c r="A391" s="63"/>
      <c r="B391" s="85"/>
      <c r="C391" s="4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4"/>
      <c r="P391" s="4"/>
      <c r="Q391" s="4"/>
      <c r="R391" s="4"/>
      <c r="S391" s="4"/>
      <c r="T391" s="4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4"/>
      <c r="AG391" s="3"/>
      <c r="AH391" s="82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82"/>
      <c r="BC391" s="82"/>
      <c r="BD391" s="82"/>
      <c r="BE391" s="82"/>
      <c r="BF391" s="82"/>
      <c r="BG391" s="4"/>
      <c r="BH391" s="4"/>
      <c r="BI391" s="4"/>
      <c r="BJ391" s="4"/>
    </row>
    <row r="392" spans="1:62" ht="12.75" x14ac:dyDescent="0.2">
      <c r="A392" s="63"/>
      <c r="B392" s="85"/>
      <c r="C392" s="4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4"/>
      <c r="P392" s="4"/>
      <c r="Q392" s="4"/>
      <c r="R392" s="4"/>
      <c r="S392" s="4"/>
      <c r="T392" s="4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4"/>
      <c r="AG392" s="3"/>
      <c r="AH392" s="82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82"/>
      <c r="BC392" s="82"/>
      <c r="BD392" s="82"/>
      <c r="BE392" s="82"/>
      <c r="BF392" s="82"/>
      <c r="BG392" s="4"/>
      <c r="BH392" s="4"/>
      <c r="BI392" s="4"/>
      <c r="BJ392" s="4"/>
    </row>
    <row r="393" spans="1:62" ht="12.75" x14ac:dyDescent="0.2">
      <c r="A393" s="63"/>
      <c r="B393" s="85"/>
      <c r="C393" s="4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4"/>
      <c r="P393" s="4"/>
      <c r="Q393" s="4"/>
      <c r="R393" s="4"/>
      <c r="S393" s="4"/>
      <c r="T393" s="4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4"/>
      <c r="AG393" s="3"/>
      <c r="AH393" s="82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82"/>
      <c r="BC393" s="82"/>
      <c r="BD393" s="82"/>
      <c r="BE393" s="82"/>
      <c r="BF393" s="82"/>
      <c r="BG393" s="4"/>
      <c r="BH393" s="4"/>
      <c r="BI393" s="4"/>
      <c r="BJ393" s="4"/>
    </row>
    <row r="394" spans="1:62" ht="12.75" x14ac:dyDescent="0.2">
      <c r="A394" s="63"/>
      <c r="B394" s="85"/>
      <c r="C394" s="4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4"/>
      <c r="P394" s="4"/>
      <c r="Q394" s="4"/>
      <c r="R394" s="4"/>
      <c r="S394" s="4"/>
      <c r="T394" s="4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4"/>
      <c r="AG394" s="3"/>
      <c r="AH394" s="82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82"/>
      <c r="BC394" s="82"/>
      <c r="BD394" s="82"/>
      <c r="BE394" s="82"/>
      <c r="BF394" s="82"/>
      <c r="BG394" s="4"/>
      <c r="BH394" s="4"/>
      <c r="BI394" s="4"/>
      <c r="BJ394" s="4"/>
    </row>
    <row r="395" spans="1:62" ht="12.75" x14ac:dyDescent="0.2">
      <c r="A395" s="63"/>
      <c r="B395" s="85"/>
      <c r="C395" s="4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4"/>
      <c r="P395" s="4"/>
      <c r="Q395" s="4"/>
      <c r="R395" s="4"/>
      <c r="S395" s="4"/>
      <c r="T395" s="4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4"/>
      <c r="AG395" s="3"/>
      <c r="AH395" s="82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82"/>
      <c r="BC395" s="82"/>
      <c r="BD395" s="82"/>
      <c r="BE395" s="82"/>
      <c r="BF395" s="82"/>
      <c r="BG395" s="4"/>
      <c r="BH395" s="4"/>
      <c r="BI395" s="4"/>
      <c r="BJ395" s="4"/>
    </row>
    <row r="396" spans="1:62" ht="12.75" x14ac:dyDescent="0.2">
      <c r="A396" s="63"/>
      <c r="B396" s="85"/>
      <c r="C396" s="4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4"/>
      <c r="P396" s="4"/>
      <c r="Q396" s="4"/>
      <c r="R396" s="4"/>
      <c r="S396" s="4"/>
      <c r="T396" s="4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4"/>
      <c r="AG396" s="3"/>
      <c r="AH396" s="82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82"/>
      <c r="BC396" s="82"/>
      <c r="BD396" s="82"/>
      <c r="BE396" s="82"/>
      <c r="BF396" s="82"/>
      <c r="BG396" s="4"/>
      <c r="BH396" s="4"/>
      <c r="BI396" s="4"/>
      <c r="BJ396" s="4"/>
    </row>
    <row r="397" spans="1:62" ht="12.75" x14ac:dyDescent="0.2">
      <c r="A397" s="63"/>
      <c r="B397" s="85"/>
      <c r="C397" s="4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4"/>
      <c r="P397" s="4"/>
      <c r="Q397" s="4"/>
      <c r="R397" s="4"/>
      <c r="S397" s="4"/>
      <c r="T397" s="4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4"/>
      <c r="AG397" s="3"/>
      <c r="AH397" s="82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82"/>
      <c r="BC397" s="82"/>
      <c r="BD397" s="82"/>
      <c r="BE397" s="82"/>
      <c r="BF397" s="82"/>
      <c r="BG397" s="4"/>
      <c r="BH397" s="4"/>
      <c r="BI397" s="4"/>
      <c r="BJ397" s="4"/>
    </row>
    <row r="398" spans="1:62" ht="12.75" x14ac:dyDescent="0.2">
      <c r="A398" s="63"/>
      <c r="B398" s="85"/>
      <c r="C398" s="4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4"/>
      <c r="P398" s="4"/>
      <c r="Q398" s="4"/>
      <c r="R398" s="4"/>
      <c r="S398" s="4"/>
      <c r="T398" s="4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4"/>
      <c r="AG398" s="3"/>
      <c r="AH398" s="82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82"/>
      <c r="BC398" s="82"/>
      <c r="BD398" s="82"/>
      <c r="BE398" s="82"/>
      <c r="BF398" s="82"/>
      <c r="BG398" s="4"/>
      <c r="BH398" s="4"/>
      <c r="BI398" s="4"/>
      <c r="BJ398" s="4"/>
    </row>
    <row r="399" spans="1:62" ht="12.75" x14ac:dyDescent="0.2">
      <c r="A399" s="63"/>
      <c r="B399" s="85"/>
      <c r="C399" s="4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4"/>
      <c r="P399" s="4"/>
      <c r="Q399" s="4"/>
      <c r="R399" s="4"/>
      <c r="S399" s="4"/>
      <c r="T399" s="4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4"/>
      <c r="AG399" s="3"/>
      <c r="AH399" s="82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82"/>
      <c r="BC399" s="82"/>
      <c r="BD399" s="82"/>
      <c r="BE399" s="82"/>
      <c r="BF399" s="82"/>
      <c r="BG399" s="4"/>
      <c r="BH399" s="4"/>
      <c r="BI399" s="4"/>
      <c r="BJ399" s="4"/>
    </row>
    <row r="400" spans="1:62" ht="12.75" x14ac:dyDescent="0.2">
      <c r="A400" s="63"/>
      <c r="B400" s="85"/>
      <c r="C400" s="4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4"/>
      <c r="P400" s="4"/>
      <c r="Q400" s="4"/>
      <c r="R400" s="4"/>
      <c r="S400" s="4"/>
      <c r="T400" s="4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4"/>
      <c r="AG400" s="3"/>
      <c r="AH400" s="82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82"/>
      <c r="BC400" s="82"/>
      <c r="BD400" s="82"/>
      <c r="BE400" s="82"/>
      <c r="BF400" s="82"/>
      <c r="BG400" s="4"/>
      <c r="BH400" s="4"/>
      <c r="BI400" s="4"/>
      <c r="BJ400" s="4"/>
    </row>
    <row r="401" spans="1:62" ht="12.75" x14ac:dyDescent="0.2">
      <c r="A401" s="63"/>
      <c r="B401" s="85"/>
      <c r="C401" s="4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4"/>
      <c r="P401" s="4"/>
      <c r="Q401" s="4"/>
      <c r="R401" s="4"/>
      <c r="S401" s="4"/>
      <c r="T401" s="4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4"/>
      <c r="AG401" s="3"/>
      <c r="AH401" s="82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82"/>
      <c r="BC401" s="82"/>
      <c r="BD401" s="82"/>
      <c r="BE401" s="82"/>
      <c r="BF401" s="82"/>
      <c r="BG401" s="4"/>
      <c r="BH401" s="4"/>
      <c r="BI401" s="4"/>
      <c r="BJ401" s="4"/>
    </row>
    <row r="402" spans="1:62" ht="12.75" x14ac:dyDescent="0.2">
      <c r="A402" s="63"/>
      <c r="B402" s="85"/>
      <c r="C402" s="4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4"/>
      <c r="P402" s="4"/>
      <c r="Q402" s="4"/>
      <c r="R402" s="4"/>
      <c r="S402" s="4"/>
      <c r="T402" s="4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4"/>
      <c r="AG402" s="3"/>
      <c r="AH402" s="82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82"/>
      <c r="BC402" s="82"/>
      <c r="BD402" s="82"/>
      <c r="BE402" s="82"/>
      <c r="BF402" s="82"/>
      <c r="BG402" s="4"/>
      <c r="BH402" s="4"/>
      <c r="BI402" s="4"/>
      <c r="BJ402" s="4"/>
    </row>
    <row r="403" spans="1:62" ht="12.75" x14ac:dyDescent="0.2">
      <c r="A403" s="63"/>
      <c r="B403" s="85"/>
      <c r="C403" s="4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4"/>
      <c r="P403" s="4"/>
      <c r="Q403" s="4"/>
      <c r="R403" s="4"/>
      <c r="S403" s="4"/>
      <c r="T403" s="4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4"/>
      <c r="AG403" s="3"/>
      <c r="AH403" s="82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82"/>
      <c r="BC403" s="82"/>
      <c r="BD403" s="82"/>
      <c r="BE403" s="82"/>
      <c r="BF403" s="82"/>
      <c r="BG403" s="4"/>
      <c r="BH403" s="4"/>
      <c r="BI403" s="4"/>
      <c r="BJ403" s="4"/>
    </row>
    <row r="404" spans="1:62" ht="12.75" x14ac:dyDescent="0.2">
      <c r="A404" s="63"/>
      <c r="B404" s="85"/>
      <c r="C404" s="4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4"/>
      <c r="P404" s="4"/>
      <c r="Q404" s="4"/>
      <c r="R404" s="4"/>
      <c r="S404" s="4"/>
      <c r="T404" s="4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4"/>
      <c r="AG404" s="3"/>
      <c r="AH404" s="82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82"/>
      <c r="BC404" s="82"/>
      <c r="BD404" s="82"/>
      <c r="BE404" s="82"/>
      <c r="BF404" s="82"/>
      <c r="BG404" s="4"/>
      <c r="BH404" s="4"/>
      <c r="BI404" s="4"/>
      <c r="BJ404" s="4"/>
    </row>
    <row r="405" spans="1:62" ht="12.75" x14ac:dyDescent="0.2">
      <c r="A405" s="63"/>
      <c r="B405" s="85"/>
      <c r="C405" s="4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4"/>
      <c r="P405" s="4"/>
      <c r="Q405" s="4"/>
      <c r="R405" s="4"/>
      <c r="S405" s="4"/>
      <c r="T405" s="4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4"/>
      <c r="AG405" s="3"/>
      <c r="AH405" s="82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82"/>
      <c r="BC405" s="82"/>
      <c r="BD405" s="82"/>
      <c r="BE405" s="82"/>
      <c r="BF405" s="82"/>
      <c r="BG405" s="4"/>
      <c r="BH405" s="4"/>
      <c r="BI405" s="4"/>
      <c r="BJ405" s="4"/>
    </row>
    <row r="406" spans="1:62" ht="12.75" x14ac:dyDescent="0.2">
      <c r="A406" s="63"/>
      <c r="B406" s="85"/>
      <c r="C406" s="4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4"/>
      <c r="P406" s="4"/>
      <c r="Q406" s="4"/>
      <c r="R406" s="4"/>
      <c r="S406" s="4"/>
      <c r="T406" s="4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4"/>
      <c r="AG406" s="3"/>
      <c r="AH406" s="82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82"/>
      <c r="BC406" s="82"/>
      <c r="BD406" s="82"/>
      <c r="BE406" s="82"/>
      <c r="BF406" s="82"/>
      <c r="BG406" s="4"/>
      <c r="BH406" s="4"/>
      <c r="BI406" s="4"/>
      <c r="BJ406" s="4"/>
    </row>
    <row r="407" spans="1:62" ht="12.75" x14ac:dyDescent="0.2">
      <c r="A407" s="63"/>
      <c r="B407" s="85"/>
      <c r="C407" s="4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4"/>
      <c r="P407" s="4"/>
      <c r="Q407" s="4"/>
      <c r="R407" s="4"/>
      <c r="S407" s="4"/>
      <c r="T407" s="4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4"/>
      <c r="AG407" s="3"/>
      <c r="AH407" s="82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82"/>
      <c r="BC407" s="82"/>
      <c r="BD407" s="82"/>
      <c r="BE407" s="82"/>
      <c r="BF407" s="82"/>
      <c r="BG407" s="4"/>
      <c r="BH407" s="4"/>
      <c r="BI407" s="4"/>
      <c r="BJ407" s="4"/>
    </row>
    <row r="408" spans="1:62" ht="12.75" x14ac:dyDescent="0.2">
      <c r="A408" s="63"/>
      <c r="B408" s="85"/>
      <c r="C408" s="4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4"/>
      <c r="P408" s="4"/>
      <c r="Q408" s="4"/>
      <c r="R408" s="4"/>
      <c r="S408" s="4"/>
      <c r="T408" s="4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4"/>
      <c r="AG408" s="3"/>
      <c r="AH408" s="82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82"/>
      <c r="BC408" s="82"/>
      <c r="BD408" s="82"/>
      <c r="BE408" s="82"/>
      <c r="BF408" s="82"/>
      <c r="BG408" s="4"/>
      <c r="BH408" s="4"/>
      <c r="BI408" s="4"/>
      <c r="BJ408" s="4"/>
    </row>
    <row r="409" spans="1:62" ht="12.75" x14ac:dyDescent="0.2">
      <c r="A409" s="63"/>
      <c r="B409" s="85"/>
      <c r="C409" s="4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4"/>
      <c r="P409" s="4"/>
      <c r="Q409" s="4"/>
      <c r="R409" s="4"/>
      <c r="S409" s="4"/>
      <c r="T409" s="4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4"/>
      <c r="AG409" s="3"/>
      <c r="AH409" s="82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82"/>
      <c r="BC409" s="82"/>
      <c r="BD409" s="82"/>
      <c r="BE409" s="82"/>
      <c r="BF409" s="82"/>
      <c r="BG409" s="4"/>
      <c r="BH409" s="4"/>
      <c r="BI409" s="4"/>
      <c r="BJ409" s="4"/>
    </row>
    <row r="410" spans="1:62" ht="12.75" x14ac:dyDescent="0.2">
      <c r="A410" s="63"/>
      <c r="B410" s="85"/>
      <c r="C410" s="4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4"/>
      <c r="P410" s="4"/>
      <c r="Q410" s="4"/>
      <c r="R410" s="4"/>
      <c r="S410" s="4"/>
      <c r="T410" s="4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4"/>
      <c r="AG410" s="3"/>
      <c r="AH410" s="82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82"/>
      <c r="BC410" s="82"/>
      <c r="BD410" s="82"/>
      <c r="BE410" s="82"/>
      <c r="BF410" s="82"/>
      <c r="BG410" s="4"/>
      <c r="BH410" s="4"/>
      <c r="BI410" s="4"/>
      <c r="BJ410" s="4"/>
    </row>
    <row r="411" spans="1:62" ht="12.75" x14ac:dyDescent="0.2">
      <c r="A411" s="63"/>
      <c r="B411" s="85"/>
      <c r="C411" s="4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4"/>
      <c r="P411" s="4"/>
      <c r="Q411" s="4"/>
      <c r="R411" s="4"/>
      <c r="S411" s="4"/>
      <c r="T411" s="4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4"/>
      <c r="AG411" s="3"/>
      <c r="AH411" s="82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82"/>
      <c r="BC411" s="82"/>
      <c r="BD411" s="82"/>
      <c r="BE411" s="82"/>
      <c r="BF411" s="82"/>
      <c r="BG411" s="4"/>
      <c r="BH411" s="4"/>
      <c r="BI411" s="4"/>
      <c r="BJ411" s="4"/>
    </row>
    <row r="412" spans="1:62" ht="12.75" x14ac:dyDescent="0.2">
      <c r="A412" s="63"/>
      <c r="B412" s="85"/>
      <c r="C412" s="4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4"/>
      <c r="P412" s="4"/>
      <c r="Q412" s="4"/>
      <c r="R412" s="4"/>
      <c r="S412" s="4"/>
      <c r="T412" s="4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4"/>
      <c r="AG412" s="3"/>
      <c r="AH412" s="82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82"/>
      <c r="BC412" s="82"/>
      <c r="BD412" s="82"/>
      <c r="BE412" s="82"/>
      <c r="BF412" s="82"/>
      <c r="BG412" s="4"/>
      <c r="BH412" s="4"/>
      <c r="BI412" s="4"/>
      <c r="BJ412" s="4"/>
    </row>
    <row r="413" spans="1:62" ht="12.75" x14ac:dyDescent="0.2">
      <c r="A413" s="63"/>
      <c r="B413" s="85"/>
      <c r="C413" s="4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4"/>
      <c r="P413" s="4"/>
      <c r="Q413" s="4"/>
      <c r="R413" s="4"/>
      <c r="S413" s="4"/>
      <c r="T413" s="4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4"/>
      <c r="AG413" s="3"/>
      <c r="AH413" s="82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82"/>
      <c r="BC413" s="82"/>
      <c r="BD413" s="82"/>
      <c r="BE413" s="82"/>
      <c r="BF413" s="82"/>
      <c r="BG413" s="4"/>
      <c r="BH413" s="4"/>
      <c r="BI413" s="4"/>
      <c r="BJ413" s="4"/>
    </row>
    <row r="414" spans="1:62" ht="12.75" x14ac:dyDescent="0.2">
      <c r="A414" s="63"/>
      <c r="B414" s="85"/>
      <c r="C414" s="4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4"/>
      <c r="P414" s="4"/>
      <c r="Q414" s="4"/>
      <c r="R414" s="4"/>
      <c r="S414" s="4"/>
      <c r="T414" s="4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4"/>
      <c r="AG414" s="3"/>
      <c r="AH414" s="82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82"/>
      <c r="BC414" s="82"/>
      <c r="BD414" s="82"/>
      <c r="BE414" s="82"/>
      <c r="BF414" s="82"/>
      <c r="BG414" s="4"/>
      <c r="BH414" s="4"/>
      <c r="BI414" s="4"/>
      <c r="BJ414" s="4"/>
    </row>
    <row r="415" spans="1:62" ht="12.75" x14ac:dyDescent="0.2">
      <c r="A415" s="63"/>
      <c r="B415" s="85"/>
      <c r="C415" s="4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4"/>
      <c r="P415" s="4"/>
      <c r="Q415" s="4"/>
      <c r="R415" s="4"/>
      <c r="S415" s="4"/>
      <c r="T415" s="4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4"/>
      <c r="AG415" s="3"/>
      <c r="AH415" s="82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82"/>
      <c r="BC415" s="82"/>
      <c r="BD415" s="82"/>
      <c r="BE415" s="82"/>
      <c r="BF415" s="82"/>
      <c r="BG415" s="4"/>
      <c r="BH415" s="4"/>
      <c r="BI415" s="4"/>
      <c r="BJ415" s="4"/>
    </row>
    <row r="416" spans="1:62" ht="12.75" x14ac:dyDescent="0.2">
      <c r="A416" s="63"/>
      <c r="B416" s="85"/>
      <c r="C416" s="4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4"/>
      <c r="P416" s="4"/>
      <c r="Q416" s="4"/>
      <c r="R416" s="4"/>
      <c r="S416" s="4"/>
      <c r="T416" s="4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4"/>
      <c r="AG416" s="3"/>
      <c r="AH416" s="82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82"/>
      <c r="BC416" s="82"/>
      <c r="BD416" s="82"/>
      <c r="BE416" s="82"/>
      <c r="BF416" s="82"/>
      <c r="BG416" s="4"/>
      <c r="BH416" s="4"/>
      <c r="BI416" s="4"/>
      <c r="BJ416" s="4"/>
    </row>
    <row r="417" spans="1:62" ht="12.75" x14ac:dyDescent="0.2">
      <c r="A417" s="63"/>
      <c r="B417" s="85"/>
      <c r="C417" s="4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4"/>
      <c r="P417" s="4"/>
      <c r="Q417" s="4"/>
      <c r="R417" s="4"/>
      <c r="S417" s="4"/>
      <c r="T417" s="4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4"/>
      <c r="AG417" s="3"/>
      <c r="AH417" s="82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82"/>
      <c r="BC417" s="82"/>
      <c r="BD417" s="82"/>
      <c r="BE417" s="82"/>
      <c r="BF417" s="82"/>
      <c r="BG417" s="4"/>
      <c r="BH417" s="4"/>
      <c r="BI417" s="4"/>
      <c r="BJ417" s="4"/>
    </row>
    <row r="418" spans="1:62" ht="12.75" x14ac:dyDescent="0.2">
      <c r="A418" s="63"/>
      <c r="B418" s="85"/>
      <c r="C418" s="4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4"/>
      <c r="P418" s="4"/>
      <c r="Q418" s="4"/>
      <c r="R418" s="4"/>
      <c r="S418" s="4"/>
      <c r="T418" s="4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4"/>
      <c r="AG418" s="3"/>
      <c r="AH418" s="82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82"/>
      <c r="BC418" s="82"/>
      <c r="BD418" s="82"/>
      <c r="BE418" s="82"/>
      <c r="BF418" s="82"/>
      <c r="BG418" s="4"/>
      <c r="BH418" s="4"/>
      <c r="BI418" s="4"/>
      <c r="BJ418" s="4"/>
    </row>
    <row r="419" spans="1:62" ht="12.75" x14ac:dyDescent="0.2">
      <c r="A419" s="63"/>
      <c r="B419" s="85"/>
      <c r="C419" s="4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4"/>
      <c r="P419" s="4"/>
      <c r="Q419" s="4"/>
      <c r="R419" s="4"/>
      <c r="S419" s="4"/>
      <c r="T419" s="4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4"/>
      <c r="AG419" s="3"/>
      <c r="AH419" s="82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82"/>
      <c r="BC419" s="82"/>
      <c r="BD419" s="82"/>
      <c r="BE419" s="82"/>
      <c r="BF419" s="82"/>
      <c r="BG419" s="4"/>
      <c r="BH419" s="4"/>
      <c r="BI419" s="4"/>
      <c r="BJ419" s="4"/>
    </row>
    <row r="420" spans="1:62" ht="12.75" x14ac:dyDescent="0.2">
      <c r="A420" s="63"/>
      <c r="B420" s="85"/>
      <c r="C420" s="4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4"/>
      <c r="P420" s="4"/>
      <c r="Q420" s="4"/>
      <c r="R420" s="4"/>
      <c r="S420" s="4"/>
      <c r="T420" s="4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4"/>
      <c r="AG420" s="3"/>
      <c r="AH420" s="82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82"/>
      <c r="BC420" s="82"/>
      <c r="BD420" s="82"/>
      <c r="BE420" s="82"/>
      <c r="BF420" s="82"/>
      <c r="BG420" s="4"/>
      <c r="BH420" s="4"/>
      <c r="BI420" s="4"/>
      <c r="BJ420" s="4"/>
    </row>
    <row r="421" spans="1:62" ht="12.75" x14ac:dyDescent="0.2">
      <c r="A421" s="63"/>
      <c r="B421" s="85"/>
      <c r="C421" s="4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4"/>
      <c r="P421" s="4"/>
      <c r="Q421" s="4"/>
      <c r="R421" s="4"/>
      <c r="S421" s="4"/>
      <c r="T421" s="4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4"/>
      <c r="AG421" s="3"/>
      <c r="AH421" s="82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82"/>
      <c r="BC421" s="82"/>
      <c r="BD421" s="82"/>
      <c r="BE421" s="82"/>
      <c r="BF421" s="82"/>
      <c r="BG421" s="4"/>
      <c r="BH421" s="4"/>
      <c r="BI421" s="4"/>
      <c r="BJ421" s="4"/>
    </row>
    <row r="422" spans="1:62" ht="12.75" x14ac:dyDescent="0.2">
      <c r="A422" s="63"/>
      <c r="B422" s="85"/>
      <c r="C422" s="4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4"/>
      <c r="P422" s="4"/>
      <c r="Q422" s="4"/>
      <c r="R422" s="4"/>
      <c r="S422" s="4"/>
      <c r="T422" s="4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4"/>
      <c r="AG422" s="3"/>
      <c r="AH422" s="82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82"/>
      <c r="BC422" s="82"/>
      <c r="BD422" s="82"/>
      <c r="BE422" s="82"/>
      <c r="BF422" s="82"/>
      <c r="BG422" s="4"/>
      <c r="BH422" s="4"/>
      <c r="BI422" s="4"/>
      <c r="BJ422" s="4"/>
    </row>
    <row r="423" spans="1:62" ht="12.75" x14ac:dyDescent="0.2">
      <c r="A423" s="63"/>
      <c r="B423" s="85"/>
      <c r="C423" s="4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4"/>
      <c r="P423" s="4"/>
      <c r="Q423" s="4"/>
      <c r="R423" s="4"/>
      <c r="S423" s="4"/>
      <c r="T423" s="4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4"/>
      <c r="AG423" s="3"/>
      <c r="AH423" s="82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82"/>
      <c r="BC423" s="82"/>
      <c r="BD423" s="82"/>
      <c r="BE423" s="82"/>
      <c r="BF423" s="82"/>
      <c r="BG423" s="4"/>
      <c r="BH423" s="4"/>
      <c r="BI423" s="4"/>
      <c r="BJ423" s="4"/>
    </row>
    <row r="424" spans="1:62" ht="12.75" x14ac:dyDescent="0.2">
      <c r="A424" s="63"/>
      <c r="B424" s="85"/>
      <c r="C424" s="4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4"/>
      <c r="P424" s="4"/>
      <c r="Q424" s="4"/>
      <c r="R424" s="4"/>
      <c r="S424" s="4"/>
      <c r="T424" s="4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4"/>
      <c r="AG424" s="3"/>
      <c r="AH424" s="82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82"/>
      <c r="BC424" s="82"/>
      <c r="BD424" s="82"/>
      <c r="BE424" s="82"/>
      <c r="BF424" s="82"/>
      <c r="BG424" s="4"/>
      <c r="BH424" s="4"/>
      <c r="BI424" s="4"/>
      <c r="BJ424" s="4"/>
    </row>
    <row r="425" spans="1:62" ht="12.75" x14ac:dyDescent="0.2">
      <c r="A425" s="63"/>
      <c r="B425" s="85"/>
      <c r="C425" s="4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4"/>
      <c r="P425" s="4"/>
      <c r="Q425" s="4"/>
      <c r="R425" s="4"/>
      <c r="S425" s="4"/>
      <c r="T425" s="4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4"/>
      <c r="AG425" s="3"/>
      <c r="AH425" s="82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82"/>
      <c r="BC425" s="82"/>
      <c r="BD425" s="82"/>
      <c r="BE425" s="82"/>
      <c r="BF425" s="82"/>
      <c r="BG425" s="4"/>
      <c r="BH425" s="4"/>
      <c r="BI425" s="4"/>
      <c r="BJ425" s="4"/>
    </row>
    <row r="426" spans="1:62" ht="12.75" x14ac:dyDescent="0.2">
      <c r="A426" s="63"/>
      <c r="B426" s="85"/>
      <c r="C426" s="4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4"/>
      <c r="P426" s="4"/>
      <c r="Q426" s="4"/>
      <c r="R426" s="4"/>
      <c r="S426" s="4"/>
      <c r="T426" s="4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4"/>
      <c r="AG426" s="3"/>
      <c r="AH426" s="82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82"/>
      <c r="BC426" s="82"/>
      <c r="BD426" s="82"/>
      <c r="BE426" s="82"/>
      <c r="BF426" s="82"/>
      <c r="BG426" s="4"/>
      <c r="BH426" s="4"/>
      <c r="BI426" s="4"/>
      <c r="BJ426" s="4"/>
    </row>
    <row r="427" spans="1:62" ht="12.75" x14ac:dyDescent="0.2">
      <c r="A427" s="63"/>
      <c r="B427" s="85"/>
      <c r="C427" s="4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4"/>
      <c r="P427" s="4"/>
      <c r="Q427" s="4"/>
      <c r="R427" s="4"/>
      <c r="S427" s="4"/>
      <c r="T427" s="4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4"/>
      <c r="AG427" s="3"/>
      <c r="AH427" s="82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82"/>
      <c r="BC427" s="82"/>
      <c r="BD427" s="82"/>
      <c r="BE427" s="82"/>
      <c r="BF427" s="82"/>
      <c r="BG427" s="4"/>
      <c r="BH427" s="4"/>
      <c r="BI427" s="4"/>
      <c r="BJ427" s="4"/>
    </row>
    <row r="428" spans="1:62" ht="12.75" x14ac:dyDescent="0.2">
      <c r="A428" s="63"/>
      <c r="B428" s="85"/>
      <c r="C428" s="4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4"/>
      <c r="P428" s="4"/>
      <c r="Q428" s="4"/>
      <c r="R428" s="4"/>
      <c r="S428" s="4"/>
      <c r="T428" s="4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4"/>
      <c r="AG428" s="3"/>
      <c r="AH428" s="82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82"/>
      <c r="BC428" s="82"/>
      <c r="BD428" s="82"/>
      <c r="BE428" s="82"/>
      <c r="BF428" s="82"/>
      <c r="BG428" s="4"/>
      <c r="BH428" s="4"/>
      <c r="BI428" s="4"/>
      <c r="BJ428" s="4"/>
    </row>
    <row r="429" spans="1:62" ht="12.75" x14ac:dyDescent="0.2">
      <c r="A429" s="63"/>
      <c r="B429" s="85"/>
      <c r="C429" s="4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4"/>
      <c r="P429" s="4"/>
      <c r="Q429" s="4"/>
      <c r="R429" s="4"/>
      <c r="S429" s="4"/>
      <c r="T429" s="4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4"/>
      <c r="AG429" s="3"/>
      <c r="AH429" s="82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82"/>
      <c r="BC429" s="82"/>
      <c r="BD429" s="82"/>
      <c r="BE429" s="82"/>
      <c r="BF429" s="82"/>
      <c r="BG429" s="4"/>
      <c r="BH429" s="4"/>
      <c r="BI429" s="4"/>
      <c r="BJ429" s="4"/>
    </row>
    <row r="430" spans="1:62" ht="12.75" x14ac:dyDescent="0.2">
      <c r="A430" s="63"/>
      <c r="B430" s="85"/>
      <c r="C430" s="4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4"/>
      <c r="P430" s="4"/>
      <c r="Q430" s="4"/>
      <c r="R430" s="4"/>
      <c r="S430" s="4"/>
      <c r="T430" s="4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4"/>
      <c r="AG430" s="3"/>
      <c r="AH430" s="82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82"/>
      <c r="BC430" s="82"/>
      <c r="BD430" s="82"/>
      <c r="BE430" s="82"/>
      <c r="BF430" s="82"/>
      <c r="BG430" s="4"/>
      <c r="BH430" s="4"/>
      <c r="BI430" s="4"/>
      <c r="BJ430" s="4"/>
    </row>
    <row r="431" spans="1:62" ht="12.75" x14ac:dyDescent="0.2">
      <c r="A431" s="63"/>
      <c r="B431" s="85"/>
      <c r="C431" s="4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4"/>
      <c r="P431" s="4"/>
      <c r="Q431" s="4"/>
      <c r="R431" s="4"/>
      <c r="S431" s="4"/>
      <c r="T431" s="4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4"/>
      <c r="AG431" s="3"/>
      <c r="AH431" s="82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82"/>
      <c r="BC431" s="82"/>
      <c r="BD431" s="82"/>
      <c r="BE431" s="82"/>
      <c r="BF431" s="82"/>
      <c r="BG431" s="4"/>
      <c r="BH431" s="4"/>
      <c r="BI431" s="4"/>
      <c r="BJ431" s="4"/>
    </row>
    <row r="432" spans="1:62" ht="12.75" x14ac:dyDescent="0.2">
      <c r="A432" s="63"/>
      <c r="B432" s="85"/>
      <c r="C432" s="4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4"/>
      <c r="P432" s="4"/>
      <c r="Q432" s="4"/>
      <c r="R432" s="4"/>
      <c r="S432" s="4"/>
      <c r="T432" s="4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4"/>
      <c r="AG432" s="3"/>
      <c r="AH432" s="82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82"/>
      <c r="BC432" s="82"/>
      <c r="BD432" s="82"/>
      <c r="BE432" s="82"/>
      <c r="BF432" s="82"/>
      <c r="BG432" s="4"/>
      <c r="BH432" s="4"/>
      <c r="BI432" s="4"/>
      <c r="BJ432" s="4"/>
    </row>
    <row r="433" spans="1:62" ht="12.75" x14ac:dyDescent="0.2">
      <c r="A433" s="63"/>
      <c r="B433" s="85"/>
      <c r="C433" s="4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4"/>
      <c r="P433" s="4"/>
      <c r="Q433" s="4"/>
      <c r="R433" s="4"/>
      <c r="S433" s="4"/>
      <c r="T433" s="4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4"/>
      <c r="AG433" s="3"/>
      <c r="AH433" s="82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82"/>
      <c r="BC433" s="82"/>
      <c r="BD433" s="82"/>
      <c r="BE433" s="82"/>
      <c r="BF433" s="82"/>
      <c r="BG433" s="4"/>
      <c r="BH433" s="4"/>
      <c r="BI433" s="4"/>
      <c r="BJ433" s="4"/>
    </row>
    <row r="434" spans="1:62" ht="12.75" x14ac:dyDescent="0.2">
      <c r="A434" s="63"/>
      <c r="B434" s="85"/>
      <c r="C434" s="4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4"/>
      <c r="P434" s="4"/>
      <c r="Q434" s="4"/>
      <c r="R434" s="4"/>
      <c r="S434" s="4"/>
      <c r="T434" s="4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4"/>
      <c r="AG434" s="3"/>
      <c r="AH434" s="82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82"/>
      <c r="BC434" s="82"/>
      <c r="BD434" s="82"/>
      <c r="BE434" s="82"/>
      <c r="BF434" s="82"/>
      <c r="BG434" s="4"/>
      <c r="BH434" s="4"/>
      <c r="BI434" s="4"/>
      <c r="BJ434" s="4"/>
    </row>
    <row r="435" spans="1:62" ht="12.75" x14ac:dyDescent="0.2">
      <c r="A435" s="63"/>
      <c r="B435" s="85"/>
      <c r="C435" s="4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4"/>
      <c r="P435" s="4"/>
      <c r="Q435" s="4"/>
      <c r="R435" s="4"/>
      <c r="S435" s="4"/>
      <c r="T435" s="4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4"/>
      <c r="AG435" s="3"/>
      <c r="AH435" s="82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82"/>
      <c r="BC435" s="82"/>
      <c r="BD435" s="82"/>
      <c r="BE435" s="82"/>
      <c r="BF435" s="82"/>
      <c r="BG435" s="4"/>
      <c r="BH435" s="4"/>
      <c r="BI435" s="4"/>
      <c r="BJ435" s="4"/>
    </row>
    <row r="436" spans="1:62" ht="12.75" x14ac:dyDescent="0.2">
      <c r="A436" s="63"/>
      <c r="B436" s="85"/>
      <c r="C436" s="4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4"/>
      <c r="P436" s="4"/>
      <c r="Q436" s="4"/>
      <c r="R436" s="4"/>
      <c r="S436" s="4"/>
      <c r="T436" s="4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4"/>
      <c r="AG436" s="3"/>
      <c r="AH436" s="82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82"/>
      <c r="BC436" s="82"/>
      <c r="BD436" s="82"/>
      <c r="BE436" s="82"/>
      <c r="BF436" s="82"/>
      <c r="BG436" s="4"/>
      <c r="BH436" s="4"/>
      <c r="BI436" s="4"/>
      <c r="BJ436" s="4"/>
    </row>
    <row r="437" spans="1:62" ht="12.75" x14ac:dyDescent="0.2">
      <c r="A437" s="63"/>
      <c r="B437" s="85"/>
      <c r="C437" s="4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4"/>
      <c r="P437" s="4"/>
      <c r="Q437" s="4"/>
      <c r="R437" s="4"/>
      <c r="S437" s="4"/>
      <c r="T437" s="4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4"/>
      <c r="AG437" s="3"/>
      <c r="AH437" s="82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82"/>
      <c r="BC437" s="82"/>
      <c r="BD437" s="82"/>
      <c r="BE437" s="82"/>
      <c r="BF437" s="82"/>
      <c r="BG437" s="4"/>
      <c r="BH437" s="4"/>
      <c r="BI437" s="4"/>
      <c r="BJ437" s="4"/>
    </row>
    <row r="438" spans="1:62" ht="12.75" x14ac:dyDescent="0.2">
      <c r="A438" s="63"/>
      <c r="B438" s="85"/>
      <c r="C438" s="4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4"/>
      <c r="P438" s="4"/>
      <c r="Q438" s="4"/>
      <c r="R438" s="4"/>
      <c r="S438" s="4"/>
      <c r="T438" s="4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4"/>
      <c r="AG438" s="3"/>
      <c r="AH438" s="82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82"/>
      <c r="BC438" s="82"/>
      <c r="BD438" s="82"/>
      <c r="BE438" s="82"/>
      <c r="BF438" s="82"/>
      <c r="BG438" s="4"/>
      <c r="BH438" s="4"/>
      <c r="BI438" s="4"/>
      <c r="BJ438" s="4"/>
    </row>
    <row r="439" spans="1:62" ht="12.75" x14ac:dyDescent="0.2">
      <c r="A439" s="63"/>
      <c r="B439" s="85"/>
      <c r="C439" s="4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4"/>
      <c r="P439" s="4"/>
      <c r="Q439" s="4"/>
      <c r="R439" s="4"/>
      <c r="S439" s="4"/>
      <c r="T439" s="4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4"/>
      <c r="AG439" s="3"/>
      <c r="AH439" s="82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82"/>
      <c r="BC439" s="82"/>
      <c r="BD439" s="82"/>
      <c r="BE439" s="82"/>
      <c r="BF439" s="82"/>
      <c r="BG439" s="4"/>
      <c r="BH439" s="4"/>
      <c r="BI439" s="4"/>
      <c r="BJ439" s="4"/>
    </row>
    <row r="440" spans="1:62" ht="12.75" x14ac:dyDescent="0.2">
      <c r="A440" s="63"/>
      <c r="B440" s="85"/>
      <c r="C440" s="4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4"/>
      <c r="P440" s="4"/>
      <c r="Q440" s="4"/>
      <c r="R440" s="4"/>
      <c r="S440" s="4"/>
      <c r="T440" s="4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4"/>
      <c r="AG440" s="3"/>
      <c r="AH440" s="82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82"/>
      <c r="BC440" s="82"/>
      <c r="BD440" s="82"/>
      <c r="BE440" s="82"/>
      <c r="BF440" s="82"/>
      <c r="BG440" s="4"/>
      <c r="BH440" s="4"/>
      <c r="BI440" s="4"/>
      <c r="BJ440" s="4"/>
    </row>
    <row r="441" spans="1:62" ht="12.75" x14ac:dyDescent="0.2">
      <c r="A441" s="63"/>
      <c r="B441" s="85"/>
      <c r="C441" s="4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4"/>
      <c r="P441" s="4"/>
      <c r="Q441" s="4"/>
      <c r="R441" s="4"/>
      <c r="S441" s="4"/>
      <c r="T441" s="4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4"/>
      <c r="AG441" s="3"/>
      <c r="AH441" s="82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82"/>
      <c r="BC441" s="82"/>
      <c r="BD441" s="82"/>
      <c r="BE441" s="82"/>
      <c r="BF441" s="82"/>
      <c r="BG441" s="4"/>
      <c r="BH441" s="4"/>
      <c r="BI441" s="4"/>
      <c r="BJ441" s="4"/>
    </row>
    <row r="442" spans="1:62" ht="12.75" x14ac:dyDescent="0.2">
      <c r="A442" s="63"/>
      <c r="B442" s="85"/>
      <c r="C442" s="4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4"/>
      <c r="P442" s="4"/>
      <c r="Q442" s="4"/>
      <c r="R442" s="4"/>
      <c r="S442" s="4"/>
      <c r="T442" s="4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4"/>
      <c r="AG442" s="3"/>
      <c r="AH442" s="82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82"/>
      <c r="BC442" s="82"/>
      <c r="BD442" s="82"/>
      <c r="BE442" s="82"/>
      <c r="BF442" s="82"/>
      <c r="BG442" s="4"/>
      <c r="BH442" s="4"/>
      <c r="BI442" s="4"/>
      <c r="BJ442" s="4"/>
    </row>
    <row r="443" spans="1:62" ht="12.75" x14ac:dyDescent="0.2">
      <c r="A443" s="63"/>
      <c r="B443" s="85"/>
      <c r="C443" s="4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4"/>
      <c r="P443" s="4"/>
      <c r="Q443" s="4"/>
      <c r="R443" s="4"/>
      <c r="S443" s="4"/>
      <c r="T443" s="4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4"/>
      <c r="AG443" s="3"/>
      <c r="AH443" s="82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82"/>
      <c r="BC443" s="82"/>
      <c r="BD443" s="82"/>
      <c r="BE443" s="82"/>
      <c r="BF443" s="82"/>
      <c r="BG443" s="4"/>
      <c r="BH443" s="4"/>
      <c r="BI443" s="4"/>
      <c r="BJ443" s="4"/>
    </row>
    <row r="444" spans="1:62" ht="12.75" x14ac:dyDescent="0.2">
      <c r="A444" s="63"/>
      <c r="B444" s="85"/>
      <c r="C444" s="4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4"/>
      <c r="P444" s="4"/>
      <c r="Q444" s="4"/>
      <c r="R444" s="4"/>
      <c r="S444" s="4"/>
      <c r="T444" s="4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4"/>
      <c r="AG444" s="3"/>
      <c r="AH444" s="82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82"/>
      <c r="BC444" s="82"/>
      <c r="BD444" s="82"/>
      <c r="BE444" s="82"/>
      <c r="BF444" s="82"/>
      <c r="BG444" s="4"/>
      <c r="BH444" s="4"/>
      <c r="BI444" s="4"/>
      <c r="BJ444" s="4"/>
    </row>
    <row r="445" spans="1:62" ht="12.75" x14ac:dyDescent="0.2">
      <c r="A445" s="63"/>
      <c r="B445" s="85"/>
      <c r="C445" s="4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4"/>
      <c r="P445" s="4"/>
      <c r="Q445" s="4"/>
      <c r="R445" s="4"/>
      <c r="S445" s="4"/>
      <c r="T445" s="4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4"/>
      <c r="AG445" s="3"/>
      <c r="AH445" s="82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82"/>
      <c r="BC445" s="82"/>
      <c r="BD445" s="82"/>
      <c r="BE445" s="82"/>
      <c r="BF445" s="82"/>
      <c r="BG445" s="4"/>
      <c r="BH445" s="4"/>
      <c r="BI445" s="4"/>
      <c r="BJ445" s="4"/>
    </row>
    <row r="446" spans="1:62" ht="12.75" x14ac:dyDescent="0.2">
      <c r="A446" s="63"/>
      <c r="B446" s="85"/>
      <c r="C446" s="4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4"/>
      <c r="P446" s="4"/>
      <c r="Q446" s="4"/>
      <c r="R446" s="4"/>
      <c r="S446" s="4"/>
      <c r="T446" s="4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4"/>
      <c r="AG446" s="3"/>
      <c r="AH446" s="82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82"/>
      <c r="BC446" s="82"/>
      <c r="BD446" s="82"/>
      <c r="BE446" s="82"/>
      <c r="BF446" s="82"/>
      <c r="BG446" s="4"/>
      <c r="BH446" s="4"/>
      <c r="BI446" s="4"/>
      <c r="BJ446" s="4"/>
    </row>
    <row r="447" spans="1:62" ht="12.75" x14ac:dyDescent="0.2">
      <c r="A447" s="63"/>
      <c r="B447" s="85"/>
      <c r="C447" s="4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4"/>
      <c r="P447" s="4"/>
      <c r="Q447" s="4"/>
      <c r="R447" s="4"/>
      <c r="S447" s="4"/>
      <c r="T447" s="4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4"/>
      <c r="AG447" s="3"/>
      <c r="AH447" s="82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82"/>
      <c r="BC447" s="82"/>
      <c r="BD447" s="82"/>
      <c r="BE447" s="82"/>
      <c r="BF447" s="82"/>
      <c r="BG447" s="4"/>
      <c r="BH447" s="4"/>
      <c r="BI447" s="4"/>
      <c r="BJ447" s="4"/>
    </row>
    <row r="448" spans="1:62" ht="12.75" x14ac:dyDescent="0.2">
      <c r="A448" s="63"/>
      <c r="B448" s="85"/>
      <c r="C448" s="4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4"/>
      <c r="P448" s="4"/>
      <c r="Q448" s="4"/>
      <c r="R448" s="4"/>
      <c r="S448" s="4"/>
      <c r="T448" s="4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4"/>
      <c r="AG448" s="3"/>
      <c r="AH448" s="82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82"/>
      <c r="BC448" s="82"/>
      <c r="BD448" s="82"/>
      <c r="BE448" s="82"/>
      <c r="BF448" s="82"/>
      <c r="BG448" s="4"/>
      <c r="BH448" s="4"/>
      <c r="BI448" s="4"/>
      <c r="BJ448" s="4"/>
    </row>
    <row r="449" spans="1:62" ht="12.75" x14ac:dyDescent="0.2">
      <c r="A449" s="63"/>
      <c r="B449" s="85"/>
      <c r="C449" s="4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4"/>
      <c r="P449" s="4"/>
      <c r="Q449" s="4"/>
      <c r="R449" s="4"/>
      <c r="S449" s="4"/>
      <c r="T449" s="4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4"/>
      <c r="AG449" s="3"/>
      <c r="AH449" s="82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82"/>
      <c r="BC449" s="82"/>
      <c r="BD449" s="82"/>
      <c r="BE449" s="82"/>
      <c r="BF449" s="82"/>
      <c r="BG449" s="4"/>
      <c r="BH449" s="4"/>
      <c r="BI449" s="4"/>
      <c r="BJ449" s="4"/>
    </row>
    <row r="450" spans="1:62" ht="12.75" x14ac:dyDescent="0.2">
      <c r="A450" s="63"/>
      <c r="B450" s="85"/>
      <c r="C450" s="4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4"/>
      <c r="P450" s="4"/>
      <c r="Q450" s="4"/>
      <c r="R450" s="4"/>
      <c r="S450" s="4"/>
      <c r="T450" s="4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4"/>
      <c r="AG450" s="3"/>
      <c r="AH450" s="82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82"/>
      <c r="BC450" s="82"/>
      <c r="BD450" s="82"/>
      <c r="BE450" s="82"/>
      <c r="BF450" s="82"/>
      <c r="BG450" s="4"/>
      <c r="BH450" s="4"/>
      <c r="BI450" s="4"/>
      <c r="BJ450" s="4"/>
    </row>
    <row r="451" spans="1:62" ht="12.75" x14ac:dyDescent="0.2">
      <c r="A451" s="63"/>
      <c r="B451" s="85"/>
      <c r="C451" s="4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4"/>
      <c r="P451" s="4"/>
      <c r="Q451" s="4"/>
      <c r="R451" s="4"/>
      <c r="S451" s="4"/>
      <c r="T451" s="4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4"/>
      <c r="AG451" s="3"/>
      <c r="AH451" s="82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82"/>
      <c r="BC451" s="82"/>
      <c r="BD451" s="82"/>
      <c r="BE451" s="82"/>
      <c r="BF451" s="82"/>
      <c r="BG451" s="4"/>
      <c r="BH451" s="4"/>
      <c r="BI451" s="4"/>
      <c r="BJ451" s="4"/>
    </row>
    <row r="452" spans="1:62" ht="12.75" x14ac:dyDescent="0.2">
      <c r="A452" s="63"/>
      <c r="B452" s="85"/>
      <c r="C452" s="4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4"/>
      <c r="P452" s="4"/>
      <c r="Q452" s="4"/>
      <c r="R452" s="4"/>
      <c r="S452" s="4"/>
      <c r="T452" s="4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4"/>
      <c r="AG452" s="3"/>
      <c r="AH452" s="82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82"/>
      <c r="BC452" s="82"/>
      <c r="BD452" s="82"/>
      <c r="BE452" s="82"/>
      <c r="BF452" s="82"/>
      <c r="BG452" s="4"/>
      <c r="BH452" s="4"/>
      <c r="BI452" s="4"/>
      <c r="BJ452" s="4"/>
    </row>
    <row r="453" spans="1:62" ht="12.75" x14ac:dyDescent="0.2">
      <c r="A453" s="63"/>
      <c r="B453" s="85"/>
      <c r="C453" s="4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4"/>
      <c r="P453" s="4"/>
      <c r="Q453" s="4"/>
      <c r="R453" s="4"/>
      <c r="S453" s="4"/>
      <c r="T453" s="4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4"/>
      <c r="AG453" s="3"/>
      <c r="AH453" s="82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82"/>
      <c r="BC453" s="82"/>
      <c r="BD453" s="82"/>
      <c r="BE453" s="82"/>
      <c r="BF453" s="82"/>
      <c r="BG453" s="4"/>
      <c r="BH453" s="4"/>
      <c r="BI453" s="4"/>
      <c r="BJ453" s="4"/>
    </row>
    <row r="454" spans="1:62" ht="12.75" x14ac:dyDescent="0.2">
      <c r="A454" s="63"/>
      <c r="B454" s="85"/>
      <c r="C454" s="4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4"/>
      <c r="P454" s="4"/>
      <c r="Q454" s="4"/>
      <c r="R454" s="4"/>
      <c r="S454" s="4"/>
      <c r="T454" s="4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4"/>
      <c r="AG454" s="3"/>
      <c r="AH454" s="82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82"/>
      <c r="BC454" s="82"/>
      <c r="BD454" s="82"/>
      <c r="BE454" s="82"/>
      <c r="BF454" s="82"/>
      <c r="BG454" s="4"/>
      <c r="BH454" s="4"/>
      <c r="BI454" s="4"/>
      <c r="BJ454" s="4"/>
    </row>
    <row r="455" spans="1:62" ht="12.75" x14ac:dyDescent="0.2">
      <c r="A455" s="63"/>
      <c r="B455" s="85"/>
      <c r="C455" s="4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4"/>
      <c r="P455" s="4"/>
      <c r="Q455" s="4"/>
      <c r="R455" s="4"/>
      <c r="S455" s="4"/>
      <c r="T455" s="4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4"/>
      <c r="AG455" s="3"/>
      <c r="AH455" s="82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82"/>
      <c r="BC455" s="82"/>
      <c r="BD455" s="82"/>
      <c r="BE455" s="82"/>
      <c r="BF455" s="82"/>
      <c r="BG455" s="4"/>
      <c r="BH455" s="4"/>
      <c r="BI455" s="4"/>
      <c r="BJ455" s="4"/>
    </row>
    <row r="456" spans="1:62" ht="12.75" x14ac:dyDescent="0.2">
      <c r="A456" s="63"/>
      <c r="B456" s="85"/>
      <c r="C456" s="4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4"/>
      <c r="P456" s="4"/>
      <c r="Q456" s="4"/>
      <c r="R456" s="4"/>
      <c r="S456" s="4"/>
      <c r="T456" s="4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4"/>
      <c r="AG456" s="3"/>
      <c r="AH456" s="82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82"/>
      <c r="BC456" s="82"/>
      <c r="BD456" s="82"/>
      <c r="BE456" s="82"/>
      <c r="BF456" s="82"/>
      <c r="BG456" s="4"/>
      <c r="BH456" s="4"/>
      <c r="BI456" s="4"/>
      <c r="BJ456" s="4"/>
    </row>
    <row r="457" spans="1:62" ht="12.75" x14ac:dyDescent="0.2">
      <c r="A457" s="63"/>
      <c r="B457" s="85"/>
      <c r="C457" s="4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4"/>
      <c r="P457" s="4"/>
      <c r="Q457" s="4"/>
      <c r="R457" s="4"/>
      <c r="S457" s="4"/>
      <c r="T457" s="4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4"/>
      <c r="AG457" s="3"/>
      <c r="AH457" s="82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82"/>
      <c r="BC457" s="82"/>
      <c r="BD457" s="82"/>
      <c r="BE457" s="82"/>
      <c r="BF457" s="82"/>
      <c r="BG457" s="4"/>
      <c r="BH457" s="4"/>
      <c r="BI457" s="4"/>
      <c r="BJ457" s="4"/>
    </row>
    <row r="458" spans="1:62" ht="12.75" x14ac:dyDescent="0.2">
      <c r="A458" s="63"/>
      <c r="B458" s="85"/>
      <c r="C458" s="4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4"/>
      <c r="P458" s="4"/>
      <c r="Q458" s="4"/>
      <c r="R458" s="4"/>
      <c r="S458" s="4"/>
      <c r="T458" s="4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4"/>
      <c r="AG458" s="3"/>
      <c r="AH458" s="82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82"/>
      <c r="BC458" s="82"/>
      <c r="BD458" s="82"/>
      <c r="BE458" s="82"/>
      <c r="BF458" s="82"/>
      <c r="BG458" s="4"/>
      <c r="BH458" s="4"/>
      <c r="BI458" s="4"/>
      <c r="BJ458" s="4"/>
    </row>
    <row r="459" spans="1:62" ht="12.75" x14ac:dyDescent="0.2">
      <c r="A459" s="63"/>
      <c r="B459" s="85"/>
      <c r="C459" s="4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4"/>
      <c r="P459" s="4"/>
      <c r="Q459" s="4"/>
      <c r="R459" s="4"/>
      <c r="S459" s="4"/>
      <c r="T459" s="4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4"/>
      <c r="AG459" s="3"/>
      <c r="AH459" s="82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82"/>
      <c r="BC459" s="82"/>
      <c r="BD459" s="82"/>
      <c r="BE459" s="82"/>
      <c r="BF459" s="82"/>
      <c r="BG459" s="4"/>
      <c r="BH459" s="4"/>
      <c r="BI459" s="4"/>
      <c r="BJ459" s="4"/>
    </row>
    <row r="460" spans="1:62" ht="12.75" x14ac:dyDescent="0.2">
      <c r="A460" s="63"/>
      <c r="B460" s="85"/>
      <c r="C460" s="4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4"/>
      <c r="P460" s="4"/>
      <c r="Q460" s="4"/>
      <c r="R460" s="4"/>
      <c r="S460" s="4"/>
      <c r="T460" s="4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4"/>
      <c r="AG460" s="3"/>
      <c r="AH460" s="82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82"/>
      <c r="BC460" s="82"/>
      <c r="BD460" s="82"/>
      <c r="BE460" s="82"/>
      <c r="BF460" s="82"/>
      <c r="BG460" s="4"/>
      <c r="BH460" s="4"/>
      <c r="BI460" s="4"/>
      <c r="BJ460" s="4"/>
    </row>
    <row r="461" spans="1:62" ht="12.75" x14ac:dyDescent="0.2">
      <c r="A461" s="63"/>
      <c r="B461" s="85"/>
      <c r="C461" s="4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4"/>
      <c r="P461" s="4"/>
      <c r="Q461" s="4"/>
      <c r="R461" s="4"/>
      <c r="S461" s="4"/>
      <c r="T461" s="4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4"/>
      <c r="AG461" s="3"/>
      <c r="AH461" s="82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82"/>
      <c r="BC461" s="82"/>
      <c r="BD461" s="82"/>
      <c r="BE461" s="82"/>
      <c r="BF461" s="82"/>
      <c r="BG461" s="4"/>
      <c r="BH461" s="4"/>
      <c r="BI461" s="4"/>
      <c r="BJ461" s="4"/>
    </row>
    <row r="462" spans="1:62" ht="12.75" x14ac:dyDescent="0.2">
      <c r="A462" s="63"/>
      <c r="B462" s="85"/>
      <c r="C462" s="4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4"/>
      <c r="P462" s="4"/>
      <c r="Q462" s="4"/>
      <c r="R462" s="4"/>
      <c r="S462" s="4"/>
      <c r="T462" s="4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4"/>
      <c r="AG462" s="3"/>
      <c r="AH462" s="82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82"/>
      <c r="BC462" s="82"/>
      <c r="BD462" s="82"/>
      <c r="BE462" s="82"/>
      <c r="BF462" s="82"/>
      <c r="BG462" s="4"/>
      <c r="BH462" s="4"/>
      <c r="BI462" s="4"/>
      <c r="BJ462" s="4"/>
    </row>
    <row r="463" spans="1:62" ht="12.75" x14ac:dyDescent="0.2">
      <c r="A463" s="63"/>
      <c r="B463" s="85"/>
      <c r="C463" s="4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4"/>
      <c r="P463" s="4"/>
      <c r="Q463" s="4"/>
      <c r="R463" s="4"/>
      <c r="S463" s="4"/>
      <c r="T463" s="4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4"/>
      <c r="AG463" s="3"/>
      <c r="AH463" s="82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82"/>
      <c r="BC463" s="82"/>
      <c r="BD463" s="82"/>
      <c r="BE463" s="82"/>
      <c r="BF463" s="82"/>
      <c r="BG463" s="4"/>
      <c r="BH463" s="4"/>
      <c r="BI463" s="4"/>
      <c r="BJ463" s="4"/>
    </row>
    <row r="464" spans="1:62" ht="12.75" x14ac:dyDescent="0.2">
      <c r="A464" s="63"/>
      <c r="B464" s="85"/>
      <c r="C464" s="4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4"/>
      <c r="P464" s="4"/>
      <c r="Q464" s="4"/>
      <c r="R464" s="4"/>
      <c r="S464" s="4"/>
      <c r="T464" s="4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4"/>
      <c r="AG464" s="3"/>
      <c r="AH464" s="82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82"/>
      <c r="BC464" s="82"/>
      <c r="BD464" s="82"/>
      <c r="BE464" s="82"/>
      <c r="BF464" s="82"/>
      <c r="BG464" s="4"/>
      <c r="BH464" s="4"/>
      <c r="BI464" s="4"/>
      <c r="BJ464" s="4"/>
    </row>
    <row r="465" spans="1:62" ht="12.75" x14ac:dyDescent="0.2">
      <c r="A465" s="63"/>
      <c r="B465" s="85"/>
      <c r="C465" s="4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4"/>
      <c r="P465" s="4"/>
      <c r="Q465" s="4"/>
      <c r="R465" s="4"/>
      <c r="S465" s="4"/>
      <c r="T465" s="4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4"/>
      <c r="AG465" s="3"/>
      <c r="AH465" s="82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82"/>
      <c r="BC465" s="82"/>
      <c r="BD465" s="82"/>
      <c r="BE465" s="82"/>
      <c r="BF465" s="82"/>
      <c r="BG465" s="4"/>
      <c r="BH465" s="4"/>
      <c r="BI465" s="4"/>
      <c r="BJ465" s="4"/>
    </row>
    <row r="466" spans="1:62" ht="12.75" x14ac:dyDescent="0.2">
      <c r="A466" s="63"/>
      <c r="B466" s="85"/>
      <c r="C466" s="4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4"/>
      <c r="P466" s="4"/>
      <c r="Q466" s="4"/>
      <c r="R466" s="4"/>
      <c r="S466" s="4"/>
      <c r="T466" s="4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4"/>
      <c r="AG466" s="3"/>
      <c r="AH466" s="82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82"/>
      <c r="BC466" s="82"/>
      <c r="BD466" s="82"/>
      <c r="BE466" s="82"/>
      <c r="BF466" s="82"/>
      <c r="BG466" s="4"/>
      <c r="BH466" s="4"/>
      <c r="BI466" s="4"/>
      <c r="BJ466" s="4"/>
    </row>
    <row r="467" spans="1:62" ht="12.75" x14ac:dyDescent="0.2">
      <c r="A467" s="63"/>
      <c r="B467" s="85"/>
      <c r="C467" s="4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4"/>
      <c r="P467" s="4"/>
      <c r="Q467" s="4"/>
      <c r="R467" s="4"/>
      <c r="S467" s="4"/>
      <c r="T467" s="4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4"/>
      <c r="AG467" s="3"/>
      <c r="AH467" s="82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82"/>
      <c r="BC467" s="82"/>
      <c r="BD467" s="82"/>
      <c r="BE467" s="82"/>
      <c r="BF467" s="82"/>
      <c r="BG467" s="4"/>
      <c r="BH467" s="4"/>
      <c r="BI467" s="4"/>
      <c r="BJ467" s="4"/>
    </row>
    <row r="468" spans="1:62" ht="12.75" x14ac:dyDescent="0.2">
      <c r="A468" s="63"/>
      <c r="B468" s="85"/>
      <c r="C468" s="4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4"/>
      <c r="P468" s="4"/>
      <c r="Q468" s="4"/>
      <c r="R468" s="4"/>
      <c r="S468" s="4"/>
      <c r="T468" s="4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4"/>
      <c r="AG468" s="3"/>
      <c r="AH468" s="82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82"/>
      <c r="BC468" s="82"/>
      <c r="BD468" s="82"/>
      <c r="BE468" s="82"/>
      <c r="BF468" s="82"/>
      <c r="BG468" s="4"/>
      <c r="BH468" s="4"/>
      <c r="BI468" s="4"/>
      <c r="BJ468" s="4"/>
    </row>
    <row r="469" spans="1:62" ht="12.75" x14ac:dyDescent="0.2">
      <c r="A469" s="63"/>
      <c r="B469" s="85"/>
      <c r="C469" s="4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4"/>
      <c r="P469" s="4"/>
      <c r="Q469" s="4"/>
      <c r="R469" s="4"/>
      <c r="S469" s="4"/>
      <c r="T469" s="4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4"/>
      <c r="AG469" s="3"/>
      <c r="AH469" s="82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82"/>
      <c r="BC469" s="82"/>
      <c r="BD469" s="82"/>
      <c r="BE469" s="82"/>
      <c r="BF469" s="82"/>
      <c r="BG469" s="4"/>
      <c r="BH469" s="4"/>
      <c r="BI469" s="4"/>
      <c r="BJ469" s="4"/>
    </row>
    <row r="470" spans="1:62" ht="12.75" x14ac:dyDescent="0.2">
      <c r="A470" s="63"/>
      <c r="B470" s="85"/>
      <c r="C470" s="4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4"/>
      <c r="P470" s="4"/>
      <c r="Q470" s="4"/>
      <c r="R470" s="4"/>
      <c r="S470" s="4"/>
      <c r="T470" s="4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4"/>
      <c r="AG470" s="3"/>
      <c r="AH470" s="82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82"/>
      <c r="BC470" s="82"/>
      <c r="BD470" s="82"/>
      <c r="BE470" s="82"/>
      <c r="BF470" s="82"/>
      <c r="BG470" s="4"/>
      <c r="BH470" s="4"/>
      <c r="BI470" s="4"/>
      <c r="BJ470" s="4"/>
    </row>
    <row r="471" spans="1:62" ht="12.75" x14ac:dyDescent="0.2">
      <c r="A471" s="63"/>
      <c r="B471" s="85"/>
      <c r="C471" s="4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4"/>
      <c r="P471" s="4"/>
      <c r="Q471" s="4"/>
      <c r="R471" s="4"/>
      <c r="S471" s="4"/>
      <c r="T471" s="4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4"/>
      <c r="AG471" s="3"/>
      <c r="AH471" s="82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82"/>
      <c r="BC471" s="82"/>
      <c r="BD471" s="82"/>
      <c r="BE471" s="82"/>
      <c r="BF471" s="82"/>
      <c r="BG471" s="4"/>
      <c r="BH471" s="4"/>
      <c r="BI471" s="4"/>
      <c r="BJ471" s="4"/>
    </row>
    <row r="472" spans="1:62" ht="12.75" x14ac:dyDescent="0.2">
      <c r="A472" s="63"/>
      <c r="B472" s="85"/>
      <c r="C472" s="4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4"/>
      <c r="P472" s="4"/>
      <c r="Q472" s="4"/>
      <c r="R472" s="4"/>
      <c r="S472" s="4"/>
      <c r="T472" s="4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4"/>
      <c r="AG472" s="3"/>
      <c r="AH472" s="82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82"/>
      <c r="BC472" s="82"/>
      <c r="BD472" s="82"/>
      <c r="BE472" s="82"/>
      <c r="BF472" s="82"/>
      <c r="BG472" s="4"/>
      <c r="BH472" s="4"/>
      <c r="BI472" s="4"/>
      <c r="BJ472" s="4"/>
    </row>
    <row r="473" spans="1:62" ht="12.75" x14ac:dyDescent="0.2">
      <c r="A473" s="63"/>
      <c r="B473" s="85"/>
      <c r="C473" s="4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4"/>
      <c r="P473" s="4"/>
      <c r="Q473" s="4"/>
      <c r="R473" s="4"/>
      <c r="S473" s="4"/>
      <c r="T473" s="4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4"/>
      <c r="AG473" s="3"/>
      <c r="AH473" s="82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82"/>
      <c r="BC473" s="82"/>
      <c r="BD473" s="82"/>
      <c r="BE473" s="82"/>
      <c r="BF473" s="82"/>
      <c r="BG473" s="4"/>
      <c r="BH473" s="4"/>
      <c r="BI473" s="4"/>
      <c r="BJ473" s="4"/>
    </row>
    <row r="474" spans="1:62" ht="12.75" x14ac:dyDescent="0.2">
      <c r="A474" s="63"/>
      <c r="B474" s="85"/>
      <c r="C474" s="4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4"/>
      <c r="P474" s="4"/>
      <c r="Q474" s="4"/>
      <c r="R474" s="4"/>
      <c r="S474" s="4"/>
      <c r="T474" s="4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4"/>
      <c r="AG474" s="3"/>
      <c r="AH474" s="82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82"/>
      <c r="BC474" s="82"/>
      <c r="BD474" s="82"/>
      <c r="BE474" s="82"/>
      <c r="BF474" s="82"/>
      <c r="BG474" s="4"/>
      <c r="BH474" s="4"/>
      <c r="BI474" s="4"/>
      <c r="BJ474" s="4"/>
    </row>
    <row r="475" spans="1:62" ht="12.75" x14ac:dyDescent="0.2">
      <c r="A475" s="63"/>
      <c r="B475" s="85"/>
      <c r="C475" s="4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4"/>
      <c r="P475" s="4"/>
      <c r="Q475" s="4"/>
      <c r="R475" s="4"/>
      <c r="S475" s="4"/>
      <c r="T475" s="4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4"/>
      <c r="AG475" s="3"/>
      <c r="AH475" s="82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82"/>
      <c r="BC475" s="82"/>
      <c r="BD475" s="82"/>
      <c r="BE475" s="82"/>
      <c r="BF475" s="82"/>
      <c r="BG475" s="4"/>
      <c r="BH475" s="4"/>
      <c r="BI475" s="4"/>
      <c r="BJ475" s="4"/>
    </row>
    <row r="476" spans="1:62" ht="12.75" x14ac:dyDescent="0.2">
      <c r="A476" s="63"/>
      <c r="B476" s="85"/>
      <c r="C476" s="4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4"/>
      <c r="P476" s="4"/>
      <c r="Q476" s="4"/>
      <c r="R476" s="4"/>
      <c r="S476" s="4"/>
      <c r="T476" s="4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4"/>
      <c r="AG476" s="3"/>
      <c r="AH476" s="82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82"/>
      <c r="BC476" s="82"/>
      <c r="BD476" s="82"/>
      <c r="BE476" s="82"/>
      <c r="BF476" s="82"/>
      <c r="BG476" s="4"/>
      <c r="BH476" s="4"/>
      <c r="BI476" s="4"/>
      <c r="BJ476" s="4"/>
    </row>
    <row r="477" spans="1:62" ht="12.75" x14ac:dyDescent="0.2">
      <c r="A477" s="63"/>
      <c r="B477" s="85"/>
      <c r="C477" s="4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4"/>
      <c r="P477" s="4"/>
      <c r="Q477" s="4"/>
      <c r="R477" s="4"/>
      <c r="S477" s="4"/>
      <c r="T477" s="4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4"/>
      <c r="AG477" s="3"/>
      <c r="AH477" s="82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82"/>
      <c r="BC477" s="82"/>
      <c r="BD477" s="82"/>
      <c r="BE477" s="82"/>
      <c r="BF477" s="82"/>
      <c r="BG477" s="4"/>
      <c r="BH477" s="4"/>
      <c r="BI477" s="4"/>
      <c r="BJ477" s="4"/>
    </row>
    <row r="478" spans="1:62" ht="12.75" x14ac:dyDescent="0.2">
      <c r="A478" s="63"/>
      <c r="B478" s="85"/>
      <c r="C478" s="4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4"/>
      <c r="P478" s="4"/>
      <c r="Q478" s="4"/>
      <c r="R478" s="4"/>
      <c r="S478" s="4"/>
      <c r="T478" s="4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4"/>
      <c r="AG478" s="3"/>
      <c r="AH478" s="82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82"/>
      <c r="BC478" s="82"/>
      <c r="BD478" s="82"/>
      <c r="BE478" s="82"/>
      <c r="BF478" s="82"/>
      <c r="BG478" s="4"/>
      <c r="BH478" s="4"/>
      <c r="BI478" s="4"/>
      <c r="BJ478" s="4"/>
    </row>
    <row r="479" spans="1:62" ht="12.75" x14ac:dyDescent="0.2">
      <c r="A479" s="63"/>
      <c r="B479" s="85"/>
      <c r="C479" s="4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4"/>
      <c r="P479" s="4"/>
      <c r="Q479" s="4"/>
      <c r="R479" s="4"/>
      <c r="S479" s="4"/>
      <c r="T479" s="4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4"/>
      <c r="AG479" s="3"/>
      <c r="AH479" s="82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82"/>
      <c r="BC479" s="82"/>
      <c r="BD479" s="82"/>
      <c r="BE479" s="82"/>
      <c r="BF479" s="82"/>
      <c r="BG479" s="4"/>
      <c r="BH479" s="4"/>
      <c r="BI479" s="4"/>
      <c r="BJ479" s="4"/>
    </row>
    <row r="480" spans="1:62" ht="12.75" x14ac:dyDescent="0.2">
      <c r="A480" s="63"/>
      <c r="B480" s="85"/>
      <c r="C480" s="4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4"/>
      <c r="P480" s="4"/>
      <c r="Q480" s="4"/>
      <c r="R480" s="4"/>
      <c r="S480" s="4"/>
      <c r="T480" s="4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4"/>
      <c r="AG480" s="3"/>
      <c r="AH480" s="82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82"/>
      <c r="BC480" s="82"/>
      <c r="BD480" s="82"/>
      <c r="BE480" s="82"/>
      <c r="BF480" s="82"/>
      <c r="BG480" s="4"/>
      <c r="BH480" s="4"/>
      <c r="BI480" s="4"/>
      <c r="BJ480" s="4"/>
    </row>
    <row r="481" spans="1:62" ht="12.75" x14ac:dyDescent="0.2">
      <c r="A481" s="63"/>
      <c r="B481" s="85"/>
      <c r="C481" s="4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4"/>
      <c r="P481" s="4"/>
      <c r="Q481" s="4"/>
      <c r="R481" s="4"/>
      <c r="S481" s="4"/>
      <c r="T481" s="4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4"/>
      <c r="AG481" s="3"/>
      <c r="AH481" s="82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82"/>
      <c r="BC481" s="82"/>
      <c r="BD481" s="82"/>
      <c r="BE481" s="82"/>
      <c r="BF481" s="82"/>
      <c r="BG481" s="4"/>
      <c r="BH481" s="4"/>
      <c r="BI481" s="4"/>
      <c r="BJ481" s="4"/>
    </row>
    <row r="482" spans="1:62" ht="12.75" x14ac:dyDescent="0.2">
      <c r="A482" s="63"/>
      <c r="B482" s="85"/>
      <c r="C482" s="4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4"/>
      <c r="P482" s="4"/>
      <c r="Q482" s="4"/>
      <c r="R482" s="4"/>
      <c r="S482" s="4"/>
      <c r="T482" s="4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4"/>
      <c r="AG482" s="3"/>
      <c r="AH482" s="82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82"/>
      <c r="BC482" s="82"/>
      <c r="BD482" s="82"/>
      <c r="BE482" s="82"/>
      <c r="BF482" s="82"/>
      <c r="BG482" s="4"/>
      <c r="BH482" s="4"/>
      <c r="BI482" s="4"/>
      <c r="BJ482" s="4"/>
    </row>
    <row r="483" spans="1:62" ht="12.75" x14ac:dyDescent="0.2">
      <c r="A483" s="63"/>
      <c r="B483" s="85"/>
      <c r="C483" s="4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4"/>
      <c r="P483" s="4"/>
      <c r="Q483" s="4"/>
      <c r="R483" s="4"/>
      <c r="S483" s="4"/>
      <c r="T483" s="4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4"/>
      <c r="AG483" s="3"/>
      <c r="AH483" s="82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82"/>
      <c r="BC483" s="82"/>
      <c r="BD483" s="82"/>
      <c r="BE483" s="82"/>
      <c r="BF483" s="82"/>
      <c r="BG483" s="4"/>
      <c r="BH483" s="4"/>
      <c r="BI483" s="4"/>
      <c r="BJ483" s="4"/>
    </row>
    <row r="484" spans="1:62" ht="12.75" x14ac:dyDescent="0.2">
      <c r="A484" s="63"/>
      <c r="B484" s="85"/>
      <c r="C484" s="4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4"/>
      <c r="P484" s="4"/>
      <c r="Q484" s="4"/>
      <c r="R484" s="4"/>
      <c r="S484" s="4"/>
      <c r="T484" s="4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4"/>
      <c r="AG484" s="3"/>
      <c r="AH484" s="82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82"/>
      <c r="BC484" s="82"/>
      <c r="BD484" s="82"/>
      <c r="BE484" s="82"/>
      <c r="BF484" s="82"/>
      <c r="BG484" s="4"/>
      <c r="BH484" s="4"/>
      <c r="BI484" s="4"/>
      <c r="BJ484" s="4"/>
    </row>
    <row r="485" spans="1:62" ht="12.75" x14ac:dyDescent="0.2">
      <c r="A485" s="63"/>
      <c r="B485" s="85"/>
      <c r="C485" s="4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4"/>
      <c r="P485" s="4"/>
      <c r="Q485" s="4"/>
      <c r="R485" s="4"/>
      <c r="S485" s="4"/>
      <c r="T485" s="4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4"/>
      <c r="AG485" s="3"/>
      <c r="AH485" s="82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82"/>
      <c r="BC485" s="82"/>
      <c r="BD485" s="82"/>
      <c r="BE485" s="82"/>
      <c r="BF485" s="82"/>
      <c r="BG485" s="4"/>
      <c r="BH485" s="4"/>
      <c r="BI485" s="4"/>
      <c r="BJ485" s="4"/>
    </row>
    <row r="486" spans="1:62" ht="12.75" x14ac:dyDescent="0.2">
      <c r="A486" s="63"/>
      <c r="B486" s="85"/>
      <c r="C486" s="4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4"/>
      <c r="P486" s="4"/>
      <c r="Q486" s="4"/>
      <c r="R486" s="4"/>
      <c r="S486" s="4"/>
      <c r="T486" s="4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4"/>
      <c r="AG486" s="3"/>
      <c r="AH486" s="82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82"/>
      <c r="BC486" s="82"/>
      <c r="BD486" s="82"/>
      <c r="BE486" s="82"/>
      <c r="BF486" s="82"/>
      <c r="BG486" s="4"/>
      <c r="BH486" s="4"/>
      <c r="BI486" s="4"/>
      <c r="BJ486" s="4"/>
    </row>
    <row r="487" spans="1:62" ht="12.75" x14ac:dyDescent="0.2">
      <c r="A487" s="63"/>
      <c r="B487" s="85"/>
      <c r="C487" s="4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4"/>
      <c r="P487" s="4"/>
      <c r="Q487" s="4"/>
      <c r="R487" s="4"/>
      <c r="S487" s="4"/>
      <c r="T487" s="4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4"/>
      <c r="AG487" s="3"/>
      <c r="AH487" s="82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82"/>
      <c r="BC487" s="82"/>
      <c r="BD487" s="82"/>
      <c r="BE487" s="82"/>
      <c r="BF487" s="82"/>
      <c r="BG487" s="4"/>
      <c r="BH487" s="4"/>
      <c r="BI487" s="4"/>
      <c r="BJ487" s="4"/>
    </row>
    <row r="488" spans="1:62" ht="12.75" x14ac:dyDescent="0.2">
      <c r="A488" s="63"/>
      <c r="B488" s="85"/>
      <c r="C488" s="4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4"/>
      <c r="P488" s="4"/>
      <c r="Q488" s="4"/>
      <c r="R488" s="4"/>
      <c r="S488" s="4"/>
      <c r="T488" s="4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4"/>
      <c r="AG488" s="3"/>
      <c r="AH488" s="82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82"/>
      <c r="BC488" s="82"/>
      <c r="BD488" s="82"/>
      <c r="BE488" s="82"/>
      <c r="BF488" s="82"/>
      <c r="BG488" s="4"/>
      <c r="BH488" s="4"/>
      <c r="BI488" s="4"/>
      <c r="BJ488" s="4"/>
    </row>
    <row r="489" spans="1:62" ht="12.75" x14ac:dyDescent="0.2">
      <c r="A489" s="63"/>
      <c r="B489" s="85"/>
      <c r="C489" s="4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4"/>
      <c r="P489" s="4"/>
      <c r="Q489" s="4"/>
      <c r="R489" s="4"/>
      <c r="S489" s="4"/>
      <c r="T489" s="4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4"/>
      <c r="AG489" s="3"/>
      <c r="AH489" s="82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82"/>
      <c r="BC489" s="82"/>
      <c r="BD489" s="82"/>
      <c r="BE489" s="82"/>
      <c r="BF489" s="82"/>
      <c r="BG489" s="4"/>
      <c r="BH489" s="4"/>
      <c r="BI489" s="4"/>
      <c r="BJ489" s="4"/>
    </row>
    <row r="490" spans="1:62" ht="12.75" x14ac:dyDescent="0.2">
      <c r="A490" s="63"/>
      <c r="B490" s="85"/>
      <c r="C490" s="4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4"/>
      <c r="P490" s="4"/>
      <c r="Q490" s="4"/>
      <c r="R490" s="4"/>
      <c r="S490" s="4"/>
      <c r="T490" s="4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4"/>
      <c r="AG490" s="3"/>
      <c r="AH490" s="82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82"/>
      <c r="BC490" s="82"/>
      <c r="BD490" s="82"/>
      <c r="BE490" s="82"/>
      <c r="BF490" s="82"/>
      <c r="BG490" s="4"/>
      <c r="BH490" s="4"/>
      <c r="BI490" s="4"/>
      <c r="BJ490" s="4"/>
    </row>
    <row r="491" spans="1:62" ht="12.75" x14ac:dyDescent="0.2">
      <c r="A491" s="63"/>
      <c r="B491" s="85"/>
      <c r="C491" s="4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4"/>
      <c r="P491" s="4"/>
      <c r="Q491" s="4"/>
      <c r="R491" s="4"/>
      <c r="S491" s="4"/>
      <c r="T491" s="4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4"/>
      <c r="AG491" s="3"/>
      <c r="AH491" s="82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82"/>
      <c r="BC491" s="82"/>
      <c r="BD491" s="82"/>
      <c r="BE491" s="82"/>
      <c r="BF491" s="82"/>
      <c r="BG491" s="4"/>
      <c r="BH491" s="4"/>
      <c r="BI491" s="4"/>
      <c r="BJ491" s="4"/>
    </row>
    <row r="492" spans="1:62" ht="12.75" x14ac:dyDescent="0.2">
      <c r="A492" s="63"/>
      <c r="B492" s="85"/>
      <c r="C492" s="4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4"/>
      <c r="P492" s="4"/>
      <c r="Q492" s="4"/>
      <c r="R492" s="4"/>
      <c r="S492" s="4"/>
      <c r="T492" s="4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4"/>
      <c r="AG492" s="3"/>
      <c r="AH492" s="82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82"/>
      <c r="BC492" s="82"/>
      <c r="BD492" s="82"/>
      <c r="BE492" s="82"/>
      <c r="BF492" s="82"/>
      <c r="BG492" s="4"/>
      <c r="BH492" s="4"/>
      <c r="BI492" s="4"/>
      <c r="BJ492" s="4"/>
    </row>
    <row r="493" spans="1:62" ht="12.75" x14ac:dyDescent="0.2">
      <c r="A493" s="63"/>
      <c r="B493" s="85"/>
      <c r="C493" s="4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4"/>
      <c r="P493" s="4"/>
      <c r="Q493" s="4"/>
      <c r="R493" s="4"/>
      <c r="S493" s="4"/>
      <c r="T493" s="4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4"/>
      <c r="AG493" s="3"/>
      <c r="AH493" s="82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82"/>
      <c r="BC493" s="82"/>
      <c r="BD493" s="82"/>
      <c r="BE493" s="82"/>
      <c r="BF493" s="82"/>
      <c r="BG493" s="4"/>
      <c r="BH493" s="4"/>
      <c r="BI493" s="4"/>
      <c r="BJ493" s="4"/>
    </row>
    <row r="494" spans="1:62" ht="12.75" x14ac:dyDescent="0.2">
      <c r="A494" s="63"/>
      <c r="B494" s="85"/>
      <c r="C494" s="4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4"/>
      <c r="P494" s="4"/>
      <c r="Q494" s="4"/>
      <c r="R494" s="4"/>
      <c r="S494" s="4"/>
      <c r="T494" s="4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4"/>
      <c r="AG494" s="3"/>
      <c r="AH494" s="82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82"/>
      <c r="BC494" s="82"/>
      <c r="BD494" s="82"/>
      <c r="BE494" s="82"/>
      <c r="BF494" s="82"/>
      <c r="BG494" s="4"/>
      <c r="BH494" s="4"/>
      <c r="BI494" s="4"/>
      <c r="BJ494" s="4"/>
    </row>
    <row r="495" spans="1:62" ht="12.75" x14ac:dyDescent="0.2">
      <c r="A495" s="63"/>
      <c r="B495" s="85"/>
      <c r="C495" s="4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4"/>
      <c r="P495" s="4"/>
      <c r="Q495" s="4"/>
      <c r="R495" s="4"/>
      <c r="S495" s="4"/>
      <c r="T495" s="4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4"/>
      <c r="AG495" s="3"/>
      <c r="AH495" s="82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82"/>
      <c r="BC495" s="82"/>
      <c r="BD495" s="82"/>
      <c r="BE495" s="82"/>
      <c r="BF495" s="82"/>
      <c r="BG495" s="4"/>
      <c r="BH495" s="4"/>
      <c r="BI495" s="4"/>
      <c r="BJ495" s="4"/>
    </row>
    <row r="496" spans="1:62" ht="12.75" x14ac:dyDescent="0.2">
      <c r="A496" s="63"/>
      <c r="B496" s="85"/>
      <c r="C496" s="4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4"/>
      <c r="P496" s="4"/>
      <c r="Q496" s="4"/>
      <c r="R496" s="4"/>
      <c r="S496" s="4"/>
      <c r="T496" s="4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4"/>
      <c r="AG496" s="3"/>
      <c r="AH496" s="82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82"/>
      <c r="BC496" s="82"/>
      <c r="BD496" s="82"/>
      <c r="BE496" s="82"/>
      <c r="BF496" s="82"/>
      <c r="BG496" s="4"/>
      <c r="BH496" s="4"/>
      <c r="BI496" s="4"/>
      <c r="BJ496" s="4"/>
    </row>
    <row r="497" spans="1:62" ht="12.75" x14ac:dyDescent="0.2">
      <c r="A497" s="63"/>
      <c r="B497" s="85"/>
      <c r="C497" s="4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4"/>
      <c r="P497" s="4"/>
      <c r="Q497" s="4"/>
      <c r="R497" s="4"/>
      <c r="S497" s="4"/>
      <c r="T497" s="4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4"/>
      <c r="AG497" s="3"/>
      <c r="AH497" s="82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82"/>
      <c r="BC497" s="82"/>
      <c r="BD497" s="82"/>
      <c r="BE497" s="82"/>
      <c r="BF497" s="82"/>
      <c r="BG497" s="4"/>
      <c r="BH497" s="4"/>
      <c r="BI497" s="4"/>
      <c r="BJ497" s="4"/>
    </row>
    <row r="498" spans="1:62" ht="12.75" x14ac:dyDescent="0.2">
      <c r="A498" s="63"/>
      <c r="B498" s="85"/>
      <c r="C498" s="4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4"/>
      <c r="P498" s="4"/>
      <c r="Q498" s="4"/>
      <c r="R498" s="4"/>
      <c r="S498" s="4"/>
      <c r="T498" s="4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4"/>
      <c r="AG498" s="3"/>
      <c r="AH498" s="82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82"/>
      <c r="BC498" s="82"/>
      <c r="BD498" s="82"/>
      <c r="BE498" s="82"/>
      <c r="BF498" s="82"/>
      <c r="BG498" s="4"/>
      <c r="BH498" s="4"/>
      <c r="BI498" s="4"/>
      <c r="BJ498" s="4"/>
    </row>
    <row r="499" spans="1:62" ht="12.75" x14ac:dyDescent="0.2">
      <c r="A499" s="63"/>
      <c r="B499" s="85"/>
      <c r="C499" s="4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4"/>
      <c r="P499" s="4"/>
      <c r="Q499" s="4"/>
      <c r="R499" s="4"/>
      <c r="S499" s="4"/>
      <c r="T499" s="4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4"/>
      <c r="AG499" s="3"/>
      <c r="AH499" s="82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82"/>
      <c r="BC499" s="82"/>
      <c r="BD499" s="82"/>
      <c r="BE499" s="82"/>
      <c r="BF499" s="82"/>
      <c r="BG499" s="4"/>
      <c r="BH499" s="4"/>
      <c r="BI499" s="4"/>
      <c r="BJ499" s="4"/>
    </row>
    <row r="500" spans="1:62" ht="12.75" x14ac:dyDescent="0.2">
      <c r="A500" s="63"/>
      <c r="B500" s="85"/>
      <c r="C500" s="4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4"/>
      <c r="P500" s="4"/>
      <c r="Q500" s="4"/>
      <c r="R500" s="4"/>
      <c r="S500" s="4"/>
      <c r="T500" s="4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4"/>
      <c r="AG500" s="3"/>
      <c r="AH500" s="82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82"/>
      <c r="BC500" s="82"/>
      <c r="BD500" s="82"/>
      <c r="BE500" s="82"/>
      <c r="BF500" s="82"/>
      <c r="BG500" s="4"/>
      <c r="BH500" s="4"/>
      <c r="BI500" s="4"/>
      <c r="BJ500" s="4"/>
    </row>
    <row r="501" spans="1:62" ht="12.75" x14ac:dyDescent="0.2">
      <c r="A501" s="63"/>
      <c r="B501" s="85"/>
      <c r="C501" s="4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4"/>
      <c r="P501" s="4"/>
      <c r="Q501" s="4"/>
      <c r="R501" s="4"/>
      <c r="S501" s="4"/>
      <c r="T501" s="4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4"/>
      <c r="AG501" s="3"/>
      <c r="AH501" s="82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82"/>
      <c r="BC501" s="82"/>
      <c r="BD501" s="82"/>
      <c r="BE501" s="82"/>
      <c r="BF501" s="82"/>
      <c r="BG501" s="4"/>
      <c r="BH501" s="4"/>
      <c r="BI501" s="4"/>
      <c r="BJ501" s="4"/>
    </row>
    <row r="502" spans="1:62" ht="12.75" x14ac:dyDescent="0.2">
      <c r="A502" s="63"/>
      <c r="B502" s="85"/>
      <c r="C502" s="4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4"/>
      <c r="P502" s="4"/>
      <c r="Q502" s="4"/>
      <c r="R502" s="4"/>
      <c r="S502" s="4"/>
      <c r="T502" s="4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4"/>
      <c r="AG502" s="3"/>
      <c r="AH502" s="82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82"/>
      <c r="BC502" s="82"/>
      <c r="BD502" s="82"/>
      <c r="BE502" s="82"/>
      <c r="BF502" s="82"/>
      <c r="BG502" s="4"/>
      <c r="BH502" s="4"/>
      <c r="BI502" s="4"/>
      <c r="BJ502" s="4"/>
    </row>
    <row r="503" spans="1:62" ht="12.75" x14ac:dyDescent="0.2">
      <c r="A503" s="63"/>
      <c r="B503" s="85"/>
      <c r="C503" s="4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4"/>
      <c r="P503" s="4"/>
      <c r="Q503" s="4"/>
      <c r="R503" s="4"/>
      <c r="S503" s="4"/>
      <c r="T503" s="4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4"/>
      <c r="AG503" s="3"/>
      <c r="AH503" s="82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82"/>
      <c r="BC503" s="82"/>
      <c r="BD503" s="82"/>
      <c r="BE503" s="82"/>
      <c r="BF503" s="82"/>
      <c r="BG503" s="4"/>
      <c r="BH503" s="4"/>
      <c r="BI503" s="4"/>
      <c r="BJ503" s="4"/>
    </row>
    <row r="504" spans="1:62" ht="12.75" x14ac:dyDescent="0.2">
      <c r="A504" s="63"/>
      <c r="B504" s="85"/>
      <c r="C504" s="4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4"/>
      <c r="P504" s="4"/>
      <c r="Q504" s="4"/>
      <c r="R504" s="4"/>
      <c r="S504" s="4"/>
      <c r="T504" s="4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4"/>
      <c r="AG504" s="3"/>
      <c r="AH504" s="82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82"/>
      <c r="BC504" s="82"/>
      <c r="BD504" s="82"/>
      <c r="BE504" s="82"/>
      <c r="BF504" s="82"/>
      <c r="BG504" s="4"/>
      <c r="BH504" s="4"/>
      <c r="BI504" s="4"/>
      <c r="BJ504" s="4"/>
    </row>
    <row r="505" spans="1:62" ht="12.75" x14ac:dyDescent="0.2">
      <c r="A505" s="63"/>
      <c r="B505" s="85"/>
      <c r="C505" s="4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4"/>
      <c r="P505" s="4"/>
      <c r="Q505" s="4"/>
      <c r="R505" s="4"/>
      <c r="S505" s="4"/>
      <c r="T505" s="4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4"/>
      <c r="AG505" s="3"/>
      <c r="AH505" s="82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82"/>
      <c r="BC505" s="82"/>
      <c r="BD505" s="82"/>
      <c r="BE505" s="82"/>
      <c r="BF505" s="82"/>
      <c r="BG505" s="4"/>
      <c r="BH505" s="4"/>
      <c r="BI505" s="4"/>
      <c r="BJ505" s="4"/>
    </row>
    <row r="506" spans="1:62" ht="12.75" x14ac:dyDescent="0.2">
      <c r="A506" s="63"/>
      <c r="B506" s="85"/>
      <c r="C506" s="4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4"/>
      <c r="P506" s="4"/>
      <c r="Q506" s="4"/>
      <c r="R506" s="4"/>
      <c r="S506" s="4"/>
      <c r="T506" s="4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4"/>
      <c r="AG506" s="3"/>
      <c r="AH506" s="82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82"/>
      <c r="BC506" s="82"/>
      <c r="BD506" s="82"/>
      <c r="BE506" s="82"/>
      <c r="BF506" s="82"/>
      <c r="BG506" s="4"/>
      <c r="BH506" s="4"/>
      <c r="BI506" s="4"/>
      <c r="BJ506" s="4"/>
    </row>
    <row r="507" spans="1:62" ht="12.75" x14ac:dyDescent="0.2">
      <c r="A507" s="63"/>
      <c r="B507" s="85"/>
      <c r="C507" s="4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4"/>
      <c r="P507" s="4"/>
      <c r="Q507" s="4"/>
      <c r="R507" s="4"/>
      <c r="S507" s="4"/>
      <c r="T507" s="4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4"/>
      <c r="AG507" s="3"/>
      <c r="AH507" s="82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82"/>
      <c r="BC507" s="82"/>
      <c r="BD507" s="82"/>
      <c r="BE507" s="82"/>
      <c r="BF507" s="82"/>
      <c r="BG507" s="4"/>
      <c r="BH507" s="4"/>
      <c r="BI507" s="4"/>
      <c r="BJ507" s="4"/>
    </row>
    <row r="508" spans="1:62" ht="12.75" x14ac:dyDescent="0.2">
      <c r="A508" s="63"/>
      <c r="B508" s="85"/>
      <c r="C508" s="4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4"/>
      <c r="P508" s="4"/>
      <c r="Q508" s="4"/>
      <c r="R508" s="4"/>
      <c r="S508" s="4"/>
      <c r="T508" s="4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4"/>
      <c r="AG508" s="3"/>
      <c r="AH508" s="82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82"/>
      <c r="BC508" s="82"/>
      <c r="BD508" s="82"/>
      <c r="BE508" s="82"/>
      <c r="BF508" s="82"/>
      <c r="BG508" s="4"/>
      <c r="BH508" s="4"/>
      <c r="BI508" s="4"/>
      <c r="BJ508" s="4"/>
    </row>
    <row r="509" spans="1:62" ht="12.75" x14ac:dyDescent="0.2">
      <c r="A509" s="63"/>
      <c r="B509" s="85"/>
      <c r="C509" s="4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4"/>
      <c r="P509" s="4"/>
      <c r="Q509" s="4"/>
      <c r="R509" s="4"/>
      <c r="S509" s="4"/>
      <c r="T509" s="4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4"/>
      <c r="AG509" s="3"/>
      <c r="AH509" s="82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82"/>
      <c r="BC509" s="82"/>
      <c r="BD509" s="82"/>
      <c r="BE509" s="82"/>
      <c r="BF509" s="82"/>
      <c r="BG509" s="4"/>
      <c r="BH509" s="4"/>
      <c r="BI509" s="4"/>
      <c r="BJ509" s="4"/>
    </row>
    <row r="510" spans="1:62" ht="12.75" x14ac:dyDescent="0.2">
      <c r="A510" s="63"/>
      <c r="B510" s="85"/>
      <c r="C510" s="4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4"/>
      <c r="P510" s="4"/>
      <c r="Q510" s="4"/>
      <c r="R510" s="4"/>
      <c r="S510" s="4"/>
      <c r="T510" s="4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4"/>
      <c r="AG510" s="3"/>
      <c r="AH510" s="82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82"/>
      <c r="BC510" s="82"/>
      <c r="BD510" s="82"/>
      <c r="BE510" s="82"/>
      <c r="BF510" s="82"/>
      <c r="BG510" s="4"/>
      <c r="BH510" s="4"/>
      <c r="BI510" s="4"/>
      <c r="BJ510" s="4"/>
    </row>
    <row r="511" spans="1:62" ht="12.75" x14ac:dyDescent="0.2">
      <c r="A511" s="63"/>
      <c r="B511" s="85"/>
      <c r="C511" s="4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4"/>
      <c r="P511" s="4"/>
      <c r="Q511" s="4"/>
      <c r="R511" s="4"/>
      <c r="S511" s="4"/>
      <c r="T511" s="4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4"/>
      <c r="AG511" s="3"/>
      <c r="AH511" s="82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82"/>
      <c r="BC511" s="82"/>
      <c r="BD511" s="82"/>
      <c r="BE511" s="82"/>
      <c r="BF511" s="82"/>
      <c r="BG511" s="4"/>
      <c r="BH511" s="4"/>
      <c r="BI511" s="4"/>
      <c r="BJ511" s="4"/>
    </row>
    <row r="512" spans="1:62" ht="12.75" x14ac:dyDescent="0.2">
      <c r="A512" s="63"/>
      <c r="B512" s="85"/>
      <c r="C512" s="4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4"/>
      <c r="P512" s="4"/>
      <c r="Q512" s="4"/>
      <c r="R512" s="4"/>
      <c r="S512" s="4"/>
      <c r="T512" s="4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4"/>
      <c r="AG512" s="3"/>
      <c r="AH512" s="82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82"/>
      <c r="BC512" s="82"/>
      <c r="BD512" s="82"/>
      <c r="BE512" s="82"/>
      <c r="BF512" s="82"/>
      <c r="BG512" s="4"/>
      <c r="BH512" s="4"/>
      <c r="BI512" s="4"/>
      <c r="BJ512" s="4"/>
    </row>
    <row r="513" spans="1:62" ht="12.75" x14ac:dyDescent="0.2">
      <c r="A513" s="63"/>
      <c r="B513" s="85"/>
      <c r="C513" s="4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4"/>
      <c r="P513" s="4"/>
      <c r="Q513" s="4"/>
      <c r="R513" s="4"/>
      <c r="S513" s="4"/>
      <c r="T513" s="4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4"/>
      <c r="AG513" s="3"/>
      <c r="AH513" s="82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82"/>
      <c r="BC513" s="82"/>
      <c r="BD513" s="82"/>
      <c r="BE513" s="82"/>
      <c r="BF513" s="82"/>
      <c r="BG513" s="4"/>
      <c r="BH513" s="4"/>
      <c r="BI513" s="4"/>
      <c r="BJ513" s="4"/>
    </row>
    <row r="514" spans="1:62" ht="12.75" x14ac:dyDescent="0.2">
      <c r="A514" s="63"/>
      <c r="B514" s="85"/>
      <c r="C514" s="4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4"/>
      <c r="P514" s="4"/>
      <c r="Q514" s="4"/>
      <c r="R514" s="4"/>
      <c r="S514" s="4"/>
      <c r="T514" s="4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4"/>
      <c r="AG514" s="3"/>
      <c r="AH514" s="82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82"/>
      <c r="BC514" s="82"/>
      <c r="BD514" s="82"/>
      <c r="BE514" s="82"/>
      <c r="BF514" s="82"/>
      <c r="BG514" s="4"/>
      <c r="BH514" s="4"/>
      <c r="BI514" s="4"/>
      <c r="BJ514" s="4"/>
    </row>
    <row r="515" spans="1:62" ht="12.75" x14ac:dyDescent="0.2">
      <c r="A515" s="63"/>
      <c r="B515" s="85"/>
      <c r="C515" s="4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4"/>
      <c r="P515" s="4"/>
      <c r="Q515" s="4"/>
      <c r="R515" s="4"/>
      <c r="S515" s="4"/>
      <c r="T515" s="4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4"/>
      <c r="AG515" s="3"/>
      <c r="AH515" s="82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82"/>
      <c r="BC515" s="82"/>
      <c r="BD515" s="82"/>
      <c r="BE515" s="82"/>
      <c r="BF515" s="82"/>
      <c r="BG515" s="4"/>
      <c r="BH515" s="4"/>
      <c r="BI515" s="4"/>
      <c r="BJ515" s="4"/>
    </row>
    <row r="516" spans="1:62" ht="12.75" x14ac:dyDescent="0.2">
      <c r="A516" s="63"/>
      <c r="B516" s="85"/>
      <c r="C516" s="4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4"/>
      <c r="P516" s="4"/>
      <c r="Q516" s="4"/>
      <c r="R516" s="4"/>
      <c r="S516" s="4"/>
      <c r="T516" s="4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4"/>
      <c r="AG516" s="3"/>
      <c r="AH516" s="82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82"/>
      <c r="BC516" s="82"/>
      <c r="BD516" s="82"/>
      <c r="BE516" s="82"/>
      <c r="BF516" s="82"/>
      <c r="BG516" s="4"/>
      <c r="BH516" s="4"/>
      <c r="BI516" s="4"/>
      <c r="BJ516" s="4"/>
    </row>
    <row r="517" spans="1:62" ht="12.75" x14ac:dyDescent="0.2">
      <c r="A517" s="63"/>
      <c r="B517" s="85"/>
      <c r="C517" s="4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4"/>
      <c r="P517" s="4"/>
      <c r="Q517" s="4"/>
      <c r="R517" s="4"/>
      <c r="S517" s="4"/>
      <c r="T517" s="4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4"/>
      <c r="AG517" s="3"/>
      <c r="AH517" s="82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82"/>
      <c r="BC517" s="82"/>
      <c r="BD517" s="82"/>
      <c r="BE517" s="82"/>
      <c r="BF517" s="82"/>
      <c r="BG517" s="4"/>
      <c r="BH517" s="4"/>
      <c r="BI517" s="4"/>
      <c r="BJ517" s="4"/>
    </row>
    <row r="518" spans="1:62" ht="12.75" x14ac:dyDescent="0.2">
      <c r="A518" s="63"/>
      <c r="B518" s="85"/>
      <c r="C518" s="4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4"/>
      <c r="P518" s="4"/>
      <c r="Q518" s="4"/>
      <c r="R518" s="4"/>
      <c r="S518" s="4"/>
      <c r="T518" s="4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4"/>
      <c r="AG518" s="3"/>
      <c r="AH518" s="82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82"/>
      <c r="BC518" s="82"/>
      <c r="BD518" s="82"/>
      <c r="BE518" s="82"/>
      <c r="BF518" s="82"/>
      <c r="BG518" s="4"/>
      <c r="BH518" s="4"/>
      <c r="BI518" s="4"/>
      <c r="BJ518" s="4"/>
    </row>
    <row r="519" spans="1:62" ht="12.75" x14ac:dyDescent="0.2">
      <c r="A519" s="63"/>
      <c r="B519" s="85"/>
      <c r="C519" s="4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4"/>
      <c r="P519" s="4"/>
      <c r="Q519" s="4"/>
      <c r="R519" s="4"/>
      <c r="S519" s="4"/>
      <c r="T519" s="4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4"/>
      <c r="AG519" s="3"/>
      <c r="AH519" s="82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82"/>
      <c r="BC519" s="82"/>
      <c r="BD519" s="82"/>
      <c r="BE519" s="82"/>
      <c r="BF519" s="82"/>
      <c r="BG519" s="4"/>
      <c r="BH519" s="4"/>
      <c r="BI519" s="4"/>
      <c r="BJ519" s="4"/>
    </row>
    <row r="520" spans="1:62" ht="12.75" x14ac:dyDescent="0.2">
      <c r="A520" s="63"/>
      <c r="B520" s="85"/>
      <c r="C520" s="4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4"/>
      <c r="P520" s="4"/>
      <c r="Q520" s="4"/>
      <c r="R520" s="4"/>
      <c r="S520" s="4"/>
      <c r="T520" s="4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4"/>
      <c r="AG520" s="3"/>
      <c r="AH520" s="82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82"/>
      <c r="BC520" s="82"/>
      <c r="BD520" s="82"/>
      <c r="BE520" s="82"/>
      <c r="BF520" s="82"/>
      <c r="BG520" s="4"/>
      <c r="BH520" s="4"/>
      <c r="BI520" s="4"/>
      <c r="BJ520" s="4"/>
    </row>
    <row r="521" spans="1:62" ht="12.75" x14ac:dyDescent="0.2">
      <c r="A521" s="63"/>
      <c r="B521" s="85"/>
      <c r="C521" s="4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4"/>
      <c r="P521" s="4"/>
      <c r="Q521" s="4"/>
      <c r="R521" s="4"/>
      <c r="S521" s="4"/>
      <c r="T521" s="4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4"/>
      <c r="AG521" s="3"/>
      <c r="AH521" s="82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82"/>
      <c r="BC521" s="82"/>
      <c r="BD521" s="82"/>
      <c r="BE521" s="82"/>
      <c r="BF521" s="82"/>
      <c r="BG521" s="4"/>
      <c r="BH521" s="4"/>
      <c r="BI521" s="4"/>
      <c r="BJ521" s="4"/>
    </row>
    <row r="522" spans="1:62" ht="12.75" x14ac:dyDescent="0.2">
      <c r="A522" s="63"/>
      <c r="B522" s="85"/>
      <c r="C522" s="4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4"/>
      <c r="P522" s="4"/>
      <c r="Q522" s="4"/>
      <c r="R522" s="4"/>
      <c r="S522" s="4"/>
      <c r="T522" s="4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4"/>
      <c r="AG522" s="3"/>
      <c r="AH522" s="82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82"/>
      <c r="BC522" s="82"/>
      <c r="BD522" s="82"/>
      <c r="BE522" s="82"/>
      <c r="BF522" s="82"/>
      <c r="BG522" s="4"/>
      <c r="BH522" s="4"/>
      <c r="BI522" s="4"/>
      <c r="BJ522" s="4"/>
    </row>
    <row r="523" spans="1:62" ht="12.75" x14ac:dyDescent="0.2">
      <c r="A523" s="63"/>
      <c r="B523" s="85"/>
      <c r="C523" s="4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4"/>
      <c r="P523" s="4"/>
      <c r="Q523" s="4"/>
      <c r="R523" s="4"/>
      <c r="S523" s="4"/>
      <c r="T523" s="4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4"/>
      <c r="AG523" s="3"/>
      <c r="AH523" s="82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82"/>
      <c r="BC523" s="82"/>
      <c r="BD523" s="82"/>
      <c r="BE523" s="82"/>
      <c r="BF523" s="82"/>
      <c r="BG523" s="4"/>
      <c r="BH523" s="4"/>
      <c r="BI523" s="4"/>
      <c r="BJ523" s="4"/>
    </row>
    <row r="524" spans="1:62" ht="12.75" x14ac:dyDescent="0.2">
      <c r="A524" s="63"/>
      <c r="B524" s="85"/>
      <c r="C524" s="4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4"/>
      <c r="P524" s="4"/>
      <c r="Q524" s="4"/>
      <c r="R524" s="4"/>
      <c r="S524" s="4"/>
      <c r="T524" s="4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4"/>
      <c r="AG524" s="3"/>
      <c r="AH524" s="82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82"/>
      <c r="BC524" s="82"/>
      <c r="BD524" s="82"/>
      <c r="BE524" s="82"/>
      <c r="BF524" s="82"/>
      <c r="BG524" s="4"/>
      <c r="BH524" s="4"/>
      <c r="BI524" s="4"/>
      <c r="BJ524" s="4"/>
    </row>
    <row r="525" spans="1:62" ht="12.75" x14ac:dyDescent="0.2">
      <c r="A525" s="63"/>
      <c r="B525" s="85"/>
      <c r="C525" s="4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4"/>
      <c r="P525" s="4"/>
      <c r="Q525" s="4"/>
      <c r="R525" s="4"/>
      <c r="S525" s="4"/>
      <c r="T525" s="4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4"/>
      <c r="AG525" s="3"/>
      <c r="AH525" s="82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82"/>
      <c r="BC525" s="82"/>
      <c r="BD525" s="82"/>
      <c r="BE525" s="82"/>
      <c r="BF525" s="82"/>
      <c r="BG525" s="4"/>
      <c r="BH525" s="4"/>
      <c r="BI525" s="4"/>
      <c r="BJ525" s="4"/>
    </row>
    <row r="526" spans="1:62" ht="12.75" x14ac:dyDescent="0.2">
      <c r="A526" s="63"/>
      <c r="B526" s="85"/>
      <c r="C526" s="4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4"/>
      <c r="P526" s="4"/>
      <c r="Q526" s="4"/>
      <c r="R526" s="4"/>
      <c r="S526" s="4"/>
      <c r="T526" s="4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4"/>
      <c r="AG526" s="3"/>
      <c r="AH526" s="82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82"/>
      <c r="BC526" s="82"/>
      <c r="BD526" s="82"/>
      <c r="BE526" s="82"/>
      <c r="BF526" s="82"/>
      <c r="BG526" s="4"/>
      <c r="BH526" s="4"/>
      <c r="BI526" s="4"/>
      <c r="BJ526" s="4"/>
    </row>
    <row r="527" spans="1:62" ht="12.75" x14ac:dyDescent="0.2">
      <c r="A527" s="63"/>
      <c r="B527" s="85"/>
      <c r="C527" s="4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4"/>
      <c r="P527" s="4"/>
      <c r="Q527" s="4"/>
      <c r="R527" s="4"/>
      <c r="S527" s="4"/>
      <c r="T527" s="4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4"/>
      <c r="AG527" s="3"/>
      <c r="AH527" s="82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82"/>
      <c r="BC527" s="82"/>
      <c r="BD527" s="82"/>
      <c r="BE527" s="82"/>
      <c r="BF527" s="82"/>
      <c r="BG527" s="4"/>
      <c r="BH527" s="4"/>
      <c r="BI527" s="4"/>
      <c r="BJ527" s="4"/>
    </row>
    <row r="528" spans="1:62" ht="12.75" x14ac:dyDescent="0.2">
      <c r="A528" s="63"/>
      <c r="B528" s="85"/>
      <c r="C528" s="4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4"/>
      <c r="P528" s="4"/>
      <c r="Q528" s="4"/>
      <c r="R528" s="4"/>
      <c r="S528" s="4"/>
      <c r="T528" s="4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4"/>
      <c r="AG528" s="3"/>
      <c r="AH528" s="82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82"/>
      <c r="BC528" s="82"/>
      <c r="BD528" s="82"/>
      <c r="BE528" s="82"/>
      <c r="BF528" s="82"/>
      <c r="BG528" s="4"/>
      <c r="BH528" s="4"/>
      <c r="BI528" s="4"/>
      <c r="BJ528" s="4"/>
    </row>
    <row r="529" spans="1:62" ht="12.75" x14ac:dyDescent="0.2">
      <c r="A529" s="63"/>
      <c r="B529" s="85"/>
      <c r="C529" s="4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4"/>
      <c r="P529" s="4"/>
      <c r="Q529" s="4"/>
      <c r="R529" s="4"/>
      <c r="S529" s="4"/>
      <c r="T529" s="4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4"/>
      <c r="AG529" s="3"/>
      <c r="AH529" s="82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82"/>
      <c r="BC529" s="82"/>
      <c r="BD529" s="82"/>
      <c r="BE529" s="82"/>
      <c r="BF529" s="82"/>
      <c r="BG529" s="4"/>
      <c r="BH529" s="4"/>
      <c r="BI529" s="4"/>
      <c r="BJ529" s="4"/>
    </row>
    <row r="530" spans="1:62" ht="12.75" x14ac:dyDescent="0.2">
      <c r="A530" s="63"/>
      <c r="B530" s="85"/>
      <c r="C530" s="4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4"/>
      <c r="P530" s="4"/>
      <c r="Q530" s="4"/>
      <c r="R530" s="4"/>
      <c r="S530" s="4"/>
      <c r="T530" s="4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4"/>
      <c r="AG530" s="3"/>
      <c r="AH530" s="82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82"/>
      <c r="BC530" s="82"/>
      <c r="BD530" s="82"/>
      <c r="BE530" s="82"/>
      <c r="BF530" s="82"/>
      <c r="BG530" s="4"/>
      <c r="BH530" s="4"/>
      <c r="BI530" s="4"/>
      <c r="BJ530" s="4"/>
    </row>
    <row r="531" spans="1:62" ht="12.75" x14ac:dyDescent="0.2">
      <c r="A531" s="63"/>
      <c r="B531" s="85"/>
      <c r="C531" s="4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4"/>
      <c r="P531" s="4"/>
      <c r="Q531" s="4"/>
      <c r="R531" s="4"/>
      <c r="S531" s="4"/>
      <c r="T531" s="4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4"/>
      <c r="AG531" s="3"/>
      <c r="AH531" s="82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82"/>
      <c r="BC531" s="82"/>
      <c r="BD531" s="82"/>
      <c r="BE531" s="82"/>
      <c r="BF531" s="82"/>
      <c r="BG531" s="4"/>
      <c r="BH531" s="4"/>
      <c r="BI531" s="4"/>
      <c r="BJ531" s="4"/>
    </row>
    <row r="532" spans="1:62" ht="12.75" x14ac:dyDescent="0.2">
      <c r="A532" s="63"/>
      <c r="B532" s="85"/>
      <c r="C532" s="4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4"/>
      <c r="P532" s="4"/>
      <c r="Q532" s="4"/>
      <c r="R532" s="4"/>
      <c r="S532" s="4"/>
      <c r="T532" s="4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4"/>
      <c r="AG532" s="3"/>
      <c r="AH532" s="82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82"/>
      <c r="BC532" s="82"/>
      <c r="BD532" s="82"/>
      <c r="BE532" s="82"/>
      <c r="BF532" s="82"/>
      <c r="BG532" s="4"/>
      <c r="BH532" s="4"/>
      <c r="BI532" s="4"/>
      <c r="BJ532" s="4"/>
    </row>
    <row r="533" spans="1:62" ht="12.75" x14ac:dyDescent="0.2">
      <c r="A533" s="63"/>
      <c r="B533" s="85"/>
      <c r="C533" s="4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4"/>
      <c r="P533" s="4"/>
      <c r="Q533" s="4"/>
      <c r="R533" s="4"/>
      <c r="S533" s="4"/>
      <c r="T533" s="4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4"/>
      <c r="AG533" s="3"/>
      <c r="AH533" s="82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82"/>
      <c r="BC533" s="82"/>
      <c r="BD533" s="82"/>
      <c r="BE533" s="82"/>
      <c r="BF533" s="82"/>
      <c r="BG533" s="4"/>
      <c r="BH533" s="4"/>
      <c r="BI533" s="4"/>
      <c r="BJ533" s="4"/>
    </row>
    <row r="534" spans="1:62" ht="12.75" x14ac:dyDescent="0.2">
      <c r="A534" s="63"/>
      <c r="B534" s="85"/>
      <c r="C534" s="4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4"/>
      <c r="P534" s="4"/>
      <c r="Q534" s="4"/>
      <c r="R534" s="4"/>
      <c r="S534" s="4"/>
      <c r="T534" s="4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4"/>
      <c r="AG534" s="3"/>
      <c r="AH534" s="82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82"/>
      <c r="BC534" s="82"/>
      <c r="BD534" s="82"/>
      <c r="BE534" s="82"/>
      <c r="BF534" s="82"/>
      <c r="BG534" s="4"/>
      <c r="BH534" s="4"/>
      <c r="BI534" s="4"/>
      <c r="BJ534" s="4"/>
    </row>
    <row r="535" spans="1:62" ht="12.75" x14ac:dyDescent="0.2">
      <c r="A535" s="63"/>
      <c r="B535" s="85"/>
      <c r="C535" s="4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4"/>
      <c r="P535" s="4"/>
      <c r="Q535" s="4"/>
      <c r="R535" s="4"/>
      <c r="S535" s="4"/>
      <c r="T535" s="4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4"/>
      <c r="AG535" s="3"/>
      <c r="AH535" s="82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82"/>
      <c r="BC535" s="82"/>
      <c r="BD535" s="82"/>
      <c r="BE535" s="82"/>
      <c r="BF535" s="82"/>
      <c r="BG535" s="4"/>
      <c r="BH535" s="4"/>
      <c r="BI535" s="4"/>
      <c r="BJ535" s="4"/>
    </row>
    <row r="536" spans="1:62" ht="12.75" x14ac:dyDescent="0.2">
      <c r="A536" s="63"/>
      <c r="B536" s="85"/>
      <c r="C536" s="4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4"/>
      <c r="P536" s="4"/>
      <c r="Q536" s="4"/>
      <c r="R536" s="4"/>
      <c r="S536" s="4"/>
      <c r="T536" s="4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4"/>
      <c r="AG536" s="3"/>
      <c r="AH536" s="82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82"/>
      <c r="BC536" s="82"/>
      <c r="BD536" s="82"/>
      <c r="BE536" s="82"/>
      <c r="BF536" s="82"/>
      <c r="BG536" s="4"/>
      <c r="BH536" s="4"/>
      <c r="BI536" s="4"/>
      <c r="BJ536" s="4"/>
    </row>
    <row r="537" spans="1:62" ht="12.75" x14ac:dyDescent="0.2">
      <c r="A537" s="63"/>
      <c r="B537" s="85"/>
      <c r="C537" s="4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4"/>
      <c r="P537" s="4"/>
      <c r="Q537" s="4"/>
      <c r="R537" s="4"/>
      <c r="S537" s="4"/>
      <c r="T537" s="4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4"/>
      <c r="AG537" s="3"/>
      <c r="AH537" s="82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82"/>
      <c r="BC537" s="82"/>
      <c r="BD537" s="82"/>
      <c r="BE537" s="82"/>
      <c r="BF537" s="82"/>
      <c r="BG537" s="4"/>
      <c r="BH537" s="4"/>
      <c r="BI537" s="4"/>
      <c r="BJ537" s="4"/>
    </row>
    <row r="538" spans="1:62" ht="12.75" x14ac:dyDescent="0.2">
      <c r="A538" s="63"/>
      <c r="B538" s="85"/>
      <c r="C538" s="4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4"/>
      <c r="P538" s="4"/>
      <c r="Q538" s="4"/>
      <c r="R538" s="4"/>
      <c r="S538" s="4"/>
      <c r="T538" s="4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4"/>
      <c r="AG538" s="3"/>
      <c r="AH538" s="82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82"/>
      <c r="BC538" s="82"/>
      <c r="BD538" s="82"/>
      <c r="BE538" s="82"/>
      <c r="BF538" s="82"/>
      <c r="BG538" s="4"/>
      <c r="BH538" s="4"/>
      <c r="BI538" s="4"/>
      <c r="BJ538" s="4"/>
    </row>
    <row r="539" spans="1:62" ht="12.75" x14ac:dyDescent="0.2">
      <c r="A539" s="63"/>
      <c r="B539" s="85"/>
      <c r="C539" s="4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4"/>
      <c r="P539" s="4"/>
      <c r="Q539" s="4"/>
      <c r="R539" s="4"/>
      <c r="S539" s="4"/>
      <c r="T539" s="4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4"/>
      <c r="AG539" s="3"/>
      <c r="AH539" s="82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82"/>
      <c r="BC539" s="82"/>
      <c r="BD539" s="82"/>
      <c r="BE539" s="82"/>
      <c r="BF539" s="82"/>
      <c r="BG539" s="4"/>
      <c r="BH539" s="4"/>
      <c r="BI539" s="4"/>
      <c r="BJ539" s="4"/>
    </row>
    <row r="540" spans="1:62" ht="12.75" x14ac:dyDescent="0.2">
      <c r="A540" s="63"/>
      <c r="B540" s="85"/>
      <c r="C540" s="4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4"/>
      <c r="P540" s="4"/>
      <c r="Q540" s="4"/>
      <c r="R540" s="4"/>
      <c r="S540" s="4"/>
      <c r="T540" s="4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4"/>
      <c r="AG540" s="3"/>
      <c r="AH540" s="82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82"/>
      <c r="BC540" s="82"/>
      <c r="BD540" s="82"/>
      <c r="BE540" s="82"/>
      <c r="BF540" s="82"/>
      <c r="BG540" s="4"/>
      <c r="BH540" s="4"/>
      <c r="BI540" s="4"/>
      <c r="BJ540" s="4"/>
    </row>
    <row r="541" spans="1:62" ht="12.75" x14ac:dyDescent="0.2">
      <c r="A541" s="63"/>
      <c r="B541" s="85"/>
      <c r="C541" s="4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4"/>
      <c r="P541" s="4"/>
      <c r="Q541" s="4"/>
      <c r="R541" s="4"/>
      <c r="S541" s="4"/>
      <c r="T541" s="4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4"/>
      <c r="AG541" s="3"/>
      <c r="AH541" s="82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82"/>
      <c r="BC541" s="82"/>
      <c r="BD541" s="82"/>
      <c r="BE541" s="82"/>
      <c r="BF541" s="82"/>
      <c r="BG541" s="4"/>
      <c r="BH541" s="4"/>
      <c r="BI541" s="4"/>
      <c r="BJ541" s="4"/>
    </row>
    <row r="542" spans="1:62" ht="12.75" x14ac:dyDescent="0.2">
      <c r="A542" s="63"/>
      <c r="B542" s="85"/>
      <c r="C542" s="4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4"/>
      <c r="P542" s="4"/>
      <c r="Q542" s="4"/>
      <c r="R542" s="4"/>
      <c r="S542" s="4"/>
      <c r="T542" s="4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4"/>
      <c r="AG542" s="3"/>
      <c r="AH542" s="82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82"/>
      <c r="BC542" s="82"/>
      <c r="BD542" s="82"/>
      <c r="BE542" s="82"/>
      <c r="BF542" s="82"/>
      <c r="BG542" s="4"/>
      <c r="BH542" s="4"/>
      <c r="BI542" s="4"/>
      <c r="BJ542" s="4"/>
    </row>
    <row r="543" spans="1:62" ht="12.75" x14ac:dyDescent="0.2">
      <c r="A543" s="63"/>
      <c r="B543" s="85"/>
      <c r="C543" s="4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4"/>
      <c r="P543" s="4"/>
      <c r="Q543" s="4"/>
      <c r="R543" s="4"/>
      <c r="S543" s="4"/>
      <c r="T543" s="4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4"/>
      <c r="AG543" s="3"/>
      <c r="AH543" s="82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82"/>
      <c r="BC543" s="82"/>
      <c r="BD543" s="82"/>
      <c r="BE543" s="82"/>
      <c r="BF543" s="82"/>
      <c r="BG543" s="4"/>
      <c r="BH543" s="4"/>
      <c r="BI543" s="4"/>
      <c r="BJ543" s="4"/>
    </row>
    <row r="544" spans="1:62" ht="12.75" x14ac:dyDescent="0.2">
      <c r="A544" s="63"/>
      <c r="B544" s="85"/>
      <c r="C544" s="4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4"/>
      <c r="P544" s="4"/>
      <c r="Q544" s="4"/>
      <c r="R544" s="4"/>
      <c r="S544" s="4"/>
      <c r="T544" s="4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4"/>
      <c r="AG544" s="3"/>
      <c r="AH544" s="82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82"/>
      <c r="BC544" s="82"/>
      <c r="BD544" s="82"/>
      <c r="BE544" s="82"/>
      <c r="BF544" s="82"/>
      <c r="BG544" s="4"/>
      <c r="BH544" s="4"/>
      <c r="BI544" s="4"/>
      <c r="BJ544" s="4"/>
    </row>
    <row r="545" spans="1:62" ht="12.75" x14ac:dyDescent="0.2">
      <c r="A545" s="63"/>
      <c r="B545" s="85"/>
      <c r="C545" s="4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4"/>
      <c r="P545" s="4"/>
      <c r="Q545" s="4"/>
      <c r="R545" s="4"/>
      <c r="S545" s="4"/>
      <c r="T545" s="4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4"/>
      <c r="AG545" s="3"/>
      <c r="AH545" s="82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82"/>
      <c r="BC545" s="82"/>
      <c r="BD545" s="82"/>
      <c r="BE545" s="82"/>
      <c r="BF545" s="82"/>
      <c r="BG545" s="4"/>
      <c r="BH545" s="4"/>
      <c r="BI545" s="4"/>
      <c r="BJ545" s="4"/>
    </row>
    <row r="546" spans="1:62" ht="12.75" x14ac:dyDescent="0.2">
      <c r="A546" s="63"/>
      <c r="B546" s="85"/>
      <c r="C546" s="4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4"/>
      <c r="P546" s="4"/>
      <c r="Q546" s="4"/>
      <c r="R546" s="4"/>
      <c r="S546" s="4"/>
      <c r="T546" s="4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4"/>
      <c r="AG546" s="3"/>
      <c r="AH546" s="82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82"/>
      <c r="BC546" s="82"/>
      <c r="BD546" s="82"/>
      <c r="BE546" s="82"/>
      <c r="BF546" s="82"/>
      <c r="BG546" s="4"/>
      <c r="BH546" s="4"/>
      <c r="BI546" s="4"/>
      <c r="BJ546" s="4"/>
    </row>
    <row r="547" spans="1:62" ht="12.75" x14ac:dyDescent="0.2">
      <c r="A547" s="63"/>
      <c r="B547" s="85"/>
      <c r="C547" s="4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4"/>
      <c r="P547" s="4"/>
      <c r="Q547" s="4"/>
      <c r="R547" s="4"/>
      <c r="S547" s="4"/>
      <c r="T547" s="4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4"/>
      <c r="AG547" s="3"/>
      <c r="AH547" s="82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82"/>
      <c r="BC547" s="82"/>
      <c r="BD547" s="82"/>
      <c r="BE547" s="82"/>
      <c r="BF547" s="82"/>
      <c r="BG547" s="4"/>
      <c r="BH547" s="4"/>
      <c r="BI547" s="4"/>
      <c r="BJ547" s="4"/>
    </row>
    <row r="548" spans="1:62" ht="12.75" x14ac:dyDescent="0.2">
      <c r="A548" s="63"/>
      <c r="B548" s="85"/>
      <c r="C548" s="4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4"/>
      <c r="P548" s="4"/>
      <c r="Q548" s="4"/>
      <c r="R548" s="4"/>
      <c r="S548" s="4"/>
      <c r="T548" s="4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4"/>
      <c r="AG548" s="3"/>
      <c r="AH548" s="82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82"/>
      <c r="BC548" s="82"/>
      <c r="BD548" s="82"/>
      <c r="BE548" s="82"/>
      <c r="BF548" s="82"/>
      <c r="BG548" s="4"/>
      <c r="BH548" s="4"/>
      <c r="BI548" s="4"/>
      <c r="BJ548" s="4"/>
    </row>
    <row r="549" spans="1:62" ht="12.75" x14ac:dyDescent="0.2">
      <c r="A549" s="63"/>
      <c r="B549" s="85"/>
      <c r="C549" s="4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4"/>
      <c r="P549" s="4"/>
      <c r="Q549" s="4"/>
      <c r="R549" s="4"/>
      <c r="S549" s="4"/>
      <c r="T549" s="4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4"/>
      <c r="AG549" s="3"/>
      <c r="AH549" s="82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82"/>
      <c r="BC549" s="82"/>
      <c r="BD549" s="82"/>
      <c r="BE549" s="82"/>
      <c r="BF549" s="82"/>
      <c r="BG549" s="4"/>
      <c r="BH549" s="4"/>
      <c r="BI549" s="4"/>
      <c r="BJ549" s="4"/>
    </row>
    <row r="550" spans="1:62" ht="12.75" x14ac:dyDescent="0.2">
      <c r="A550" s="63"/>
      <c r="B550" s="85"/>
      <c r="C550" s="4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4"/>
      <c r="P550" s="4"/>
      <c r="Q550" s="4"/>
      <c r="R550" s="4"/>
      <c r="S550" s="4"/>
      <c r="T550" s="4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4"/>
      <c r="AG550" s="3"/>
      <c r="AH550" s="82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82"/>
      <c r="BC550" s="82"/>
      <c r="BD550" s="82"/>
      <c r="BE550" s="82"/>
      <c r="BF550" s="82"/>
      <c r="BG550" s="4"/>
      <c r="BH550" s="4"/>
      <c r="BI550" s="4"/>
      <c r="BJ550" s="4"/>
    </row>
    <row r="551" spans="1:62" ht="12.75" x14ac:dyDescent="0.2">
      <c r="A551" s="63"/>
      <c r="B551" s="85"/>
      <c r="C551" s="4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4"/>
      <c r="P551" s="4"/>
      <c r="Q551" s="4"/>
      <c r="R551" s="4"/>
      <c r="S551" s="4"/>
      <c r="T551" s="4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4"/>
      <c r="AG551" s="3"/>
      <c r="AH551" s="82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82"/>
      <c r="BC551" s="82"/>
      <c r="BD551" s="82"/>
      <c r="BE551" s="82"/>
      <c r="BF551" s="82"/>
      <c r="BG551" s="4"/>
      <c r="BH551" s="4"/>
      <c r="BI551" s="4"/>
      <c r="BJ551" s="4"/>
    </row>
    <row r="552" spans="1:62" ht="12.75" x14ac:dyDescent="0.2">
      <c r="A552" s="63"/>
      <c r="B552" s="85"/>
      <c r="C552" s="4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4"/>
      <c r="P552" s="4"/>
      <c r="Q552" s="4"/>
      <c r="R552" s="4"/>
      <c r="S552" s="4"/>
      <c r="T552" s="4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4"/>
      <c r="AG552" s="3"/>
      <c r="AH552" s="82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82"/>
      <c r="BC552" s="82"/>
      <c r="BD552" s="82"/>
      <c r="BE552" s="82"/>
      <c r="BF552" s="82"/>
      <c r="BG552" s="4"/>
      <c r="BH552" s="4"/>
      <c r="BI552" s="4"/>
      <c r="BJ552" s="4"/>
    </row>
    <row r="553" spans="1:62" ht="12.75" x14ac:dyDescent="0.2">
      <c r="A553" s="63"/>
      <c r="B553" s="85"/>
      <c r="C553" s="4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4"/>
      <c r="P553" s="4"/>
      <c r="Q553" s="4"/>
      <c r="R553" s="4"/>
      <c r="S553" s="4"/>
      <c r="T553" s="4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4"/>
      <c r="AG553" s="3"/>
      <c r="AH553" s="82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82"/>
      <c r="BC553" s="82"/>
      <c r="BD553" s="82"/>
      <c r="BE553" s="82"/>
      <c r="BF553" s="82"/>
      <c r="BG553" s="4"/>
      <c r="BH553" s="4"/>
      <c r="BI553" s="4"/>
      <c r="BJ553" s="4"/>
    </row>
    <row r="554" spans="1:62" ht="12.75" x14ac:dyDescent="0.2">
      <c r="A554" s="63"/>
      <c r="B554" s="85"/>
      <c r="C554" s="4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4"/>
      <c r="P554" s="4"/>
      <c r="Q554" s="4"/>
      <c r="R554" s="4"/>
      <c r="S554" s="4"/>
      <c r="T554" s="4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4"/>
      <c r="AG554" s="3"/>
      <c r="AH554" s="82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82"/>
      <c r="BC554" s="82"/>
      <c r="BD554" s="82"/>
      <c r="BE554" s="82"/>
      <c r="BF554" s="82"/>
      <c r="BG554" s="4"/>
      <c r="BH554" s="4"/>
      <c r="BI554" s="4"/>
      <c r="BJ554" s="4"/>
    </row>
    <row r="555" spans="1:62" ht="12.75" x14ac:dyDescent="0.2">
      <c r="A555" s="63"/>
      <c r="B555" s="85"/>
      <c r="C555" s="4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4"/>
      <c r="P555" s="4"/>
      <c r="Q555" s="4"/>
      <c r="R555" s="4"/>
      <c r="S555" s="4"/>
      <c r="T555" s="4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4"/>
      <c r="AG555" s="3"/>
      <c r="AH555" s="82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82"/>
      <c r="BC555" s="82"/>
      <c r="BD555" s="82"/>
      <c r="BE555" s="82"/>
      <c r="BF555" s="82"/>
      <c r="BG555" s="4"/>
      <c r="BH555" s="4"/>
      <c r="BI555" s="4"/>
      <c r="BJ555" s="4"/>
    </row>
    <row r="556" spans="1:62" ht="12.75" x14ac:dyDescent="0.2">
      <c r="A556" s="63"/>
      <c r="B556" s="85"/>
      <c r="C556" s="4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4"/>
      <c r="P556" s="4"/>
      <c r="Q556" s="4"/>
      <c r="R556" s="4"/>
      <c r="S556" s="4"/>
      <c r="T556" s="4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4"/>
      <c r="AG556" s="3"/>
      <c r="AH556" s="82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82"/>
      <c r="BC556" s="82"/>
      <c r="BD556" s="82"/>
      <c r="BE556" s="82"/>
      <c r="BF556" s="82"/>
      <c r="BG556" s="4"/>
      <c r="BH556" s="4"/>
      <c r="BI556" s="4"/>
      <c r="BJ556" s="4"/>
    </row>
    <row r="557" spans="1:62" ht="12.75" x14ac:dyDescent="0.2">
      <c r="A557" s="63"/>
      <c r="B557" s="85"/>
      <c r="C557" s="4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4"/>
      <c r="P557" s="4"/>
      <c r="Q557" s="4"/>
      <c r="R557" s="4"/>
      <c r="S557" s="4"/>
      <c r="T557" s="4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4"/>
      <c r="AG557" s="3"/>
      <c r="AH557" s="82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82"/>
      <c r="BC557" s="82"/>
      <c r="BD557" s="82"/>
      <c r="BE557" s="82"/>
      <c r="BF557" s="82"/>
      <c r="BG557" s="4"/>
      <c r="BH557" s="4"/>
      <c r="BI557" s="4"/>
      <c r="BJ557" s="4"/>
    </row>
    <row r="558" spans="1:62" ht="12.75" x14ac:dyDescent="0.2">
      <c r="A558" s="63"/>
      <c r="B558" s="85"/>
      <c r="C558" s="4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4"/>
      <c r="P558" s="4"/>
      <c r="Q558" s="4"/>
      <c r="R558" s="4"/>
      <c r="S558" s="4"/>
      <c r="T558" s="4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4"/>
      <c r="AG558" s="3"/>
      <c r="AH558" s="82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82"/>
      <c r="BC558" s="82"/>
      <c r="BD558" s="82"/>
      <c r="BE558" s="82"/>
      <c r="BF558" s="82"/>
      <c r="BG558" s="4"/>
      <c r="BH558" s="4"/>
      <c r="BI558" s="4"/>
      <c r="BJ558" s="4"/>
    </row>
    <row r="559" spans="1:62" ht="12.75" x14ac:dyDescent="0.2">
      <c r="A559" s="63"/>
      <c r="B559" s="85"/>
      <c r="C559" s="4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4"/>
      <c r="P559" s="4"/>
      <c r="Q559" s="4"/>
      <c r="R559" s="4"/>
      <c r="S559" s="4"/>
      <c r="T559" s="4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4"/>
      <c r="AG559" s="3"/>
      <c r="AH559" s="82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82"/>
      <c r="BC559" s="82"/>
      <c r="BD559" s="82"/>
      <c r="BE559" s="82"/>
      <c r="BF559" s="82"/>
      <c r="BG559" s="4"/>
      <c r="BH559" s="4"/>
      <c r="BI559" s="4"/>
      <c r="BJ559" s="4"/>
    </row>
    <row r="560" spans="1:62" ht="12.75" x14ac:dyDescent="0.2">
      <c r="A560" s="63"/>
      <c r="B560" s="85"/>
      <c r="C560" s="4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4"/>
      <c r="P560" s="4"/>
      <c r="Q560" s="4"/>
      <c r="R560" s="4"/>
      <c r="S560" s="4"/>
      <c r="T560" s="4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4"/>
      <c r="AG560" s="3"/>
      <c r="AH560" s="82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82"/>
      <c r="BC560" s="82"/>
      <c r="BD560" s="82"/>
      <c r="BE560" s="82"/>
      <c r="BF560" s="82"/>
      <c r="BG560" s="4"/>
      <c r="BH560" s="4"/>
      <c r="BI560" s="4"/>
      <c r="BJ560" s="4"/>
    </row>
    <row r="561" spans="1:62" ht="12.75" x14ac:dyDescent="0.2">
      <c r="A561" s="63"/>
      <c r="B561" s="85"/>
      <c r="C561" s="4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4"/>
      <c r="P561" s="4"/>
      <c r="Q561" s="4"/>
      <c r="R561" s="4"/>
      <c r="S561" s="4"/>
      <c r="T561" s="4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4"/>
      <c r="AG561" s="3"/>
      <c r="AH561" s="82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82"/>
      <c r="BC561" s="82"/>
      <c r="BD561" s="82"/>
      <c r="BE561" s="82"/>
      <c r="BF561" s="82"/>
      <c r="BG561" s="4"/>
      <c r="BH561" s="4"/>
      <c r="BI561" s="4"/>
      <c r="BJ561" s="4"/>
    </row>
    <row r="562" spans="1:62" ht="12.75" x14ac:dyDescent="0.2">
      <c r="A562" s="63"/>
      <c r="B562" s="85"/>
      <c r="C562" s="4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4"/>
      <c r="P562" s="4"/>
      <c r="Q562" s="4"/>
      <c r="R562" s="4"/>
      <c r="S562" s="4"/>
      <c r="T562" s="4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4"/>
      <c r="AG562" s="3"/>
      <c r="AH562" s="82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82"/>
      <c r="BC562" s="82"/>
      <c r="BD562" s="82"/>
      <c r="BE562" s="82"/>
      <c r="BF562" s="82"/>
      <c r="BG562" s="4"/>
      <c r="BH562" s="4"/>
      <c r="BI562" s="4"/>
      <c r="BJ562" s="4"/>
    </row>
    <row r="563" spans="1:62" ht="12.75" x14ac:dyDescent="0.2">
      <c r="A563" s="63"/>
      <c r="B563" s="85"/>
      <c r="C563" s="4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4"/>
      <c r="P563" s="4"/>
      <c r="Q563" s="4"/>
      <c r="R563" s="4"/>
      <c r="S563" s="4"/>
      <c r="T563" s="4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4"/>
      <c r="AG563" s="3"/>
      <c r="AH563" s="82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82"/>
      <c r="BC563" s="82"/>
      <c r="BD563" s="82"/>
      <c r="BE563" s="82"/>
      <c r="BF563" s="82"/>
      <c r="BG563" s="4"/>
      <c r="BH563" s="4"/>
      <c r="BI563" s="4"/>
      <c r="BJ563" s="4"/>
    </row>
    <row r="564" spans="1:62" ht="12.75" x14ac:dyDescent="0.2">
      <c r="A564" s="63"/>
      <c r="B564" s="85"/>
      <c r="C564" s="4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4"/>
      <c r="P564" s="4"/>
      <c r="Q564" s="4"/>
      <c r="R564" s="4"/>
      <c r="S564" s="4"/>
      <c r="T564" s="4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4"/>
      <c r="AG564" s="3"/>
      <c r="AH564" s="82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82"/>
      <c r="BC564" s="82"/>
      <c r="BD564" s="82"/>
      <c r="BE564" s="82"/>
      <c r="BF564" s="82"/>
      <c r="BG564" s="4"/>
      <c r="BH564" s="4"/>
      <c r="BI564" s="4"/>
      <c r="BJ564" s="4"/>
    </row>
    <row r="565" spans="1:62" ht="12.75" x14ac:dyDescent="0.2">
      <c r="A565" s="63"/>
      <c r="B565" s="85"/>
      <c r="C565" s="4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4"/>
      <c r="P565" s="4"/>
      <c r="Q565" s="4"/>
      <c r="R565" s="4"/>
      <c r="S565" s="4"/>
      <c r="T565" s="4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4"/>
      <c r="AG565" s="3"/>
      <c r="AH565" s="82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82"/>
      <c r="BC565" s="82"/>
      <c r="BD565" s="82"/>
      <c r="BE565" s="82"/>
      <c r="BF565" s="82"/>
      <c r="BG565" s="4"/>
      <c r="BH565" s="4"/>
      <c r="BI565" s="4"/>
      <c r="BJ565" s="4"/>
    </row>
    <row r="566" spans="1:62" ht="12.75" x14ac:dyDescent="0.2">
      <c r="A566" s="63"/>
      <c r="B566" s="85"/>
      <c r="C566" s="4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4"/>
      <c r="P566" s="4"/>
      <c r="Q566" s="4"/>
      <c r="R566" s="4"/>
      <c r="S566" s="4"/>
      <c r="T566" s="4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4"/>
      <c r="AG566" s="3"/>
      <c r="AH566" s="82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82"/>
      <c r="BC566" s="82"/>
      <c r="BD566" s="82"/>
      <c r="BE566" s="82"/>
      <c r="BF566" s="82"/>
      <c r="BG566" s="4"/>
      <c r="BH566" s="4"/>
      <c r="BI566" s="4"/>
      <c r="BJ566" s="4"/>
    </row>
    <row r="567" spans="1:62" ht="12.75" x14ac:dyDescent="0.2">
      <c r="A567" s="63"/>
      <c r="B567" s="85"/>
      <c r="C567" s="4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4"/>
      <c r="P567" s="4"/>
      <c r="Q567" s="4"/>
      <c r="R567" s="4"/>
      <c r="S567" s="4"/>
      <c r="T567" s="4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4"/>
      <c r="AG567" s="3"/>
      <c r="AH567" s="82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82"/>
      <c r="BC567" s="82"/>
      <c r="BD567" s="82"/>
      <c r="BE567" s="82"/>
      <c r="BF567" s="82"/>
      <c r="BG567" s="4"/>
      <c r="BH567" s="4"/>
      <c r="BI567" s="4"/>
      <c r="BJ567" s="4"/>
    </row>
    <row r="568" spans="1:62" ht="12.75" x14ac:dyDescent="0.2">
      <c r="A568" s="63"/>
      <c r="B568" s="85"/>
      <c r="C568" s="4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4"/>
      <c r="P568" s="4"/>
      <c r="Q568" s="4"/>
      <c r="R568" s="4"/>
      <c r="S568" s="4"/>
      <c r="T568" s="4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4"/>
      <c r="AG568" s="3"/>
      <c r="AH568" s="82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82"/>
      <c r="BC568" s="82"/>
      <c r="BD568" s="82"/>
      <c r="BE568" s="82"/>
      <c r="BF568" s="82"/>
      <c r="BG568" s="4"/>
      <c r="BH568" s="4"/>
      <c r="BI568" s="4"/>
      <c r="BJ568" s="4"/>
    </row>
    <row r="569" spans="1:62" ht="12.75" x14ac:dyDescent="0.2">
      <c r="A569" s="63"/>
      <c r="B569" s="85"/>
      <c r="C569" s="4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4"/>
      <c r="P569" s="4"/>
      <c r="Q569" s="4"/>
      <c r="R569" s="4"/>
      <c r="S569" s="4"/>
      <c r="T569" s="4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4"/>
      <c r="AG569" s="3"/>
      <c r="AH569" s="82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82"/>
      <c r="BC569" s="82"/>
      <c r="BD569" s="82"/>
      <c r="BE569" s="82"/>
      <c r="BF569" s="82"/>
      <c r="BG569" s="4"/>
      <c r="BH569" s="4"/>
      <c r="BI569" s="4"/>
      <c r="BJ569" s="4"/>
    </row>
    <row r="570" spans="1:62" ht="12.75" x14ac:dyDescent="0.2">
      <c r="A570" s="63"/>
      <c r="B570" s="85"/>
      <c r="C570" s="4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4"/>
      <c r="P570" s="4"/>
      <c r="Q570" s="4"/>
      <c r="R570" s="4"/>
      <c r="S570" s="4"/>
      <c r="T570" s="4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4"/>
      <c r="AG570" s="3"/>
      <c r="AH570" s="82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82"/>
      <c r="BC570" s="82"/>
      <c r="BD570" s="82"/>
      <c r="BE570" s="82"/>
      <c r="BF570" s="82"/>
      <c r="BG570" s="4"/>
      <c r="BH570" s="4"/>
      <c r="BI570" s="4"/>
      <c r="BJ570" s="4"/>
    </row>
    <row r="571" spans="1:62" ht="12.75" x14ac:dyDescent="0.2">
      <c r="A571" s="63"/>
      <c r="B571" s="85"/>
      <c r="C571" s="4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4"/>
      <c r="P571" s="4"/>
      <c r="Q571" s="4"/>
      <c r="R571" s="4"/>
      <c r="S571" s="4"/>
      <c r="T571" s="4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4"/>
      <c r="AG571" s="3"/>
      <c r="AH571" s="82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82"/>
      <c r="BC571" s="82"/>
      <c r="BD571" s="82"/>
      <c r="BE571" s="82"/>
      <c r="BF571" s="82"/>
      <c r="BG571" s="4"/>
      <c r="BH571" s="4"/>
      <c r="BI571" s="4"/>
      <c r="BJ571" s="4"/>
    </row>
    <row r="572" spans="1:62" ht="12.75" x14ac:dyDescent="0.2">
      <c r="A572" s="63"/>
      <c r="B572" s="85"/>
      <c r="C572" s="4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4"/>
      <c r="P572" s="4"/>
      <c r="Q572" s="4"/>
      <c r="R572" s="4"/>
      <c r="S572" s="4"/>
      <c r="T572" s="4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4"/>
      <c r="AG572" s="3"/>
      <c r="AH572" s="82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82"/>
      <c r="BC572" s="82"/>
      <c r="BD572" s="82"/>
      <c r="BE572" s="82"/>
      <c r="BF572" s="82"/>
      <c r="BG572" s="4"/>
      <c r="BH572" s="4"/>
      <c r="BI572" s="4"/>
      <c r="BJ572" s="4"/>
    </row>
    <row r="573" spans="1:62" ht="12.75" x14ac:dyDescent="0.2">
      <c r="A573" s="63"/>
      <c r="B573" s="85"/>
      <c r="C573" s="4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4"/>
      <c r="P573" s="4"/>
      <c r="Q573" s="4"/>
      <c r="R573" s="4"/>
      <c r="S573" s="4"/>
      <c r="T573" s="4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4"/>
      <c r="AG573" s="3"/>
      <c r="AH573" s="82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82"/>
      <c r="BC573" s="82"/>
      <c r="BD573" s="82"/>
      <c r="BE573" s="82"/>
      <c r="BF573" s="82"/>
      <c r="BG573" s="4"/>
      <c r="BH573" s="4"/>
      <c r="BI573" s="4"/>
      <c r="BJ573" s="4"/>
    </row>
    <row r="574" spans="1:62" ht="12.75" x14ac:dyDescent="0.2">
      <c r="A574" s="63"/>
      <c r="B574" s="85"/>
      <c r="C574" s="4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4"/>
      <c r="P574" s="4"/>
      <c r="Q574" s="4"/>
      <c r="R574" s="4"/>
      <c r="S574" s="4"/>
      <c r="T574" s="4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4"/>
      <c r="AG574" s="3"/>
      <c r="AH574" s="82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82"/>
      <c r="BC574" s="82"/>
      <c r="BD574" s="82"/>
      <c r="BE574" s="82"/>
      <c r="BF574" s="82"/>
      <c r="BG574" s="4"/>
      <c r="BH574" s="4"/>
      <c r="BI574" s="4"/>
      <c r="BJ574" s="4"/>
    </row>
    <row r="575" spans="1:62" ht="12.75" x14ac:dyDescent="0.2">
      <c r="A575" s="63"/>
      <c r="B575" s="85"/>
      <c r="C575" s="4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4"/>
      <c r="P575" s="4"/>
      <c r="Q575" s="4"/>
      <c r="R575" s="4"/>
      <c r="S575" s="4"/>
      <c r="T575" s="4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4"/>
      <c r="AG575" s="3"/>
      <c r="AH575" s="82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82"/>
      <c r="BC575" s="82"/>
      <c r="BD575" s="82"/>
      <c r="BE575" s="82"/>
      <c r="BF575" s="82"/>
      <c r="BG575" s="4"/>
      <c r="BH575" s="4"/>
      <c r="BI575" s="4"/>
      <c r="BJ575" s="4"/>
    </row>
    <row r="576" spans="1:62" ht="12.75" x14ac:dyDescent="0.2">
      <c r="A576" s="63"/>
      <c r="B576" s="85"/>
      <c r="C576" s="4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4"/>
      <c r="P576" s="4"/>
      <c r="Q576" s="4"/>
      <c r="R576" s="4"/>
      <c r="S576" s="4"/>
      <c r="T576" s="4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4"/>
      <c r="AG576" s="3"/>
      <c r="AH576" s="82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82"/>
      <c r="BC576" s="82"/>
      <c r="BD576" s="82"/>
      <c r="BE576" s="82"/>
      <c r="BF576" s="82"/>
      <c r="BG576" s="4"/>
      <c r="BH576" s="4"/>
      <c r="BI576" s="4"/>
      <c r="BJ576" s="4"/>
    </row>
    <row r="577" spans="1:62" ht="12.75" x14ac:dyDescent="0.2">
      <c r="A577" s="63"/>
      <c r="B577" s="85"/>
      <c r="C577" s="4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4"/>
      <c r="P577" s="4"/>
      <c r="Q577" s="4"/>
      <c r="R577" s="4"/>
      <c r="S577" s="4"/>
      <c r="T577" s="4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4"/>
      <c r="AG577" s="3"/>
      <c r="AH577" s="82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82"/>
      <c r="BC577" s="82"/>
      <c r="BD577" s="82"/>
      <c r="BE577" s="82"/>
      <c r="BF577" s="82"/>
      <c r="BG577" s="4"/>
      <c r="BH577" s="4"/>
      <c r="BI577" s="4"/>
      <c r="BJ577" s="4"/>
    </row>
    <row r="578" spans="1:62" ht="12.75" x14ac:dyDescent="0.2">
      <c r="A578" s="63"/>
      <c r="B578" s="85"/>
      <c r="C578" s="4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4"/>
      <c r="P578" s="4"/>
      <c r="Q578" s="4"/>
      <c r="R578" s="4"/>
      <c r="S578" s="4"/>
      <c r="T578" s="4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4"/>
      <c r="AG578" s="3"/>
      <c r="AH578" s="82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82"/>
      <c r="BC578" s="82"/>
      <c r="BD578" s="82"/>
      <c r="BE578" s="82"/>
      <c r="BF578" s="82"/>
      <c r="BG578" s="4"/>
      <c r="BH578" s="4"/>
      <c r="BI578" s="4"/>
      <c r="BJ578" s="4"/>
    </row>
    <row r="579" spans="1:62" ht="12.75" x14ac:dyDescent="0.2">
      <c r="A579" s="63"/>
      <c r="B579" s="85"/>
      <c r="C579" s="4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4"/>
      <c r="P579" s="4"/>
      <c r="Q579" s="4"/>
      <c r="R579" s="4"/>
      <c r="S579" s="4"/>
      <c r="T579" s="4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4"/>
      <c r="AG579" s="3"/>
      <c r="AH579" s="82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82"/>
      <c r="BC579" s="82"/>
      <c r="BD579" s="82"/>
      <c r="BE579" s="82"/>
      <c r="BF579" s="82"/>
      <c r="BG579" s="4"/>
      <c r="BH579" s="4"/>
      <c r="BI579" s="4"/>
      <c r="BJ579" s="4"/>
    </row>
    <row r="580" spans="1:62" ht="12.75" x14ac:dyDescent="0.2">
      <c r="A580" s="63"/>
      <c r="B580" s="85"/>
      <c r="C580" s="4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4"/>
      <c r="P580" s="4"/>
      <c r="Q580" s="4"/>
      <c r="R580" s="4"/>
      <c r="S580" s="4"/>
      <c r="T580" s="4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4"/>
      <c r="AG580" s="3"/>
      <c r="AH580" s="82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82"/>
      <c r="BC580" s="82"/>
      <c r="BD580" s="82"/>
      <c r="BE580" s="82"/>
      <c r="BF580" s="82"/>
      <c r="BG580" s="4"/>
      <c r="BH580" s="4"/>
      <c r="BI580" s="4"/>
      <c r="BJ580" s="4"/>
    </row>
    <row r="581" spans="1:62" ht="12.75" x14ac:dyDescent="0.2">
      <c r="A581" s="63"/>
      <c r="B581" s="85"/>
      <c r="C581" s="4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4"/>
      <c r="P581" s="4"/>
      <c r="Q581" s="4"/>
      <c r="R581" s="4"/>
      <c r="S581" s="4"/>
      <c r="T581" s="4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4"/>
      <c r="AG581" s="3"/>
      <c r="AH581" s="82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82"/>
      <c r="BC581" s="82"/>
      <c r="BD581" s="82"/>
      <c r="BE581" s="82"/>
      <c r="BF581" s="82"/>
      <c r="BG581" s="4"/>
      <c r="BH581" s="4"/>
      <c r="BI581" s="4"/>
      <c r="BJ581" s="4"/>
    </row>
    <row r="582" spans="1:62" ht="12.75" x14ac:dyDescent="0.2">
      <c r="A582" s="63"/>
      <c r="B582" s="85"/>
      <c r="C582" s="4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4"/>
      <c r="P582" s="4"/>
      <c r="Q582" s="4"/>
      <c r="R582" s="4"/>
      <c r="S582" s="4"/>
      <c r="T582" s="4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4"/>
      <c r="AG582" s="3"/>
      <c r="AH582" s="82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82"/>
      <c r="BC582" s="82"/>
      <c r="BD582" s="82"/>
      <c r="BE582" s="82"/>
      <c r="BF582" s="82"/>
      <c r="BG582" s="4"/>
      <c r="BH582" s="4"/>
      <c r="BI582" s="4"/>
      <c r="BJ582" s="4"/>
    </row>
    <row r="583" spans="1:62" ht="12.75" x14ac:dyDescent="0.2">
      <c r="A583" s="63"/>
      <c r="B583" s="85"/>
      <c r="C583" s="4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4"/>
      <c r="P583" s="4"/>
      <c r="Q583" s="4"/>
      <c r="R583" s="4"/>
      <c r="S583" s="4"/>
      <c r="T583" s="4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4"/>
      <c r="AG583" s="3"/>
      <c r="AH583" s="82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82"/>
      <c r="BC583" s="82"/>
      <c r="BD583" s="82"/>
      <c r="BE583" s="82"/>
      <c r="BF583" s="82"/>
      <c r="BG583" s="4"/>
      <c r="BH583" s="4"/>
      <c r="BI583" s="4"/>
      <c r="BJ583" s="4"/>
    </row>
    <row r="584" spans="1:62" ht="12.75" x14ac:dyDescent="0.2">
      <c r="A584" s="63"/>
      <c r="B584" s="85"/>
      <c r="C584" s="4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4"/>
      <c r="P584" s="4"/>
      <c r="Q584" s="4"/>
      <c r="R584" s="4"/>
      <c r="S584" s="4"/>
      <c r="T584" s="4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4"/>
      <c r="AG584" s="3"/>
      <c r="AH584" s="82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82"/>
      <c r="BC584" s="82"/>
      <c r="BD584" s="82"/>
      <c r="BE584" s="82"/>
      <c r="BF584" s="82"/>
      <c r="BG584" s="4"/>
      <c r="BH584" s="4"/>
      <c r="BI584" s="4"/>
      <c r="BJ584" s="4"/>
    </row>
    <row r="585" spans="1:62" ht="12.75" x14ac:dyDescent="0.2">
      <c r="A585" s="63"/>
      <c r="B585" s="85"/>
      <c r="C585" s="4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4"/>
      <c r="P585" s="4"/>
      <c r="Q585" s="4"/>
      <c r="R585" s="4"/>
      <c r="S585" s="4"/>
      <c r="T585" s="4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4"/>
      <c r="AG585" s="3"/>
      <c r="AH585" s="82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82"/>
      <c r="BC585" s="82"/>
      <c r="BD585" s="82"/>
      <c r="BE585" s="82"/>
      <c r="BF585" s="82"/>
      <c r="BG585" s="4"/>
      <c r="BH585" s="4"/>
      <c r="BI585" s="4"/>
      <c r="BJ585" s="4"/>
    </row>
    <row r="586" spans="1:62" ht="12.75" x14ac:dyDescent="0.2">
      <c r="A586" s="63"/>
      <c r="B586" s="85"/>
      <c r="C586" s="4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4"/>
      <c r="P586" s="4"/>
      <c r="Q586" s="4"/>
      <c r="R586" s="4"/>
      <c r="S586" s="4"/>
      <c r="T586" s="4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4"/>
      <c r="AG586" s="3"/>
      <c r="AH586" s="82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82"/>
      <c r="BC586" s="82"/>
      <c r="BD586" s="82"/>
      <c r="BE586" s="82"/>
      <c r="BF586" s="82"/>
      <c r="BG586" s="4"/>
      <c r="BH586" s="4"/>
      <c r="BI586" s="4"/>
      <c r="BJ586" s="4"/>
    </row>
    <row r="587" spans="1:62" ht="12.75" x14ac:dyDescent="0.2">
      <c r="A587" s="63"/>
      <c r="B587" s="85"/>
      <c r="C587" s="4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4"/>
      <c r="P587" s="4"/>
      <c r="Q587" s="4"/>
      <c r="R587" s="4"/>
      <c r="S587" s="4"/>
      <c r="T587" s="4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4"/>
      <c r="AG587" s="3"/>
      <c r="AH587" s="82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82"/>
      <c r="BC587" s="82"/>
      <c r="BD587" s="82"/>
      <c r="BE587" s="82"/>
      <c r="BF587" s="82"/>
      <c r="BG587" s="4"/>
      <c r="BH587" s="4"/>
      <c r="BI587" s="4"/>
      <c r="BJ587" s="4"/>
    </row>
    <row r="588" spans="1:62" ht="12.75" x14ac:dyDescent="0.2">
      <c r="A588" s="63"/>
      <c r="B588" s="85"/>
      <c r="C588" s="4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4"/>
      <c r="P588" s="4"/>
      <c r="Q588" s="4"/>
      <c r="R588" s="4"/>
      <c r="S588" s="4"/>
      <c r="T588" s="4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4"/>
      <c r="AG588" s="3"/>
      <c r="AH588" s="82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82"/>
      <c r="BC588" s="82"/>
      <c r="BD588" s="82"/>
      <c r="BE588" s="82"/>
      <c r="BF588" s="82"/>
      <c r="BG588" s="4"/>
      <c r="BH588" s="4"/>
      <c r="BI588" s="4"/>
      <c r="BJ588" s="4"/>
    </row>
    <row r="589" spans="1:62" ht="12.75" x14ac:dyDescent="0.2">
      <c r="A589" s="63"/>
      <c r="B589" s="85"/>
      <c r="C589" s="4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4"/>
      <c r="P589" s="4"/>
      <c r="Q589" s="4"/>
      <c r="R589" s="4"/>
      <c r="S589" s="4"/>
      <c r="T589" s="4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4"/>
      <c r="AG589" s="3"/>
      <c r="AH589" s="82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82"/>
      <c r="BC589" s="82"/>
      <c r="BD589" s="82"/>
      <c r="BE589" s="82"/>
      <c r="BF589" s="82"/>
      <c r="BG589" s="4"/>
      <c r="BH589" s="4"/>
      <c r="BI589" s="4"/>
      <c r="BJ589" s="4"/>
    </row>
    <row r="590" spans="1:62" ht="12.75" x14ac:dyDescent="0.2">
      <c r="A590" s="63"/>
      <c r="B590" s="85"/>
      <c r="C590" s="4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4"/>
      <c r="P590" s="4"/>
      <c r="Q590" s="4"/>
      <c r="R590" s="4"/>
      <c r="S590" s="4"/>
      <c r="T590" s="4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4"/>
      <c r="AG590" s="3"/>
      <c r="AH590" s="82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82"/>
      <c r="BC590" s="82"/>
      <c r="BD590" s="82"/>
      <c r="BE590" s="82"/>
      <c r="BF590" s="82"/>
      <c r="BG590" s="4"/>
      <c r="BH590" s="4"/>
      <c r="BI590" s="4"/>
      <c r="BJ590" s="4"/>
    </row>
    <row r="591" spans="1:62" ht="12.75" x14ac:dyDescent="0.2">
      <c r="A591" s="63"/>
      <c r="B591" s="85"/>
      <c r="C591" s="4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4"/>
      <c r="P591" s="4"/>
      <c r="Q591" s="4"/>
      <c r="R591" s="4"/>
      <c r="S591" s="4"/>
      <c r="T591" s="4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4"/>
      <c r="AG591" s="3"/>
      <c r="AH591" s="82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82"/>
      <c r="BC591" s="82"/>
      <c r="BD591" s="82"/>
      <c r="BE591" s="82"/>
      <c r="BF591" s="82"/>
      <c r="BG591" s="4"/>
      <c r="BH591" s="4"/>
      <c r="BI591" s="4"/>
      <c r="BJ591" s="4"/>
    </row>
    <row r="592" spans="1:62" ht="12.75" x14ac:dyDescent="0.2">
      <c r="A592" s="63"/>
      <c r="B592" s="85"/>
      <c r="C592" s="4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4"/>
      <c r="P592" s="4"/>
      <c r="Q592" s="4"/>
      <c r="R592" s="4"/>
      <c r="S592" s="4"/>
      <c r="T592" s="4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4"/>
      <c r="AG592" s="3"/>
      <c r="AH592" s="82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82"/>
      <c r="BC592" s="82"/>
      <c r="BD592" s="82"/>
      <c r="BE592" s="82"/>
      <c r="BF592" s="82"/>
      <c r="BG592" s="4"/>
      <c r="BH592" s="4"/>
      <c r="BI592" s="4"/>
      <c r="BJ592" s="4"/>
    </row>
    <row r="593" spans="1:62" ht="12.75" x14ac:dyDescent="0.2">
      <c r="A593" s="63"/>
      <c r="B593" s="85"/>
      <c r="C593" s="4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4"/>
      <c r="P593" s="4"/>
      <c r="Q593" s="4"/>
      <c r="R593" s="4"/>
      <c r="S593" s="4"/>
      <c r="T593" s="4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4"/>
      <c r="AG593" s="3"/>
      <c r="AH593" s="82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82"/>
      <c r="BC593" s="82"/>
      <c r="BD593" s="82"/>
      <c r="BE593" s="82"/>
      <c r="BF593" s="82"/>
      <c r="BG593" s="4"/>
      <c r="BH593" s="4"/>
      <c r="BI593" s="4"/>
      <c r="BJ593" s="4"/>
    </row>
    <row r="594" spans="1:62" ht="12.75" x14ac:dyDescent="0.2">
      <c r="A594" s="63"/>
      <c r="B594" s="85"/>
      <c r="C594" s="4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4"/>
      <c r="P594" s="4"/>
      <c r="Q594" s="4"/>
      <c r="R594" s="4"/>
      <c r="S594" s="4"/>
      <c r="T594" s="4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4"/>
      <c r="AG594" s="3"/>
      <c r="AH594" s="82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82"/>
      <c r="BC594" s="82"/>
      <c r="BD594" s="82"/>
      <c r="BE594" s="82"/>
      <c r="BF594" s="82"/>
      <c r="BG594" s="4"/>
      <c r="BH594" s="4"/>
      <c r="BI594" s="4"/>
      <c r="BJ594" s="4"/>
    </row>
    <row r="595" spans="1:62" ht="12.75" x14ac:dyDescent="0.2">
      <c r="A595" s="63"/>
      <c r="B595" s="85"/>
      <c r="C595" s="4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4"/>
      <c r="P595" s="4"/>
      <c r="Q595" s="4"/>
      <c r="R595" s="4"/>
      <c r="S595" s="4"/>
      <c r="T595" s="4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4"/>
      <c r="AG595" s="3"/>
      <c r="AH595" s="82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82"/>
      <c r="BC595" s="82"/>
      <c r="BD595" s="82"/>
      <c r="BE595" s="82"/>
      <c r="BF595" s="82"/>
      <c r="BG595" s="4"/>
      <c r="BH595" s="4"/>
      <c r="BI595" s="4"/>
      <c r="BJ595" s="4"/>
    </row>
    <row r="596" spans="1:62" ht="12.75" x14ac:dyDescent="0.2">
      <c r="A596" s="63"/>
      <c r="B596" s="85"/>
      <c r="C596" s="4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4"/>
      <c r="P596" s="4"/>
      <c r="Q596" s="4"/>
      <c r="R596" s="4"/>
      <c r="S596" s="4"/>
      <c r="T596" s="4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4"/>
      <c r="AG596" s="3"/>
      <c r="AH596" s="82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82"/>
      <c r="BC596" s="82"/>
      <c r="BD596" s="82"/>
      <c r="BE596" s="82"/>
      <c r="BF596" s="82"/>
      <c r="BG596" s="4"/>
      <c r="BH596" s="4"/>
      <c r="BI596" s="4"/>
      <c r="BJ596" s="4"/>
    </row>
    <row r="597" spans="1:62" ht="12.75" x14ac:dyDescent="0.2">
      <c r="A597" s="63"/>
      <c r="B597" s="85"/>
      <c r="C597" s="4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4"/>
      <c r="P597" s="4"/>
      <c r="Q597" s="4"/>
      <c r="R597" s="4"/>
      <c r="S597" s="4"/>
      <c r="T597" s="4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4"/>
      <c r="AG597" s="3"/>
      <c r="AH597" s="82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82"/>
      <c r="BC597" s="82"/>
      <c r="BD597" s="82"/>
      <c r="BE597" s="82"/>
      <c r="BF597" s="82"/>
      <c r="BG597" s="4"/>
      <c r="BH597" s="4"/>
      <c r="BI597" s="4"/>
      <c r="BJ597" s="4"/>
    </row>
    <row r="598" spans="1:62" ht="12.75" x14ac:dyDescent="0.2">
      <c r="A598" s="63"/>
      <c r="B598" s="85"/>
      <c r="C598" s="4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4"/>
      <c r="P598" s="4"/>
      <c r="Q598" s="4"/>
      <c r="R598" s="4"/>
      <c r="S598" s="4"/>
      <c r="T598" s="4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4"/>
      <c r="AG598" s="3"/>
      <c r="AH598" s="82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82"/>
      <c r="BC598" s="82"/>
      <c r="BD598" s="82"/>
      <c r="BE598" s="82"/>
      <c r="BF598" s="82"/>
      <c r="BG598" s="4"/>
      <c r="BH598" s="4"/>
      <c r="BI598" s="4"/>
      <c r="BJ598" s="4"/>
    </row>
    <row r="599" spans="1:62" ht="12.75" x14ac:dyDescent="0.2">
      <c r="A599" s="63"/>
      <c r="B599" s="85"/>
      <c r="C599" s="4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4"/>
      <c r="P599" s="4"/>
      <c r="Q599" s="4"/>
      <c r="R599" s="4"/>
      <c r="S599" s="4"/>
      <c r="T599" s="4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4"/>
      <c r="AG599" s="3"/>
      <c r="AH599" s="82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82"/>
      <c r="BC599" s="82"/>
      <c r="BD599" s="82"/>
      <c r="BE599" s="82"/>
      <c r="BF599" s="82"/>
      <c r="BG599" s="4"/>
      <c r="BH599" s="4"/>
      <c r="BI599" s="4"/>
      <c r="BJ599" s="4"/>
    </row>
    <row r="600" spans="1:62" ht="12.75" x14ac:dyDescent="0.2">
      <c r="A600" s="63"/>
      <c r="B600" s="85"/>
      <c r="C600" s="4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4"/>
      <c r="P600" s="4"/>
      <c r="Q600" s="4"/>
      <c r="R600" s="4"/>
      <c r="S600" s="4"/>
      <c r="T600" s="4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4"/>
      <c r="AG600" s="3"/>
      <c r="AH600" s="82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82"/>
      <c r="BC600" s="82"/>
      <c r="BD600" s="82"/>
      <c r="BE600" s="82"/>
      <c r="BF600" s="82"/>
      <c r="BG600" s="4"/>
      <c r="BH600" s="4"/>
      <c r="BI600" s="4"/>
      <c r="BJ600" s="4"/>
    </row>
    <row r="601" spans="1:62" ht="12.75" x14ac:dyDescent="0.2">
      <c r="A601" s="63"/>
      <c r="B601" s="85"/>
      <c r="C601" s="4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4"/>
      <c r="P601" s="4"/>
      <c r="Q601" s="4"/>
      <c r="R601" s="4"/>
      <c r="S601" s="4"/>
      <c r="T601" s="4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4"/>
      <c r="AG601" s="3"/>
      <c r="AH601" s="82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82"/>
      <c r="BC601" s="82"/>
      <c r="BD601" s="82"/>
      <c r="BE601" s="82"/>
      <c r="BF601" s="82"/>
      <c r="BG601" s="4"/>
      <c r="BH601" s="4"/>
      <c r="BI601" s="4"/>
      <c r="BJ601" s="4"/>
    </row>
    <row r="602" spans="1:62" ht="12.75" x14ac:dyDescent="0.2">
      <c r="A602" s="63"/>
      <c r="B602" s="85"/>
      <c r="C602" s="4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4"/>
      <c r="P602" s="4"/>
      <c r="Q602" s="4"/>
      <c r="R602" s="4"/>
      <c r="S602" s="4"/>
      <c r="T602" s="4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4"/>
      <c r="AG602" s="3"/>
      <c r="AH602" s="82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82"/>
      <c r="BC602" s="82"/>
      <c r="BD602" s="82"/>
      <c r="BE602" s="82"/>
      <c r="BF602" s="82"/>
      <c r="BG602" s="4"/>
      <c r="BH602" s="4"/>
      <c r="BI602" s="4"/>
      <c r="BJ602" s="4"/>
    </row>
    <row r="603" spans="1:62" ht="12.75" x14ac:dyDescent="0.2">
      <c r="A603" s="63"/>
      <c r="B603" s="85"/>
      <c r="C603" s="4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4"/>
      <c r="P603" s="4"/>
      <c r="Q603" s="4"/>
      <c r="R603" s="4"/>
      <c r="S603" s="4"/>
      <c r="T603" s="4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4"/>
      <c r="AG603" s="3"/>
      <c r="AH603" s="82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82"/>
      <c r="BC603" s="82"/>
      <c r="BD603" s="82"/>
      <c r="BE603" s="82"/>
      <c r="BF603" s="82"/>
      <c r="BG603" s="4"/>
      <c r="BH603" s="4"/>
      <c r="BI603" s="4"/>
      <c r="BJ603" s="4"/>
    </row>
    <row r="604" spans="1:62" ht="12.75" x14ac:dyDescent="0.2">
      <c r="A604" s="63"/>
      <c r="B604" s="85"/>
      <c r="C604" s="4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4"/>
      <c r="P604" s="4"/>
      <c r="Q604" s="4"/>
      <c r="R604" s="4"/>
      <c r="S604" s="4"/>
      <c r="T604" s="4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4"/>
      <c r="AG604" s="3"/>
      <c r="AH604" s="82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82"/>
      <c r="BC604" s="82"/>
      <c r="BD604" s="82"/>
      <c r="BE604" s="82"/>
      <c r="BF604" s="82"/>
      <c r="BG604" s="4"/>
      <c r="BH604" s="4"/>
      <c r="BI604" s="4"/>
      <c r="BJ604" s="4"/>
    </row>
    <row r="605" spans="1:62" ht="12.75" x14ac:dyDescent="0.2">
      <c r="A605" s="63"/>
      <c r="B605" s="85"/>
      <c r="C605" s="4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4"/>
      <c r="P605" s="4"/>
      <c r="Q605" s="4"/>
      <c r="R605" s="4"/>
      <c r="S605" s="4"/>
      <c r="T605" s="4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4"/>
      <c r="AG605" s="3"/>
      <c r="AH605" s="82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82"/>
      <c r="BC605" s="82"/>
      <c r="BD605" s="82"/>
      <c r="BE605" s="82"/>
      <c r="BF605" s="82"/>
      <c r="BG605" s="4"/>
      <c r="BH605" s="4"/>
      <c r="BI605" s="4"/>
      <c r="BJ605" s="4"/>
    </row>
    <row r="606" spans="1:62" ht="12.75" x14ac:dyDescent="0.2">
      <c r="A606" s="63"/>
      <c r="B606" s="85"/>
      <c r="C606" s="4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4"/>
      <c r="P606" s="4"/>
      <c r="Q606" s="4"/>
      <c r="R606" s="4"/>
      <c r="S606" s="4"/>
      <c r="T606" s="4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4"/>
      <c r="AG606" s="3"/>
      <c r="AH606" s="82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82"/>
      <c r="BC606" s="82"/>
      <c r="BD606" s="82"/>
      <c r="BE606" s="82"/>
      <c r="BF606" s="82"/>
      <c r="BG606" s="4"/>
      <c r="BH606" s="4"/>
      <c r="BI606" s="4"/>
      <c r="BJ606" s="4"/>
    </row>
    <row r="607" spans="1:62" ht="12.75" x14ac:dyDescent="0.2">
      <c r="A607" s="63"/>
      <c r="B607" s="85"/>
      <c r="C607" s="4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4"/>
      <c r="P607" s="4"/>
      <c r="Q607" s="4"/>
      <c r="R607" s="4"/>
      <c r="S607" s="4"/>
      <c r="T607" s="4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4"/>
      <c r="AG607" s="3"/>
      <c r="AH607" s="82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82"/>
      <c r="BC607" s="82"/>
      <c r="BD607" s="82"/>
      <c r="BE607" s="82"/>
      <c r="BF607" s="82"/>
      <c r="BG607" s="4"/>
      <c r="BH607" s="4"/>
      <c r="BI607" s="4"/>
      <c r="BJ607" s="4"/>
    </row>
    <row r="608" spans="1:62" ht="12.75" x14ac:dyDescent="0.2">
      <c r="A608" s="63"/>
      <c r="B608" s="85"/>
      <c r="C608" s="4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4"/>
      <c r="P608" s="4"/>
      <c r="Q608" s="4"/>
      <c r="R608" s="4"/>
      <c r="S608" s="4"/>
      <c r="T608" s="4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4"/>
      <c r="AG608" s="3"/>
      <c r="AH608" s="82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82"/>
      <c r="BC608" s="82"/>
      <c r="BD608" s="82"/>
      <c r="BE608" s="82"/>
      <c r="BF608" s="82"/>
      <c r="BG608" s="4"/>
      <c r="BH608" s="4"/>
      <c r="BI608" s="4"/>
      <c r="BJ608" s="4"/>
    </row>
    <row r="609" spans="1:62" ht="12.75" x14ac:dyDescent="0.2">
      <c r="A609" s="63"/>
      <c r="B609" s="85"/>
      <c r="C609" s="4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4"/>
      <c r="P609" s="4"/>
      <c r="Q609" s="4"/>
      <c r="R609" s="4"/>
      <c r="S609" s="4"/>
      <c r="T609" s="4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4"/>
      <c r="AG609" s="3"/>
      <c r="AH609" s="82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82"/>
      <c r="BC609" s="82"/>
      <c r="BD609" s="82"/>
      <c r="BE609" s="82"/>
      <c r="BF609" s="82"/>
      <c r="BG609" s="4"/>
      <c r="BH609" s="4"/>
      <c r="BI609" s="4"/>
      <c r="BJ609" s="4"/>
    </row>
    <row r="610" spans="1:62" ht="12.75" x14ac:dyDescent="0.2">
      <c r="A610" s="63"/>
      <c r="B610" s="85"/>
      <c r="C610" s="4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4"/>
      <c r="P610" s="4"/>
      <c r="Q610" s="4"/>
      <c r="R610" s="4"/>
      <c r="S610" s="4"/>
      <c r="T610" s="4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4"/>
      <c r="AG610" s="3"/>
      <c r="AH610" s="82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82"/>
      <c r="BC610" s="82"/>
      <c r="BD610" s="82"/>
      <c r="BE610" s="82"/>
      <c r="BF610" s="82"/>
      <c r="BG610" s="4"/>
      <c r="BH610" s="4"/>
      <c r="BI610" s="4"/>
      <c r="BJ610" s="4"/>
    </row>
    <row r="611" spans="1:62" ht="12.75" x14ac:dyDescent="0.2">
      <c r="A611" s="63"/>
      <c r="B611" s="85"/>
      <c r="C611" s="4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4"/>
      <c r="P611" s="4"/>
      <c r="Q611" s="4"/>
      <c r="R611" s="4"/>
      <c r="S611" s="4"/>
      <c r="T611" s="4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4"/>
      <c r="AG611" s="3"/>
      <c r="AH611" s="82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82"/>
      <c r="BC611" s="82"/>
      <c r="BD611" s="82"/>
      <c r="BE611" s="82"/>
      <c r="BF611" s="82"/>
      <c r="BG611" s="4"/>
      <c r="BH611" s="4"/>
      <c r="BI611" s="4"/>
      <c r="BJ611" s="4"/>
    </row>
    <row r="612" spans="1:62" ht="12.75" x14ac:dyDescent="0.2">
      <c r="A612" s="63"/>
      <c r="B612" s="85"/>
      <c r="C612" s="4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4"/>
      <c r="P612" s="4"/>
      <c r="Q612" s="4"/>
      <c r="R612" s="4"/>
      <c r="S612" s="4"/>
      <c r="T612" s="4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4"/>
      <c r="AG612" s="3"/>
      <c r="AH612" s="82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82"/>
      <c r="BC612" s="82"/>
      <c r="BD612" s="82"/>
      <c r="BE612" s="82"/>
      <c r="BF612" s="82"/>
      <c r="BG612" s="4"/>
      <c r="BH612" s="4"/>
      <c r="BI612" s="4"/>
      <c r="BJ612" s="4"/>
    </row>
    <row r="613" spans="1:62" ht="12.75" x14ac:dyDescent="0.2">
      <c r="A613" s="63"/>
      <c r="B613" s="85"/>
      <c r="C613" s="4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4"/>
      <c r="P613" s="4"/>
      <c r="Q613" s="4"/>
      <c r="R613" s="4"/>
      <c r="S613" s="4"/>
      <c r="T613" s="4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4"/>
      <c r="AG613" s="3"/>
      <c r="AH613" s="82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82"/>
      <c r="BC613" s="82"/>
      <c r="BD613" s="82"/>
      <c r="BE613" s="82"/>
      <c r="BF613" s="82"/>
      <c r="BG613" s="4"/>
      <c r="BH613" s="4"/>
      <c r="BI613" s="4"/>
      <c r="BJ613" s="4"/>
    </row>
    <row r="614" spans="1:62" ht="12.75" x14ac:dyDescent="0.2">
      <c r="A614" s="63"/>
      <c r="B614" s="85"/>
      <c r="C614" s="4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4"/>
      <c r="P614" s="4"/>
      <c r="Q614" s="4"/>
      <c r="R614" s="4"/>
      <c r="S614" s="4"/>
      <c r="T614" s="4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4"/>
      <c r="AG614" s="3"/>
      <c r="AH614" s="82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82"/>
      <c r="BC614" s="82"/>
      <c r="BD614" s="82"/>
      <c r="BE614" s="82"/>
      <c r="BF614" s="82"/>
      <c r="BG614" s="4"/>
      <c r="BH614" s="4"/>
      <c r="BI614" s="4"/>
      <c r="BJ614" s="4"/>
    </row>
    <row r="615" spans="1:62" ht="12.75" x14ac:dyDescent="0.2">
      <c r="A615" s="63"/>
      <c r="B615" s="85"/>
      <c r="C615" s="4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4"/>
      <c r="P615" s="4"/>
      <c r="Q615" s="4"/>
      <c r="R615" s="4"/>
      <c r="S615" s="4"/>
      <c r="T615" s="4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4"/>
      <c r="AG615" s="3"/>
      <c r="AH615" s="82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82"/>
      <c r="BC615" s="82"/>
      <c r="BD615" s="82"/>
      <c r="BE615" s="82"/>
      <c r="BF615" s="82"/>
      <c r="BG615" s="4"/>
      <c r="BH615" s="4"/>
      <c r="BI615" s="4"/>
      <c r="BJ615" s="4"/>
    </row>
    <row r="616" spans="1:62" ht="12.75" x14ac:dyDescent="0.2">
      <c r="A616" s="63"/>
      <c r="B616" s="85"/>
      <c r="C616" s="4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4"/>
      <c r="P616" s="4"/>
      <c r="Q616" s="4"/>
      <c r="R616" s="4"/>
      <c r="S616" s="4"/>
      <c r="T616" s="4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4"/>
      <c r="AG616" s="3"/>
      <c r="AH616" s="82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82"/>
      <c r="BC616" s="82"/>
      <c r="BD616" s="82"/>
      <c r="BE616" s="82"/>
      <c r="BF616" s="82"/>
      <c r="BG616" s="4"/>
      <c r="BH616" s="4"/>
      <c r="BI616" s="4"/>
      <c r="BJ616" s="4"/>
    </row>
    <row r="617" spans="1:62" ht="12.75" x14ac:dyDescent="0.2">
      <c r="A617" s="63"/>
      <c r="B617" s="85"/>
      <c r="C617" s="4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4"/>
      <c r="P617" s="4"/>
      <c r="Q617" s="4"/>
      <c r="R617" s="4"/>
      <c r="S617" s="4"/>
      <c r="T617" s="4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4"/>
      <c r="AG617" s="3"/>
      <c r="AH617" s="82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82"/>
      <c r="BC617" s="82"/>
      <c r="BD617" s="82"/>
      <c r="BE617" s="82"/>
      <c r="BF617" s="82"/>
      <c r="BG617" s="4"/>
      <c r="BH617" s="4"/>
      <c r="BI617" s="4"/>
      <c r="BJ617" s="4"/>
    </row>
    <row r="618" spans="1:62" ht="12.75" x14ac:dyDescent="0.2">
      <c r="A618" s="63"/>
      <c r="B618" s="85"/>
      <c r="C618" s="4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4"/>
      <c r="P618" s="4"/>
      <c r="Q618" s="4"/>
      <c r="R618" s="4"/>
      <c r="S618" s="4"/>
      <c r="T618" s="4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4"/>
      <c r="AG618" s="3"/>
      <c r="AH618" s="82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82"/>
      <c r="BC618" s="82"/>
      <c r="BD618" s="82"/>
      <c r="BE618" s="82"/>
      <c r="BF618" s="82"/>
      <c r="BG618" s="4"/>
      <c r="BH618" s="4"/>
      <c r="BI618" s="4"/>
      <c r="BJ618" s="4"/>
    </row>
    <row r="619" spans="1:62" ht="12.75" x14ac:dyDescent="0.2">
      <c r="A619" s="63"/>
      <c r="B619" s="85"/>
      <c r="C619" s="4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4"/>
      <c r="P619" s="4"/>
      <c r="Q619" s="4"/>
      <c r="R619" s="4"/>
      <c r="S619" s="4"/>
      <c r="T619" s="4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4"/>
      <c r="AG619" s="3"/>
      <c r="AH619" s="82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82"/>
      <c r="BC619" s="82"/>
      <c r="BD619" s="82"/>
      <c r="BE619" s="82"/>
      <c r="BF619" s="82"/>
      <c r="BG619" s="4"/>
      <c r="BH619" s="4"/>
      <c r="BI619" s="4"/>
      <c r="BJ619" s="4"/>
    </row>
    <row r="620" spans="1:62" ht="12.75" x14ac:dyDescent="0.2">
      <c r="A620" s="63"/>
      <c r="B620" s="85"/>
      <c r="C620" s="4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4"/>
      <c r="P620" s="4"/>
      <c r="Q620" s="4"/>
      <c r="R620" s="4"/>
      <c r="S620" s="4"/>
      <c r="T620" s="4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4"/>
      <c r="AG620" s="3"/>
      <c r="AH620" s="82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82"/>
      <c r="BC620" s="82"/>
      <c r="BD620" s="82"/>
      <c r="BE620" s="82"/>
      <c r="BF620" s="82"/>
      <c r="BG620" s="4"/>
      <c r="BH620" s="4"/>
      <c r="BI620" s="4"/>
      <c r="BJ620" s="4"/>
    </row>
    <row r="621" spans="1:62" ht="12.75" x14ac:dyDescent="0.2">
      <c r="A621" s="63"/>
      <c r="B621" s="85"/>
      <c r="C621" s="4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4"/>
      <c r="P621" s="4"/>
      <c r="Q621" s="4"/>
      <c r="R621" s="4"/>
      <c r="S621" s="4"/>
      <c r="T621" s="4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4"/>
      <c r="AG621" s="3"/>
      <c r="AH621" s="82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82"/>
      <c r="BC621" s="82"/>
      <c r="BD621" s="82"/>
      <c r="BE621" s="82"/>
      <c r="BF621" s="82"/>
      <c r="BG621" s="4"/>
      <c r="BH621" s="4"/>
      <c r="BI621" s="4"/>
      <c r="BJ621" s="4"/>
    </row>
    <row r="622" spans="1:62" ht="12.75" x14ac:dyDescent="0.2">
      <c r="A622" s="63"/>
      <c r="B622" s="85"/>
      <c r="C622" s="4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4"/>
      <c r="P622" s="4"/>
      <c r="Q622" s="4"/>
      <c r="R622" s="4"/>
      <c r="S622" s="4"/>
      <c r="T622" s="4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4"/>
      <c r="AG622" s="3"/>
      <c r="AH622" s="82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82"/>
      <c r="BC622" s="82"/>
      <c r="BD622" s="82"/>
      <c r="BE622" s="82"/>
      <c r="BF622" s="82"/>
      <c r="BG622" s="4"/>
      <c r="BH622" s="4"/>
      <c r="BI622" s="4"/>
      <c r="BJ622" s="4"/>
    </row>
    <row r="623" spans="1:62" ht="12.75" x14ac:dyDescent="0.2">
      <c r="A623" s="63"/>
      <c r="B623" s="85"/>
      <c r="C623" s="4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4"/>
      <c r="P623" s="4"/>
      <c r="Q623" s="4"/>
      <c r="R623" s="4"/>
      <c r="S623" s="4"/>
      <c r="T623" s="4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4"/>
      <c r="AG623" s="3"/>
      <c r="AH623" s="82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82"/>
      <c r="BC623" s="82"/>
      <c r="BD623" s="82"/>
      <c r="BE623" s="82"/>
      <c r="BF623" s="82"/>
      <c r="BG623" s="4"/>
      <c r="BH623" s="4"/>
      <c r="BI623" s="4"/>
      <c r="BJ623" s="4"/>
    </row>
    <row r="624" spans="1:62" ht="12.75" x14ac:dyDescent="0.2">
      <c r="A624" s="63"/>
      <c r="B624" s="85"/>
      <c r="C624" s="4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4"/>
      <c r="P624" s="4"/>
      <c r="Q624" s="4"/>
      <c r="R624" s="4"/>
      <c r="S624" s="4"/>
      <c r="T624" s="4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4"/>
      <c r="AG624" s="3"/>
      <c r="AH624" s="82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82"/>
      <c r="BC624" s="82"/>
      <c r="BD624" s="82"/>
      <c r="BE624" s="82"/>
      <c r="BF624" s="82"/>
      <c r="BG624" s="4"/>
      <c r="BH624" s="4"/>
      <c r="BI624" s="4"/>
      <c r="BJ624" s="4"/>
    </row>
    <row r="625" spans="1:62" ht="12.75" x14ac:dyDescent="0.2">
      <c r="A625" s="63"/>
      <c r="B625" s="85"/>
      <c r="C625" s="4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4"/>
      <c r="P625" s="4"/>
      <c r="Q625" s="4"/>
      <c r="R625" s="4"/>
      <c r="S625" s="4"/>
      <c r="T625" s="4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4"/>
      <c r="AG625" s="3"/>
      <c r="AH625" s="82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82"/>
      <c r="BC625" s="82"/>
      <c r="BD625" s="82"/>
      <c r="BE625" s="82"/>
      <c r="BF625" s="82"/>
      <c r="BG625" s="4"/>
      <c r="BH625" s="4"/>
      <c r="BI625" s="4"/>
      <c r="BJ625" s="4"/>
    </row>
    <row r="626" spans="1:62" ht="12.75" x14ac:dyDescent="0.2">
      <c r="A626" s="63"/>
      <c r="B626" s="85"/>
      <c r="C626" s="4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4"/>
      <c r="P626" s="4"/>
      <c r="Q626" s="4"/>
      <c r="R626" s="4"/>
      <c r="S626" s="4"/>
      <c r="T626" s="4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4"/>
      <c r="AG626" s="3"/>
      <c r="AH626" s="82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82"/>
      <c r="BC626" s="82"/>
      <c r="BD626" s="82"/>
      <c r="BE626" s="82"/>
      <c r="BF626" s="82"/>
      <c r="BG626" s="4"/>
      <c r="BH626" s="4"/>
      <c r="BI626" s="4"/>
      <c r="BJ626" s="4"/>
    </row>
    <row r="627" spans="1:62" ht="12.75" x14ac:dyDescent="0.2">
      <c r="A627" s="63"/>
      <c r="B627" s="85"/>
      <c r="C627" s="4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4"/>
      <c r="P627" s="4"/>
      <c r="Q627" s="4"/>
      <c r="R627" s="4"/>
      <c r="S627" s="4"/>
      <c r="T627" s="4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4"/>
      <c r="AG627" s="3"/>
      <c r="AH627" s="82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82"/>
      <c r="BC627" s="82"/>
      <c r="BD627" s="82"/>
      <c r="BE627" s="82"/>
      <c r="BF627" s="82"/>
      <c r="BG627" s="4"/>
      <c r="BH627" s="4"/>
      <c r="BI627" s="4"/>
      <c r="BJ627" s="4"/>
    </row>
    <row r="628" spans="1:62" ht="12.75" x14ac:dyDescent="0.2">
      <c r="A628" s="63"/>
      <c r="B628" s="85"/>
      <c r="C628" s="4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4"/>
      <c r="P628" s="4"/>
      <c r="Q628" s="4"/>
      <c r="R628" s="4"/>
      <c r="S628" s="4"/>
      <c r="T628" s="4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4"/>
      <c r="AG628" s="3"/>
      <c r="AH628" s="82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82"/>
      <c r="BC628" s="82"/>
      <c r="BD628" s="82"/>
      <c r="BE628" s="82"/>
      <c r="BF628" s="82"/>
      <c r="BG628" s="4"/>
      <c r="BH628" s="4"/>
      <c r="BI628" s="4"/>
      <c r="BJ628" s="4"/>
    </row>
    <row r="629" spans="1:62" ht="12.75" x14ac:dyDescent="0.2">
      <c r="A629" s="63"/>
      <c r="B629" s="85"/>
      <c r="C629" s="4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4"/>
      <c r="P629" s="4"/>
      <c r="Q629" s="4"/>
      <c r="R629" s="4"/>
      <c r="S629" s="4"/>
      <c r="T629" s="4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4"/>
      <c r="AG629" s="3"/>
      <c r="AH629" s="82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82"/>
      <c r="BC629" s="82"/>
      <c r="BD629" s="82"/>
      <c r="BE629" s="82"/>
      <c r="BF629" s="82"/>
      <c r="BG629" s="4"/>
      <c r="BH629" s="4"/>
      <c r="BI629" s="4"/>
      <c r="BJ629" s="4"/>
    </row>
    <row r="630" spans="1:62" ht="12.75" x14ac:dyDescent="0.2">
      <c r="A630" s="63"/>
      <c r="B630" s="85"/>
      <c r="C630" s="4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4"/>
      <c r="P630" s="4"/>
      <c r="Q630" s="4"/>
      <c r="R630" s="4"/>
      <c r="S630" s="4"/>
      <c r="T630" s="4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4"/>
      <c r="AG630" s="3"/>
      <c r="AH630" s="82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82"/>
      <c r="BC630" s="82"/>
      <c r="BD630" s="82"/>
      <c r="BE630" s="82"/>
      <c r="BF630" s="82"/>
      <c r="BG630" s="4"/>
      <c r="BH630" s="4"/>
      <c r="BI630" s="4"/>
      <c r="BJ630" s="4"/>
    </row>
    <row r="631" spans="1:62" ht="12.75" x14ac:dyDescent="0.2">
      <c r="A631" s="63"/>
      <c r="B631" s="85"/>
      <c r="C631" s="4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4"/>
      <c r="P631" s="4"/>
      <c r="Q631" s="4"/>
      <c r="R631" s="4"/>
      <c r="S631" s="4"/>
      <c r="T631" s="4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4"/>
      <c r="AG631" s="3"/>
      <c r="AH631" s="82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82"/>
      <c r="BC631" s="82"/>
      <c r="BD631" s="82"/>
      <c r="BE631" s="82"/>
      <c r="BF631" s="82"/>
      <c r="BG631" s="4"/>
      <c r="BH631" s="4"/>
      <c r="BI631" s="4"/>
      <c r="BJ631" s="4"/>
    </row>
    <row r="632" spans="1:62" ht="12.75" x14ac:dyDescent="0.2">
      <c r="A632" s="63"/>
      <c r="B632" s="85"/>
      <c r="C632" s="4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4"/>
      <c r="P632" s="4"/>
      <c r="Q632" s="4"/>
      <c r="R632" s="4"/>
      <c r="S632" s="4"/>
      <c r="T632" s="4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4"/>
      <c r="AG632" s="3"/>
      <c r="AH632" s="82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82"/>
      <c r="BC632" s="82"/>
      <c r="BD632" s="82"/>
      <c r="BE632" s="82"/>
      <c r="BF632" s="82"/>
      <c r="BG632" s="4"/>
      <c r="BH632" s="4"/>
      <c r="BI632" s="4"/>
      <c r="BJ632" s="4"/>
    </row>
    <row r="633" spans="1:62" ht="12.75" x14ac:dyDescent="0.2">
      <c r="A633" s="63"/>
      <c r="B633" s="85"/>
      <c r="C633" s="4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4"/>
      <c r="P633" s="4"/>
      <c r="Q633" s="4"/>
      <c r="R633" s="4"/>
      <c r="S633" s="4"/>
      <c r="T633" s="4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4"/>
      <c r="AG633" s="3"/>
      <c r="AH633" s="82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82"/>
      <c r="BC633" s="82"/>
      <c r="BD633" s="82"/>
      <c r="BE633" s="82"/>
      <c r="BF633" s="82"/>
      <c r="BG633" s="4"/>
      <c r="BH633" s="4"/>
      <c r="BI633" s="4"/>
      <c r="BJ633" s="4"/>
    </row>
    <row r="634" spans="1:62" ht="12.75" x14ac:dyDescent="0.2">
      <c r="A634" s="63"/>
      <c r="B634" s="85"/>
      <c r="C634" s="4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4"/>
      <c r="P634" s="4"/>
      <c r="Q634" s="4"/>
      <c r="R634" s="4"/>
      <c r="S634" s="4"/>
      <c r="T634" s="4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4"/>
      <c r="AG634" s="3"/>
      <c r="AH634" s="82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82"/>
      <c r="BC634" s="82"/>
      <c r="BD634" s="82"/>
      <c r="BE634" s="82"/>
      <c r="BF634" s="82"/>
      <c r="BG634" s="4"/>
      <c r="BH634" s="4"/>
      <c r="BI634" s="4"/>
      <c r="BJ634" s="4"/>
    </row>
    <row r="635" spans="1:62" ht="12.75" x14ac:dyDescent="0.2">
      <c r="A635" s="63"/>
      <c r="B635" s="85"/>
      <c r="C635" s="4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4"/>
      <c r="P635" s="4"/>
      <c r="Q635" s="4"/>
      <c r="R635" s="4"/>
      <c r="S635" s="4"/>
      <c r="T635" s="4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4"/>
      <c r="AG635" s="3"/>
      <c r="AH635" s="82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82"/>
      <c r="BC635" s="82"/>
      <c r="BD635" s="82"/>
      <c r="BE635" s="82"/>
      <c r="BF635" s="82"/>
      <c r="BG635" s="4"/>
      <c r="BH635" s="4"/>
      <c r="BI635" s="4"/>
      <c r="BJ635" s="4"/>
    </row>
    <row r="636" spans="1:62" ht="12.75" x14ac:dyDescent="0.2">
      <c r="A636" s="63"/>
      <c r="B636" s="85"/>
      <c r="C636" s="4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4"/>
      <c r="P636" s="4"/>
      <c r="Q636" s="4"/>
      <c r="R636" s="4"/>
      <c r="S636" s="4"/>
      <c r="T636" s="4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4"/>
      <c r="AG636" s="3"/>
      <c r="AH636" s="82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82"/>
      <c r="BC636" s="82"/>
      <c r="BD636" s="82"/>
      <c r="BE636" s="82"/>
      <c r="BF636" s="82"/>
      <c r="BG636" s="4"/>
      <c r="BH636" s="4"/>
      <c r="BI636" s="4"/>
      <c r="BJ636" s="4"/>
    </row>
    <row r="637" spans="1:62" ht="12.75" x14ac:dyDescent="0.2">
      <c r="A637" s="63"/>
      <c r="B637" s="85"/>
      <c r="C637" s="4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4"/>
      <c r="P637" s="4"/>
      <c r="Q637" s="4"/>
      <c r="R637" s="4"/>
      <c r="S637" s="4"/>
      <c r="T637" s="4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4"/>
      <c r="AG637" s="3"/>
      <c r="AH637" s="82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82"/>
      <c r="BC637" s="82"/>
      <c r="BD637" s="82"/>
      <c r="BE637" s="82"/>
      <c r="BF637" s="82"/>
      <c r="BG637" s="4"/>
      <c r="BH637" s="4"/>
      <c r="BI637" s="4"/>
      <c r="BJ637" s="4"/>
    </row>
    <row r="638" spans="1:62" ht="12.75" x14ac:dyDescent="0.2">
      <c r="A638" s="63"/>
      <c r="B638" s="85"/>
      <c r="C638" s="4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4"/>
      <c r="P638" s="4"/>
      <c r="Q638" s="4"/>
      <c r="R638" s="4"/>
      <c r="S638" s="4"/>
      <c r="T638" s="4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4"/>
      <c r="AG638" s="3"/>
      <c r="AH638" s="82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82"/>
      <c r="BC638" s="82"/>
      <c r="BD638" s="82"/>
      <c r="BE638" s="82"/>
      <c r="BF638" s="82"/>
      <c r="BG638" s="4"/>
      <c r="BH638" s="4"/>
      <c r="BI638" s="4"/>
      <c r="BJ638" s="4"/>
    </row>
    <row r="639" spans="1:62" ht="12.75" x14ac:dyDescent="0.2">
      <c r="A639" s="63"/>
      <c r="B639" s="85"/>
      <c r="C639" s="4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4"/>
      <c r="P639" s="4"/>
      <c r="Q639" s="4"/>
      <c r="R639" s="4"/>
      <c r="S639" s="4"/>
      <c r="T639" s="4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4"/>
      <c r="AG639" s="3"/>
      <c r="AH639" s="82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82"/>
      <c r="BC639" s="82"/>
      <c r="BD639" s="82"/>
      <c r="BE639" s="82"/>
      <c r="BF639" s="82"/>
      <c r="BG639" s="4"/>
      <c r="BH639" s="4"/>
      <c r="BI639" s="4"/>
      <c r="BJ639" s="4"/>
    </row>
    <row r="640" spans="1:62" ht="12.75" x14ac:dyDescent="0.2">
      <c r="A640" s="63"/>
      <c r="B640" s="85"/>
      <c r="C640" s="4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4"/>
      <c r="P640" s="4"/>
      <c r="Q640" s="4"/>
      <c r="R640" s="4"/>
      <c r="S640" s="4"/>
      <c r="T640" s="4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4"/>
      <c r="AG640" s="3"/>
      <c r="AH640" s="82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82"/>
      <c r="BC640" s="82"/>
      <c r="BD640" s="82"/>
      <c r="BE640" s="82"/>
      <c r="BF640" s="82"/>
      <c r="BG640" s="4"/>
      <c r="BH640" s="4"/>
      <c r="BI640" s="4"/>
      <c r="BJ640" s="4"/>
    </row>
    <row r="641" spans="1:62" ht="12.75" x14ac:dyDescent="0.2">
      <c r="A641" s="63"/>
      <c r="B641" s="85"/>
      <c r="C641" s="4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4"/>
      <c r="P641" s="4"/>
      <c r="Q641" s="4"/>
      <c r="R641" s="4"/>
      <c r="S641" s="4"/>
      <c r="T641" s="4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4"/>
      <c r="AG641" s="3"/>
      <c r="AH641" s="82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82"/>
      <c r="BC641" s="82"/>
      <c r="BD641" s="82"/>
      <c r="BE641" s="82"/>
      <c r="BF641" s="82"/>
      <c r="BG641" s="4"/>
      <c r="BH641" s="4"/>
      <c r="BI641" s="4"/>
      <c r="BJ641" s="4"/>
    </row>
    <row r="642" spans="1:62" ht="12.75" x14ac:dyDescent="0.2">
      <c r="A642" s="63"/>
      <c r="B642" s="85"/>
      <c r="C642" s="4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4"/>
      <c r="P642" s="4"/>
      <c r="Q642" s="4"/>
      <c r="R642" s="4"/>
      <c r="S642" s="4"/>
      <c r="T642" s="4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4"/>
      <c r="AG642" s="3"/>
      <c r="AH642" s="82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82"/>
      <c r="BC642" s="82"/>
      <c r="BD642" s="82"/>
      <c r="BE642" s="82"/>
      <c r="BF642" s="82"/>
      <c r="BG642" s="4"/>
      <c r="BH642" s="4"/>
      <c r="BI642" s="4"/>
      <c r="BJ642" s="4"/>
    </row>
    <row r="643" spans="1:62" ht="12.75" x14ac:dyDescent="0.2">
      <c r="A643" s="63"/>
      <c r="B643" s="85"/>
      <c r="C643" s="4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4"/>
      <c r="P643" s="4"/>
      <c r="Q643" s="4"/>
      <c r="R643" s="4"/>
      <c r="S643" s="4"/>
      <c r="T643" s="4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4"/>
      <c r="AG643" s="3"/>
      <c r="AH643" s="82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82"/>
      <c r="BC643" s="82"/>
      <c r="BD643" s="82"/>
      <c r="BE643" s="82"/>
      <c r="BF643" s="82"/>
      <c r="BG643" s="4"/>
      <c r="BH643" s="4"/>
      <c r="BI643" s="4"/>
      <c r="BJ643" s="4"/>
    </row>
    <row r="644" spans="1:62" ht="12.75" x14ac:dyDescent="0.2">
      <c r="A644" s="63"/>
      <c r="B644" s="85"/>
      <c r="C644" s="4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4"/>
      <c r="P644" s="4"/>
      <c r="Q644" s="4"/>
      <c r="R644" s="4"/>
      <c r="S644" s="4"/>
      <c r="T644" s="4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4"/>
      <c r="AG644" s="3"/>
      <c r="AH644" s="82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82"/>
      <c r="BC644" s="82"/>
      <c r="BD644" s="82"/>
      <c r="BE644" s="82"/>
      <c r="BF644" s="82"/>
      <c r="BG644" s="4"/>
      <c r="BH644" s="4"/>
      <c r="BI644" s="4"/>
      <c r="BJ644" s="4"/>
    </row>
    <row r="645" spans="1:62" ht="12.75" x14ac:dyDescent="0.2">
      <c r="A645" s="63"/>
      <c r="B645" s="85"/>
      <c r="C645" s="4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4"/>
      <c r="P645" s="4"/>
      <c r="Q645" s="4"/>
      <c r="R645" s="4"/>
      <c r="S645" s="4"/>
      <c r="T645" s="4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4"/>
      <c r="AG645" s="3"/>
      <c r="AH645" s="82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82"/>
      <c r="BC645" s="82"/>
      <c r="BD645" s="82"/>
      <c r="BE645" s="82"/>
      <c r="BF645" s="82"/>
      <c r="BG645" s="4"/>
      <c r="BH645" s="4"/>
      <c r="BI645" s="4"/>
      <c r="BJ645" s="4"/>
    </row>
    <row r="646" spans="1:62" ht="12.75" x14ac:dyDescent="0.2">
      <c r="A646" s="63"/>
      <c r="B646" s="85"/>
      <c r="C646" s="4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4"/>
      <c r="P646" s="4"/>
      <c r="Q646" s="4"/>
      <c r="R646" s="4"/>
      <c r="S646" s="4"/>
      <c r="T646" s="4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4"/>
      <c r="AG646" s="3"/>
      <c r="AH646" s="82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82"/>
      <c r="BC646" s="82"/>
      <c r="BD646" s="82"/>
      <c r="BE646" s="82"/>
      <c r="BF646" s="82"/>
      <c r="BG646" s="4"/>
      <c r="BH646" s="4"/>
      <c r="BI646" s="4"/>
      <c r="BJ646" s="4"/>
    </row>
    <row r="647" spans="1:62" ht="12.75" x14ac:dyDescent="0.2">
      <c r="A647" s="63"/>
      <c r="B647" s="85"/>
      <c r="C647" s="4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4"/>
      <c r="P647" s="4"/>
      <c r="Q647" s="4"/>
      <c r="R647" s="4"/>
      <c r="S647" s="4"/>
      <c r="T647" s="4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4"/>
      <c r="AG647" s="3"/>
      <c r="AH647" s="82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82"/>
      <c r="BC647" s="82"/>
      <c r="BD647" s="82"/>
      <c r="BE647" s="82"/>
      <c r="BF647" s="82"/>
      <c r="BG647" s="4"/>
      <c r="BH647" s="4"/>
      <c r="BI647" s="4"/>
      <c r="BJ647" s="4"/>
    </row>
    <row r="648" spans="1:62" ht="12.75" x14ac:dyDescent="0.2">
      <c r="A648" s="63"/>
      <c r="B648" s="85"/>
      <c r="C648" s="4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4"/>
      <c r="P648" s="4"/>
      <c r="Q648" s="4"/>
      <c r="R648" s="4"/>
      <c r="S648" s="4"/>
      <c r="T648" s="4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4"/>
      <c r="AG648" s="3"/>
      <c r="AH648" s="82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82"/>
      <c r="BC648" s="82"/>
      <c r="BD648" s="82"/>
      <c r="BE648" s="82"/>
      <c r="BF648" s="82"/>
      <c r="BG648" s="4"/>
      <c r="BH648" s="4"/>
      <c r="BI648" s="4"/>
      <c r="BJ648" s="4"/>
    </row>
    <row r="649" spans="1:62" ht="12.75" x14ac:dyDescent="0.2">
      <c r="A649" s="63"/>
      <c r="B649" s="85"/>
      <c r="C649" s="4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4"/>
      <c r="P649" s="4"/>
      <c r="Q649" s="4"/>
      <c r="R649" s="4"/>
      <c r="S649" s="4"/>
      <c r="T649" s="4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4"/>
      <c r="AG649" s="3"/>
      <c r="AH649" s="82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82"/>
      <c r="BC649" s="82"/>
      <c r="BD649" s="82"/>
      <c r="BE649" s="82"/>
      <c r="BF649" s="82"/>
      <c r="BG649" s="4"/>
      <c r="BH649" s="4"/>
      <c r="BI649" s="4"/>
      <c r="BJ649" s="4"/>
    </row>
    <row r="650" spans="1:62" ht="12.75" x14ac:dyDescent="0.2">
      <c r="A650" s="63"/>
      <c r="B650" s="85"/>
      <c r="C650" s="4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4"/>
      <c r="P650" s="4"/>
      <c r="Q650" s="4"/>
      <c r="R650" s="4"/>
      <c r="S650" s="4"/>
      <c r="T650" s="4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4"/>
      <c r="AG650" s="3"/>
      <c r="AH650" s="82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82"/>
      <c r="BC650" s="82"/>
      <c r="BD650" s="82"/>
      <c r="BE650" s="82"/>
      <c r="BF650" s="82"/>
      <c r="BG650" s="4"/>
      <c r="BH650" s="4"/>
      <c r="BI650" s="4"/>
      <c r="BJ650" s="4"/>
    </row>
    <row r="651" spans="1:62" ht="12.75" x14ac:dyDescent="0.2">
      <c r="A651" s="63"/>
      <c r="B651" s="85"/>
      <c r="C651" s="4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4"/>
      <c r="P651" s="4"/>
      <c r="Q651" s="4"/>
      <c r="R651" s="4"/>
      <c r="S651" s="4"/>
      <c r="T651" s="4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4"/>
      <c r="AG651" s="3"/>
      <c r="AH651" s="82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82"/>
      <c r="BC651" s="82"/>
      <c r="BD651" s="82"/>
      <c r="BE651" s="82"/>
      <c r="BF651" s="82"/>
      <c r="BG651" s="4"/>
      <c r="BH651" s="4"/>
      <c r="BI651" s="4"/>
      <c r="BJ651" s="4"/>
    </row>
    <row r="652" spans="1:62" ht="12.75" x14ac:dyDescent="0.2">
      <c r="A652" s="63"/>
      <c r="B652" s="85"/>
      <c r="C652" s="4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4"/>
      <c r="P652" s="4"/>
      <c r="Q652" s="4"/>
      <c r="R652" s="4"/>
      <c r="S652" s="4"/>
      <c r="T652" s="4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4"/>
      <c r="AG652" s="3"/>
      <c r="AH652" s="82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82"/>
      <c r="BC652" s="82"/>
      <c r="BD652" s="82"/>
      <c r="BE652" s="82"/>
      <c r="BF652" s="82"/>
      <c r="BG652" s="4"/>
      <c r="BH652" s="4"/>
      <c r="BI652" s="4"/>
      <c r="BJ652" s="4"/>
    </row>
    <row r="653" spans="1:62" ht="12.75" x14ac:dyDescent="0.2">
      <c r="A653" s="63"/>
      <c r="B653" s="85"/>
      <c r="C653" s="4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4"/>
      <c r="P653" s="4"/>
      <c r="Q653" s="4"/>
      <c r="R653" s="4"/>
      <c r="S653" s="4"/>
      <c r="T653" s="4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4"/>
      <c r="AG653" s="3"/>
      <c r="AH653" s="82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82"/>
      <c r="BC653" s="82"/>
      <c r="BD653" s="82"/>
      <c r="BE653" s="82"/>
      <c r="BF653" s="82"/>
      <c r="BG653" s="4"/>
      <c r="BH653" s="4"/>
      <c r="BI653" s="4"/>
      <c r="BJ653" s="4"/>
    </row>
    <row r="654" spans="1:62" ht="12.75" x14ac:dyDescent="0.2">
      <c r="A654" s="63"/>
      <c r="B654" s="85"/>
      <c r="C654" s="4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4"/>
      <c r="P654" s="4"/>
      <c r="Q654" s="4"/>
      <c r="R654" s="4"/>
      <c r="S654" s="4"/>
      <c r="T654" s="4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4"/>
      <c r="AG654" s="3"/>
      <c r="AH654" s="82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82"/>
      <c r="BC654" s="82"/>
      <c r="BD654" s="82"/>
      <c r="BE654" s="82"/>
      <c r="BF654" s="82"/>
      <c r="BG654" s="4"/>
      <c r="BH654" s="4"/>
      <c r="BI654" s="4"/>
      <c r="BJ654" s="4"/>
    </row>
    <row r="655" spans="1:62" ht="12.75" x14ac:dyDescent="0.2">
      <c r="A655" s="63"/>
      <c r="B655" s="85"/>
      <c r="C655" s="4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4"/>
      <c r="P655" s="4"/>
      <c r="Q655" s="4"/>
      <c r="R655" s="4"/>
      <c r="S655" s="4"/>
      <c r="T655" s="4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4"/>
      <c r="AG655" s="3"/>
      <c r="AH655" s="82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82"/>
      <c r="BC655" s="82"/>
      <c r="BD655" s="82"/>
      <c r="BE655" s="82"/>
      <c r="BF655" s="82"/>
      <c r="BG655" s="4"/>
      <c r="BH655" s="4"/>
      <c r="BI655" s="4"/>
      <c r="BJ655" s="4"/>
    </row>
    <row r="656" spans="1:62" ht="12.75" x14ac:dyDescent="0.2">
      <c r="A656" s="63"/>
      <c r="B656" s="85"/>
      <c r="C656" s="4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4"/>
      <c r="P656" s="4"/>
      <c r="Q656" s="4"/>
      <c r="R656" s="4"/>
      <c r="S656" s="4"/>
      <c r="T656" s="4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4"/>
      <c r="AG656" s="3"/>
      <c r="AH656" s="82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82"/>
      <c r="BC656" s="82"/>
      <c r="BD656" s="82"/>
      <c r="BE656" s="82"/>
      <c r="BF656" s="82"/>
      <c r="BG656" s="4"/>
      <c r="BH656" s="4"/>
      <c r="BI656" s="4"/>
      <c r="BJ656" s="4"/>
    </row>
    <row r="657" spans="1:62" ht="12.75" x14ac:dyDescent="0.2">
      <c r="A657" s="63"/>
      <c r="B657" s="85"/>
      <c r="C657" s="4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4"/>
      <c r="P657" s="4"/>
      <c r="Q657" s="4"/>
      <c r="R657" s="4"/>
      <c r="S657" s="4"/>
      <c r="T657" s="4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4"/>
      <c r="AG657" s="3"/>
      <c r="AH657" s="82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82"/>
      <c r="BC657" s="82"/>
      <c r="BD657" s="82"/>
      <c r="BE657" s="82"/>
      <c r="BF657" s="82"/>
      <c r="BG657" s="4"/>
      <c r="BH657" s="4"/>
      <c r="BI657" s="4"/>
      <c r="BJ657" s="4"/>
    </row>
    <row r="658" spans="1:62" ht="12.75" x14ac:dyDescent="0.2">
      <c r="A658" s="63"/>
      <c r="B658" s="85"/>
      <c r="C658" s="4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4"/>
      <c r="P658" s="4"/>
      <c r="Q658" s="4"/>
      <c r="R658" s="4"/>
      <c r="S658" s="4"/>
      <c r="T658" s="4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4"/>
      <c r="AG658" s="3"/>
      <c r="AH658" s="82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82"/>
      <c r="BC658" s="82"/>
      <c r="BD658" s="82"/>
      <c r="BE658" s="82"/>
      <c r="BF658" s="82"/>
      <c r="BG658" s="4"/>
      <c r="BH658" s="4"/>
      <c r="BI658" s="4"/>
      <c r="BJ658" s="4"/>
    </row>
    <row r="659" spans="1:62" ht="12.75" x14ac:dyDescent="0.2">
      <c r="A659" s="63"/>
      <c r="B659" s="85"/>
      <c r="C659" s="4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4"/>
      <c r="P659" s="4"/>
      <c r="Q659" s="4"/>
      <c r="R659" s="4"/>
      <c r="S659" s="4"/>
      <c r="T659" s="4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4"/>
      <c r="AG659" s="3"/>
      <c r="AH659" s="82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82"/>
      <c r="BC659" s="82"/>
      <c r="BD659" s="82"/>
      <c r="BE659" s="82"/>
      <c r="BF659" s="82"/>
      <c r="BG659" s="4"/>
      <c r="BH659" s="4"/>
      <c r="BI659" s="4"/>
      <c r="BJ659" s="4"/>
    </row>
    <row r="660" spans="1:62" ht="12.75" x14ac:dyDescent="0.2">
      <c r="A660" s="63"/>
      <c r="B660" s="85"/>
      <c r="C660" s="4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4"/>
      <c r="P660" s="4"/>
      <c r="Q660" s="4"/>
      <c r="R660" s="4"/>
      <c r="S660" s="4"/>
      <c r="T660" s="4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4"/>
      <c r="AG660" s="3"/>
      <c r="AH660" s="82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82"/>
      <c r="BC660" s="82"/>
      <c r="BD660" s="82"/>
      <c r="BE660" s="82"/>
      <c r="BF660" s="82"/>
      <c r="BG660" s="4"/>
      <c r="BH660" s="4"/>
      <c r="BI660" s="4"/>
      <c r="BJ660" s="4"/>
    </row>
    <row r="661" spans="1:62" ht="12.75" x14ac:dyDescent="0.2">
      <c r="A661" s="63"/>
      <c r="B661" s="85"/>
      <c r="C661" s="4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4"/>
      <c r="P661" s="4"/>
      <c r="Q661" s="4"/>
      <c r="R661" s="4"/>
      <c r="S661" s="4"/>
      <c r="T661" s="4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4"/>
      <c r="AG661" s="3"/>
      <c r="AH661" s="82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82"/>
      <c r="BC661" s="82"/>
      <c r="BD661" s="82"/>
      <c r="BE661" s="82"/>
      <c r="BF661" s="82"/>
      <c r="BG661" s="4"/>
      <c r="BH661" s="4"/>
      <c r="BI661" s="4"/>
      <c r="BJ661" s="4"/>
    </row>
    <row r="662" spans="1:62" ht="12.75" x14ac:dyDescent="0.2">
      <c r="A662" s="63"/>
      <c r="B662" s="85"/>
      <c r="C662" s="4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4"/>
      <c r="P662" s="4"/>
      <c r="Q662" s="4"/>
      <c r="R662" s="4"/>
      <c r="S662" s="4"/>
      <c r="T662" s="4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4"/>
      <c r="AG662" s="3"/>
      <c r="AH662" s="82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82"/>
      <c r="BC662" s="82"/>
      <c r="BD662" s="82"/>
      <c r="BE662" s="82"/>
      <c r="BF662" s="82"/>
      <c r="BG662" s="4"/>
      <c r="BH662" s="4"/>
      <c r="BI662" s="4"/>
      <c r="BJ662" s="4"/>
    </row>
    <row r="663" spans="1:62" ht="12.75" x14ac:dyDescent="0.2">
      <c r="A663" s="63"/>
      <c r="B663" s="85"/>
      <c r="C663" s="4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4"/>
      <c r="P663" s="4"/>
      <c r="Q663" s="4"/>
      <c r="R663" s="4"/>
      <c r="S663" s="4"/>
      <c r="T663" s="4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4"/>
      <c r="AG663" s="3"/>
      <c r="AH663" s="82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82"/>
      <c r="BC663" s="82"/>
      <c r="BD663" s="82"/>
      <c r="BE663" s="82"/>
      <c r="BF663" s="82"/>
      <c r="BG663" s="4"/>
      <c r="BH663" s="4"/>
      <c r="BI663" s="4"/>
      <c r="BJ663" s="4"/>
    </row>
    <row r="664" spans="1:62" ht="12.75" x14ac:dyDescent="0.2">
      <c r="A664" s="63"/>
      <c r="B664" s="85"/>
      <c r="C664" s="4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4"/>
      <c r="P664" s="4"/>
      <c r="Q664" s="4"/>
      <c r="R664" s="4"/>
      <c r="S664" s="4"/>
      <c r="T664" s="4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4"/>
      <c r="AG664" s="3"/>
      <c r="AH664" s="82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82"/>
      <c r="BC664" s="82"/>
      <c r="BD664" s="82"/>
      <c r="BE664" s="82"/>
      <c r="BF664" s="82"/>
      <c r="BG664" s="4"/>
      <c r="BH664" s="4"/>
      <c r="BI664" s="4"/>
      <c r="BJ664" s="4"/>
    </row>
    <row r="665" spans="1:62" ht="12.75" x14ac:dyDescent="0.2">
      <c r="A665" s="63"/>
      <c r="B665" s="85"/>
      <c r="C665" s="4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4"/>
      <c r="P665" s="4"/>
      <c r="Q665" s="4"/>
      <c r="R665" s="4"/>
      <c r="S665" s="4"/>
      <c r="T665" s="4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4"/>
      <c r="AG665" s="3"/>
      <c r="AH665" s="82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82"/>
      <c r="BC665" s="82"/>
      <c r="BD665" s="82"/>
      <c r="BE665" s="82"/>
      <c r="BF665" s="82"/>
      <c r="BG665" s="4"/>
      <c r="BH665" s="4"/>
      <c r="BI665" s="4"/>
      <c r="BJ665" s="4"/>
    </row>
    <row r="666" spans="1:62" ht="12.75" x14ac:dyDescent="0.2">
      <c r="A666" s="63"/>
      <c r="B666" s="85"/>
      <c r="C666" s="4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4"/>
      <c r="P666" s="4"/>
      <c r="Q666" s="4"/>
      <c r="R666" s="4"/>
      <c r="S666" s="4"/>
      <c r="T666" s="4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4"/>
      <c r="AG666" s="3"/>
      <c r="AH666" s="82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82"/>
      <c r="BC666" s="82"/>
      <c r="BD666" s="82"/>
      <c r="BE666" s="82"/>
      <c r="BF666" s="82"/>
      <c r="BG666" s="4"/>
      <c r="BH666" s="4"/>
      <c r="BI666" s="4"/>
      <c r="BJ666" s="4"/>
    </row>
    <row r="667" spans="1:62" ht="12.75" x14ac:dyDescent="0.2">
      <c r="A667" s="63"/>
      <c r="B667" s="85"/>
      <c r="C667" s="4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4"/>
      <c r="P667" s="4"/>
      <c r="Q667" s="4"/>
      <c r="R667" s="4"/>
      <c r="S667" s="4"/>
      <c r="T667" s="4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4"/>
      <c r="AG667" s="3"/>
      <c r="AH667" s="82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82"/>
      <c r="BC667" s="82"/>
      <c r="BD667" s="82"/>
      <c r="BE667" s="82"/>
      <c r="BF667" s="82"/>
      <c r="BG667" s="4"/>
      <c r="BH667" s="4"/>
      <c r="BI667" s="4"/>
      <c r="BJ667" s="4"/>
    </row>
    <row r="668" spans="1:62" ht="12.75" x14ac:dyDescent="0.2">
      <c r="A668" s="63"/>
      <c r="B668" s="85"/>
      <c r="C668" s="4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4"/>
      <c r="P668" s="4"/>
      <c r="Q668" s="4"/>
      <c r="R668" s="4"/>
      <c r="S668" s="4"/>
      <c r="T668" s="4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4"/>
      <c r="AG668" s="3"/>
      <c r="AH668" s="82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82"/>
      <c r="BC668" s="82"/>
      <c r="BD668" s="82"/>
      <c r="BE668" s="82"/>
      <c r="BF668" s="82"/>
      <c r="BG668" s="4"/>
      <c r="BH668" s="4"/>
      <c r="BI668" s="4"/>
      <c r="BJ668" s="4"/>
    </row>
    <row r="669" spans="1:62" ht="12.75" x14ac:dyDescent="0.2">
      <c r="A669" s="63"/>
      <c r="B669" s="85"/>
      <c r="C669" s="4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4"/>
      <c r="P669" s="4"/>
      <c r="Q669" s="4"/>
      <c r="R669" s="4"/>
      <c r="S669" s="4"/>
      <c r="T669" s="4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4"/>
      <c r="AG669" s="3"/>
      <c r="AH669" s="82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82"/>
      <c r="BC669" s="82"/>
      <c r="BD669" s="82"/>
      <c r="BE669" s="82"/>
      <c r="BF669" s="82"/>
      <c r="BG669" s="4"/>
      <c r="BH669" s="4"/>
      <c r="BI669" s="4"/>
      <c r="BJ669" s="4"/>
    </row>
    <row r="670" spans="1:62" ht="12.75" x14ac:dyDescent="0.2">
      <c r="A670" s="63"/>
      <c r="B670" s="85"/>
      <c r="C670" s="4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4"/>
      <c r="P670" s="4"/>
      <c r="Q670" s="4"/>
      <c r="R670" s="4"/>
      <c r="S670" s="4"/>
      <c r="T670" s="4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4"/>
      <c r="AG670" s="3"/>
      <c r="AH670" s="82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82"/>
      <c r="BC670" s="82"/>
      <c r="BD670" s="82"/>
      <c r="BE670" s="82"/>
      <c r="BF670" s="82"/>
      <c r="BG670" s="4"/>
      <c r="BH670" s="4"/>
      <c r="BI670" s="4"/>
      <c r="BJ670" s="4"/>
    </row>
    <row r="671" spans="1:62" ht="12.75" x14ac:dyDescent="0.2">
      <c r="A671" s="63"/>
      <c r="B671" s="85"/>
      <c r="C671" s="4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4"/>
      <c r="P671" s="4"/>
      <c r="Q671" s="4"/>
      <c r="R671" s="4"/>
      <c r="S671" s="4"/>
      <c r="T671" s="4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4"/>
      <c r="AG671" s="3"/>
      <c r="AH671" s="82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82"/>
      <c r="BC671" s="82"/>
      <c r="BD671" s="82"/>
      <c r="BE671" s="82"/>
      <c r="BF671" s="82"/>
      <c r="BG671" s="4"/>
      <c r="BH671" s="4"/>
      <c r="BI671" s="4"/>
      <c r="BJ671" s="4"/>
    </row>
    <row r="672" spans="1:62" ht="12.75" x14ac:dyDescent="0.2">
      <c r="A672" s="63"/>
      <c r="B672" s="85"/>
      <c r="C672" s="4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4"/>
      <c r="P672" s="4"/>
      <c r="Q672" s="4"/>
      <c r="R672" s="4"/>
      <c r="S672" s="4"/>
      <c r="T672" s="4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4"/>
      <c r="AG672" s="3"/>
      <c r="AH672" s="82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82"/>
      <c r="BC672" s="82"/>
      <c r="BD672" s="82"/>
      <c r="BE672" s="82"/>
      <c r="BF672" s="82"/>
      <c r="BG672" s="4"/>
      <c r="BH672" s="4"/>
      <c r="BI672" s="4"/>
      <c r="BJ672" s="4"/>
    </row>
    <row r="673" spans="1:62" ht="12.75" x14ac:dyDescent="0.2">
      <c r="A673" s="63"/>
      <c r="B673" s="85"/>
      <c r="C673" s="4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4"/>
      <c r="P673" s="4"/>
      <c r="Q673" s="4"/>
      <c r="R673" s="4"/>
      <c r="S673" s="4"/>
      <c r="T673" s="4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4"/>
      <c r="AG673" s="3"/>
      <c r="AH673" s="82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82"/>
      <c r="BC673" s="82"/>
      <c r="BD673" s="82"/>
      <c r="BE673" s="82"/>
      <c r="BF673" s="82"/>
      <c r="BG673" s="4"/>
      <c r="BH673" s="4"/>
      <c r="BI673" s="4"/>
      <c r="BJ673" s="4"/>
    </row>
    <row r="674" spans="1:62" ht="12.75" x14ac:dyDescent="0.2">
      <c r="A674" s="63"/>
      <c r="B674" s="85"/>
      <c r="C674" s="4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4"/>
      <c r="P674" s="4"/>
      <c r="Q674" s="4"/>
      <c r="R674" s="4"/>
      <c r="S674" s="4"/>
      <c r="T674" s="4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4"/>
      <c r="AG674" s="3"/>
      <c r="AH674" s="82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82"/>
      <c r="BC674" s="82"/>
      <c r="BD674" s="82"/>
      <c r="BE674" s="82"/>
      <c r="BF674" s="82"/>
      <c r="BG674" s="4"/>
      <c r="BH674" s="4"/>
      <c r="BI674" s="4"/>
      <c r="BJ674" s="4"/>
    </row>
    <row r="675" spans="1:62" ht="12.75" x14ac:dyDescent="0.2">
      <c r="A675" s="63"/>
      <c r="B675" s="85"/>
      <c r="C675" s="4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4"/>
      <c r="P675" s="4"/>
      <c r="Q675" s="4"/>
      <c r="R675" s="4"/>
      <c r="S675" s="4"/>
      <c r="T675" s="4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4"/>
      <c r="AG675" s="3"/>
      <c r="AH675" s="82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82"/>
      <c r="BC675" s="82"/>
      <c r="BD675" s="82"/>
      <c r="BE675" s="82"/>
      <c r="BF675" s="82"/>
      <c r="BG675" s="4"/>
      <c r="BH675" s="4"/>
      <c r="BI675" s="4"/>
      <c r="BJ675" s="4"/>
    </row>
    <row r="676" spans="1:62" ht="12.75" x14ac:dyDescent="0.2">
      <c r="A676" s="63"/>
      <c r="B676" s="85"/>
      <c r="C676" s="4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4"/>
      <c r="P676" s="4"/>
      <c r="Q676" s="4"/>
      <c r="R676" s="4"/>
      <c r="S676" s="4"/>
      <c r="T676" s="4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4"/>
      <c r="AG676" s="3"/>
      <c r="AH676" s="82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82"/>
      <c r="BC676" s="82"/>
      <c r="BD676" s="82"/>
      <c r="BE676" s="82"/>
      <c r="BF676" s="82"/>
      <c r="BG676" s="4"/>
      <c r="BH676" s="4"/>
      <c r="BI676" s="4"/>
      <c r="BJ676" s="4"/>
    </row>
    <row r="677" spans="1:62" ht="12.75" x14ac:dyDescent="0.2">
      <c r="A677" s="63"/>
      <c r="B677" s="85"/>
      <c r="C677" s="4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4"/>
      <c r="P677" s="4"/>
      <c r="Q677" s="4"/>
      <c r="R677" s="4"/>
      <c r="S677" s="4"/>
      <c r="T677" s="4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4"/>
      <c r="AG677" s="3"/>
      <c r="AH677" s="82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82"/>
      <c r="BC677" s="82"/>
      <c r="BD677" s="82"/>
      <c r="BE677" s="82"/>
      <c r="BF677" s="82"/>
      <c r="BG677" s="4"/>
      <c r="BH677" s="4"/>
      <c r="BI677" s="4"/>
      <c r="BJ677" s="4"/>
    </row>
    <row r="678" spans="1:62" ht="12.75" x14ac:dyDescent="0.2">
      <c r="A678" s="63"/>
      <c r="B678" s="85"/>
      <c r="C678" s="4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4"/>
      <c r="P678" s="4"/>
      <c r="Q678" s="4"/>
      <c r="R678" s="4"/>
      <c r="S678" s="4"/>
      <c r="T678" s="4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4"/>
      <c r="AG678" s="3"/>
      <c r="AH678" s="82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82"/>
      <c r="BC678" s="82"/>
      <c r="BD678" s="82"/>
      <c r="BE678" s="82"/>
      <c r="BF678" s="82"/>
      <c r="BG678" s="4"/>
      <c r="BH678" s="4"/>
      <c r="BI678" s="4"/>
      <c r="BJ678" s="4"/>
    </row>
    <row r="679" spans="1:62" ht="12.75" x14ac:dyDescent="0.2">
      <c r="A679" s="63"/>
      <c r="B679" s="85"/>
      <c r="C679" s="4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4"/>
      <c r="P679" s="4"/>
      <c r="Q679" s="4"/>
      <c r="R679" s="4"/>
      <c r="S679" s="4"/>
      <c r="T679" s="4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4"/>
      <c r="AG679" s="3"/>
      <c r="AH679" s="82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82"/>
      <c r="BC679" s="82"/>
      <c r="BD679" s="82"/>
      <c r="BE679" s="82"/>
      <c r="BF679" s="82"/>
      <c r="BG679" s="4"/>
      <c r="BH679" s="4"/>
      <c r="BI679" s="4"/>
      <c r="BJ679" s="4"/>
    </row>
    <row r="680" spans="1:62" ht="12.75" x14ac:dyDescent="0.2">
      <c r="A680" s="63"/>
      <c r="B680" s="85"/>
      <c r="C680" s="4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4"/>
      <c r="P680" s="4"/>
      <c r="Q680" s="4"/>
      <c r="R680" s="4"/>
      <c r="S680" s="4"/>
      <c r="T680" s="4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4"/>
      <c r="AG680" s="3"/>
      <c r="AH680" s="82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82"/>
      <c r="BC680" s="82"/>
      <c r="BD680" s="82"/>
      <c r="BE680" s="82"/>
      <c r="BF680" s="82"/>
      <c r="BG680" s="4"/>
      <c r="BH680" s="4"/>
      <c r="BI680" s="4"/>
      <c r="BJ680" s="4"/>
    </row>
    <row r="681" spans="1:62" ht="12.75" x14ac:dyDescent="0.2">
      <c r="A681" s="63"/>
      <c r="B681" s="85"/>
      <c r="C681" s="4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4"/>
      <c r="P681" s="4"/>
      <c r="Q681" s="4"/>
      <c r="R681" s="4"/>
      <c r="S681" s="4"/>
      <c r="T681" s="4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4"/>
      <c r="AG681" s="3"/>
      <c r="AH681" s="82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82"/>
      <c r="BC681" s="82"/>
      <c r="BD681" s="82"/>
      <c r="BE681" s="82"/>
      <c r="BF681" s="82"/>
      <c r="BG681" s="4"/>
      <c r="BH681" s="4"/>
      <c r="BI681" s="4"/>
      <c r="BJ681" s="4"/>
    </row>
    <row r="682" spans="1:62" ht="12.75" x14ac:dyDescent="0.2">
      <c r="A682" s="63"/>
      <c r="B682" s="85"/>
      <c r="C682" s="4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4"/>
      <c r="P682" s="4"/>
      <c r="Q682" s="4"/>
      <c r="R682" s="4"/>
      <c r="S682" s="4"/>
      <c r="T682" s="4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4"/>
      <c r="AG682" s="3"/>
      <c r="AH682" s="82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82"/>
      <c r="BC682" s="82"/>
      <c r="BD682" s="82"/>
      <c r="BE682" s="82"/>
      <c r="BF682" s="82"/>
      <c r="BG682" s="4"/>
      <c r="BH682" s="4"/>
      <c r="BI682" s="4"/>
      <c r="BJ682" s="4"/>
    </row>
    <row r="683" spans="1:62" ht="12.75" x14ac:dyDescent="0.2">
      <c r="A683" s="63"/>
      <c r="B683" s="85"/>
      <c r="C683" s="4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4"/>
      <c r="P683" s="4"/>
      <c r="Q683" s="4"/>
      <c r="R683" s="4"/>
      <c r="S683" s="4"/>
      <c r="T683" s="4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4"/>
      <c r="AG683" s="3"/>
      <c r="AH683" s="82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82"/>
      <c r="BC683" s="82"/>
      <c r="BD683" s="82"/>
      <c r="BE683" s="82"/>
      <c r="BF683" s="82"/>
      <c r="BG683" s="4"/>
      <c r="BH683" s="4"/>
      <c r="BI683" s="4"/>
      <c r="BJ683" s="4"/>
    </row>
    <row r="684" spans="1:62" ht="12.75" x14ac:dyDescent="0.2">
      <c r="A684" s="63"/>
      <c r="B684" s="85"/>
      <c r="C684" s="4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4"/>
      <c r="P684" s="4"/>
      <c r="Q684" s="4"/>
      <c r="R684" s="4"/>
      <c r="S684" s="4"/>
      <c r="T684" s="4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4"/>
      <c r="AG684" s="3"/>
      <c r="AH684" s="82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82"/>
      <c r="BC684" s="82"/>
      <c r="BD684" s="82"/>
      <c r="BE684" s="82"/>
      <c r="BF684" s="82"/>
      <c r="BG684" s="4"/>
      <c r="BH684" s="4"/>
      <c r="BI684" s="4"/>
      <c r="BJ684" s="4"/>
    </row>
    <row r="685" spans="1:62" ht="12.75" x14ac:dyDescent="0.2">
      <c r="A685" s="63"/>
      <c r="B685" s="85"/>
      <c r="C685" s="4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4"/>
      <c r="P685" s="4"/>
      <c r="Q685" s="4"/>
      <c r="R685" s="4"/>
      <c r="S685" s="4"/>
      <c r="T685" s="4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4"/>
      <c r="AG685" s="3"/>
      <c r="AH685" s="82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82"/>
      <c r="BC685" s="82"/>
      <c r="BD685" s="82"/>
      <c r="BE685" s="82"/>
      <c r="BF685" s="82"/>
      <c r="BG685" s="4"/>
      <c r="BH685" s="4"/>
      <c r="BI685" s="4"/>
      <c r="BJ685" s="4"/>
    </row>
    <row r="686" spans="1:62" ht="12.75" x14ac:dyDescent="0.2">
      <c r="A686" s="63"/>
      <c r="B686" s="85"/>
      <c r="C686" s="4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4"/>
      <c r="P686" s="4"/>
      <c r="Q686" s="4"/>
      <c r="R686" s="4"/>
      <c r="S686" s="4"/>
      <c r="T686" s="4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4"/>
      <c r="AG686" s="3"/>
      <c r="AH686" s="82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82"/>
      <c r="BC686" s="82"/>
      <c r="BD686" s="82"/>
      <c r="BE686" s="82"/>
      <c r="BF686" s="82"/>
      <c r="BG686" s="4"/>
      <c r="BH686" s="4"/>
      <c r="BI686" s="4"/>
      <c r="BJ686" s="4"/>
    </row>
    <row r="687" spans="1:62" ht="12.75" x14ac:dyDescent="0.2">
      <c r="A687" s="63"/>
      <c r="B687" s="85"/>
      <c r="C687" s="4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4"/>
      <c r="P687" s="4"/>
      <c r="Q687" s="4"/>
      <c r="R687" s="4"/>
      <c r="S687" s="4"/>
      <c r="T687" s="4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4"/>
      <c r="AG687" s="3"/>
      <c r="AH687" s="82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82"/>
      <c r="BC687" s="82"/>
      <c r="BD687" s="82"/>
      <c r="BE687" s="82"/>
      <c r="BF687" s="82"/>
      <c r="BG687" s="4"/>
      <c r="BH687" s="4"/>
      <c r="BI687" s="4"/>
      <c r="BJ687" s="4"/>
    </row>
    <row r="688" spans="1:62" ht="12.75" x14ac:dyDescent="0.2">
      <c r="A688" s="63"/>
      <c r="B688" s="85"/>
      <c r="C688" s="4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4"/>
      <c r="P688" s="4"/>
      <c r="Q688" s="4"/>
      <c r="R688" s="4"/>
      <c r="S688" s="4"/>
      <c r="T688" s="4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4"/>
      <c r="AG688" s="3"/>
      <c r="AH688" s="82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82"/>
      <c r="BC688" s="82"/>
      <c r="BD688" s="82"/>
      <c r="BE688" s="82"/>
      <c r="BF688" s="82"/>
      <c r="BG688" s="4"/>
      <c r="BH688" s="4"/>
      <c r="BI688" s="4"/>
      <c r="BJ688" s="4"/>
    </row>
    <row r="689" spans="1:62" ht="12.75" x14ac:dyDescent="0.2">
      <c r="A689" s="63"/>
      <c r="B689" s="85"/>
      <c r="C689" s="4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4"/>
      <c r="P689" s="4"/>
      <c r="Q689" s="4"/>
      <c r="R689" s="4"/>
      <c r="S689" s="4"/>
      <c r="T689" s="4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4"/>
      <c r="AG689" s="3"/>
      <c r="AH689" s="82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82"/>
      <c r="BC689" s="82"/>
      <c r="BD689" s="82"/>
      <c r="BE689" s="82"/>
      <c r="BF689" s="82"/>
      <c r="BG689" s="4"/>
      <c r="BH689" s="4"/>
      <c r="BI689" s="4"/>
      <c r="BJ689" s="4"/>
    </row>
    <row r="690" spans="1:62" ht="12.75" x14ac:dyDescent="0.2">
      <c r="A690" s="63"/>
      <c r="B690" s="85"/>
      <c r="C690" s="4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4"/>
      <c r="P690" s="4"/>
      <c r="Q690" s="4"/>
      <c r="R690" s="4"/>
      <c r="S690" s="4"/>
      <c r="T690" s="4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4"/>
      <c r="AG690" s="3"/>
      <c r="AH690" s="82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82"/>
      <c r="BC690" s="82"/>
      <c r="BD690" s="82"/>
      <c r="BE690" s="82"/>
      <c r="BF690" s="82"/>
      <c r="BG690" s="4"/>
      <c r="BH690" s="4"/>
      <c r="BI690" s="4"/>
      <c r="BJ690" s="4"/>
    </row>
    <row r="691" spans="1:62" ht="12.75" x14ac:dyDescent="0.2">
      <c r="A691" s="63"/>
      <c r="B691" s="85"/>
      <c r="C691" s="4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4"/>
      <c r="P691" s="4"/>
      <c r="Q691" s="4"/>
      <c r="R691" s="4"/>
      <c r="S691" s="4"/>
      <c r="T691" s="4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4"/>
      <c r="AG691" s="3"/>
      <c r="AH691" s="82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82"/>
      <c r="BC691" s="82"/>
      <c r="BD691" s="82"/>
      <c r="BE691" s="82"/>
      <c r="BF691" s="82"/>
      <c r="BG691" s="4"/>
      <c r="BH691" s="4"/>
      <c r="BI691" s="4"/>
      <c r="BJ691" s="4"/>
    </row>
    <row r="692" spans="1:62" ht="12.75" x14ac:dyDescent="0.2">
      <c r="A692" s="63"/>
      <c r="B692" s="85"/>
      <c r="C692" s="4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4"/>
      <c r="P692" s="4"/>
      <c r="Q692" s="4"/>
      <c r="R692" s="4"/>
      <c r="S692" s="4"/>
      <c r="T692" s="4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4"/>
      <c r="AG692" s="3"/>
      <c r="AH692" s="82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82"/>
      <c r="BC692" s="82"/>
      <c r="BD692" s="82"/>
      <c r="BE692" s="82"/>
      <c r="BF692" s="82"/>
      <c r="BG692" s="4"/>
      <c r="BH692" s="4"/>
      <c r="BI692" s="4"/>
      <c r="BJ692" s="4"/>
    </row>
    <row r="693" spans="1:62" ht="12.75" x14ac:dyDescent="0.2">
      <c r="A693" s="63"/>
      <c r="B693" s="85"/>
      <c r="C693" s="4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4"/>
      <c r="P693" s="4"/>
      <c r="Q693" s="4"/>
      <c r="R693" s="4"/>
      <c r="S693" s="4"/>
      <c r="T693" s="4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4"/>
      <c r="AG693" s="3"/>
      <c r="AH693" s="82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82"/>
      <c r="BC693" s="82"/>
      <c r="BD693" s="82"/>
      <c r="BE693" s="82"/>
      <c r="BF693" s="82"/>
      <c r="BG693" s="4"/>
      <c r="BH693" s="4"/>
      <c r="BI693" s="4"/>
      <c r="BJ693" s="4"/>
    </row>
    <row r="694" spans="1:62" ht="12.75" x14ac:dyDescent="0.2">
      <c r="A694" s="63"/>
      <c r="B694" s="85"/>
      <c r="C694" s="4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3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</row>
    <row r="695" spans="1:62" ht="12.75" x14ac:dyDescent="0.2">
      <c r="A695" s="63"/>
      <c r="B695" s="85"/>
      <c r="C695" s="4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3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</row>
    <row r="696" spans="1:62" ht="12.75" x14ac:dyDescent="0.2">
      <c r="A696" s="3"/>
      <c r="B696" s="2"/>
      <c r="C696" s="4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3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</row>
    <row r="697" spans="1:62" ht="12.75" x14ac:dyDescent="0.2">
      <c r="A697" s="3"/>
      <c r="B697" s="2"/>
      <c r="C697" s="4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3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</row>
    <row r="698" spans="1:62" ht="12.75" x14ac:dyDescent="0.2">
      <c r="A698" s="3"/>
      <c r="B698" s="2"/>
      <c r="C698" s="4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3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</row>
    <row r="699" spans="1:62" ht="12.75" x14ac:dyDescent="0.2">
      <c r="A699" s="3"/>
      <c r="B699" s="2"/>
      <c r="C699" s="4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3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</row>
    <row r="700" spans="1:62" ht="12.75" x14ac:dyDescent="0.2">
      <c r="A700" s="3"/>
      <c r="B700" s="2"/>
      <c r="C700" s="4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3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</row>
    <row r="701" spans="1:62" ht="12.75" x14ac:dyDescent="0.2">
      <c r="A701" s="3"/>
      <c r="B701" s="2"/>
      <c r="C701" s="4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3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</row>
    <row r="702" spans="1:62" ht="12.75" x14ac:dyDescent="0.2">
      <c r="A702" s="3"/>
      <c r="B702" s="2"/>
      <c r="C702" s="4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3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</row>
    <row r="703" spans="1:62" ht="12.75" x14ac:dyDescent="0.2">
      <c r="A703" s="3"/>
      <c r="B703" s="2"/>
      <c r="C703" s="4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3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</row>
    <row r="704" spans="1:62" ht="12.75" x14ac:dyDescent="0.2">
      <c r="A704" s="3"/>
      <c r="B704" s="2"/>
      <c r="C704" s="4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3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</row>
    <row r="705" spans="1:62" ht="12.75" x14ac:dyDescent="0.2">
      <c r="A705" s="3"/>
      <c r="B705" s="2"/>
      <c r="C705" s="4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3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</row>
    <row r="706" spans="1:62" ht="12.75" x14ac:dyDescent="0.2">
      <c r="A706" s="3"/>
      <c r="B706" s="2"/>
      <c r="C706" s="4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3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</row>
    <row r="707" spans="1:62" ht="12.75" x14ac:dyDescent="0.2">
      <c r="A707" s="3"/>
      <c r="B707" s="2"/>
      <c r="C707" s="4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3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</row>
    <row r="708" spans="1:62" ht="12.75" x14ac:dyDescent="0.2">
      <c r="A708" s="3"/>
      <c r="B708" s="2"/>
      <c r="C708" s="4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3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</row>
    <row r="709" spans="1:62" ht="12.75" x14ac:dyDescent="0.2">
      <c r="A709" s="3"/>
      <c r="B709" s="2"/>
      <c r="C709" s="4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3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</row>
    <row r="710" spans="1:62" ht="12.75" x14ac:dyDescent="0.2">
      <c r="A710" s="3"/>
      <c r="B710" s="2"/>
      <c r="C710" s="4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3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</row>
    <row r="711" spans="1:62" ht="12.75" x14ac:dyDescent="0.2">
      <c r="A711" s="3"/>
      <c r="B711" s="2"/>
      <c r="C711" s="4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3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</row>
    <row r="712" spans="1:62" ht="12.75" x14ac:dyDescent="0.2">
      <c r="A712" s="3"/>
      <c r="B712" s="2"/>
      <c r="C712" s="4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3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</row>
    <row r="713" spans="1:62" ht="12.75" x14ac:dyDescent="0.2">
      <c r="A713" s="3"/>
      <c r="B713" s="2"/>
      <c r="C713" s="4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3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</row>
    <row r="714" spans="1:62" ht="12.75" x14ac:dyDescent="0.2">
      <c r="A714" s="3"/>
      <c r="B714" s="2"/>
      <c r="C714" s="4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3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</row>
    <row r="715" spans="1:62" ht="12.75" x14ac:dyDescent="0.2">
      <c r="A715" s="3"/>
      <c r="B715" s="2"/>
      <c r="C715" s="4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3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</row>
    <row r="716" spans="1:62" ht="12.75" x14ac:dyDescent="0.2">
      <c r="A716" s="3"/>
      <c r="B716" s="2"/>
      <c r="C716" s="4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3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</row>
    <row r="717" spans="1:62" ht="12.75" x14ac:dyDescent="0.2">
      <c r="A717" s="3"/>
      <c r="B717" s="2"/>
      <c r="C717" s="4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3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</row>
    <row r="718" spans="1:62" ht="12.75" x14ac:dyDescent="0.2">
      <c r="A718" s="3"/>
      <c r="B718" s="2"/>
      <c r="C718" s="4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3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</row>
    <row r="719" spans="1:62" ht="12.75" x14ac:dyDescent="0.2">
      <c r="A719" s="3"/>
      <c r="B719" s="2"/>
      <c r="C719" s="4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3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</row>
    <row r="720" spans="1:62" ht="12.75" x14ac:dyDescent="0.2">
      <c r="A720" s="3"/>
      <c r="B720" s="2"/>
      <c r="C720" s="4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3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</row>
    <row r="721" spans="1:62" ht="12.75" x14ac:dyDescent="0.2">
      <c r="A721" s="3"/>
      <c r="B721" s="2"/>
      <c r="C721" s="4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3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</row>
    <row r="722" spans="1:62" ht="12.75" x14ac:dyDescent="0.2">
      <c r="A722" s="3"/>
      <c r="B722" s="2"/>
      <c r="C722" s="4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3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</row>
    <row r="723" spans="1:62" ht="12.75" x14ac:dyDescent="0.2">
      <c r="A723" s="3"/>
      <c r="B723" s="2"/>
      <c r="C723" s="4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3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</row>
    <row r="724" spans="1:62" ht="12.75" x14ac:dyDescent="0.2">
      <c r="A724" s="3"/>
      <c r="B724" s="2"/>
      <c r="C724" s="4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3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</row>
    <row r="725" spans="1:62" ht="12.75" x14ac:dyDescent="0.2">
      <c r="A725" s="3"/>
      <c r="B725" s="2"/>
      <c r="C725" s="4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3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</row>
    <row r="726" spans="1:62" ht="12.75" x14ac:dyDescent="0.2">
      <c r="A726" s="3"/>
      <c r="B726" s="2"/>
      <c r="C726" s="4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3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</row>
    <row r="727" spans="1:62" ht="12.75" x14ac:dyDescent="0.2">
      <c r="A727" s="3"/>
      <c r="B727" s="2"/>
      <c r="C727" s="4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3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</row>
    <row r="728" spans="1:62" ht="12.75" x14ac:dyDescent="0.2">
      <c r="A728" s="3"/>
      <c r="B728" s="2"/>
      <c r="C728" s="4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3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</row>
    <row r="729" spans="1:62" ht="12.75" x14ac:dyDescent="0.2">
      <c r="A729" s="3"/>
      <c r="B729" s="2"/>
      <c r="C729" s="4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3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</row>
    <row r="730" spans="1:62" ht="12.75" x14ac:dyDescent="0.2">
      <c r="A730" s="3"/>
      <c r="B730" s="2"/>
      <c r="C730" s="4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3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</row>
    <row r="731" spans="1:62" ht="12.75" x14ac:dyDescent="0.2">
      <c r="A731" s="3"/>
      <c r="B731" s="2"/>
      <c r="C731" s="4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3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</row>
    <row r="732" spans="1:62" ht="12.75" x14ac:dyDescent="0.2">
      <c r="A732" s="3"/>
      <c r="B732" s="2"/>
      <c r="C732" s="4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3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</row>
    <row r="733" spans="1:62" ht="12.75" x14ac:dyDescent="0.2">
      <c r="A733" s="3"/>
      <c r="B733" s="2"/>
      <c r="C733" s="4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3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</row>
    <row r="734" spans="1:62" ht="12.75" x14ac:dyDescent="0.2">
      <c r="A734" s="3"/>
      <c r="B734" s="2"/>
      <c r="C734" s="4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3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</row>
    <row r="735" spans="1:62" ht="12.75" x14ac:dyDescent="0.2">
      <c r="A735" s="3"/>
      <c r="B735" s="2"/>
      <c r="C735" s="4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3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</row>
    <row r="736" spans="1:62" ht="12.75" x14ac:dyDescent="0.2">
      <c r="A736" s="3"/>
      <c r="B736" s="2"/>
      <c r="C736" s="4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3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</row>
    <row r="737" spans="1:62" ht="12.75" x14ac:dyDescent="0.2">
      <c r="A737" s="3"/>
      <c r="B737" s="2"/>
      <c r="C737" s="4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3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</row>
    <row r="738" spans="1:62" ht="12.75" x14ac:dyDescent="0.2">
      <c r="A738" s="3"/>
      <c r="B738" s="2"/>
      <c r="C738" s="4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3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</row>
    <row r="739" spans="1:62" ht="12.75" x14ac:dyDescent="0.2">
      <c r="A739" s="3"/>
      <c r="B739" s="2"/>
      <c r="C739" s="4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3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</row>
    <row r="740" spans="1:62" ht="12.75" x14ac:dyDescent="0.2">
      <c r="A740" s="3"/>
      <c r="B740" s="2"/>
      <c r="C740" s="4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3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</row>
    <row r="741" spans="1:62" ht="12.75" x14ac:dyDescent="0.2">
      <c r="A741" s="3"/>
      <c r="B741" s="2"/>
      <c r="C741" s="4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3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</row>
    <row r="742" spans="1:62" ht="12.75" x14ac:dyDescent="0.2">
      <c r="A742" s="3"/>
      <c r="B742" s="2"/>
      <c r="C742" s="4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3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</row>
    <row r="743" spans="1:62" ht="12.75" x14ac:dyDescent="0.2">
      <c r="A743" s="3"/>
      <c r="B743" s="2"/>
      <c r="C743" s="4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3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</row>
    <row r="744" spans="1:62" ht="12.75" x14ac:dyDescent="0.2">
      <c r="A744" s="3"/>
      <c r="B744" s="2"/>
      <c r="C744" s="4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3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</row>
    <row r="745" spans="1:62" ht="12.75" x14ac:dyDescent="0.2">
      <c r="A745" s="3"/>
      <c r="B745" s="2"/>
      <c r="C745" s="4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3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</row>
    <row r="746" spans="1:62" ht="12.75" x14ac:dyDescent="0.2">
      <c r="A746" s="3"/>
      <c r="B746" s="2"/>
      <c r="C746" s="4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3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</row>
    <row r="747" spans="1:62" ht="12.75" x14ac:dyDescent="0.2">
      <c r="A747" s="3"/>
      <c r="B747" s="2"/>
      <c r="C747" s="4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3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</row>
    <row r="748" spans="1:62" ht="12.75" x14ac:dyDescent="0.2">
      <c r="A748" s="3"/>
      <c r="B748" s="2"/>
      <c r="C748" s="4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3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</row>
    <row r="749" spans="1:62" ht="12.75" x14ac:dyDescent="0.2">
      <c r="A749" s="3"/>
      <c r="B749" s="2"/>
      <c r="C749" s="4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3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</row>
    <row r="750" spans="1:62" ht="12.75" x14ac:dyDescent="0.2">
      <c r="A750" s="3"/>
      <c r="B750" s="2"/>
      <c r="C750" s="4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3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</row>
    <row r="751" spans="1:62" ht="12.75" x14ac:dyDescent="0.2">
      <c r="A751" s="3"/>
      <c r="B751" s="2"/>
      <c r="C751" s="4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3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</row>
    <row r="752" spans="1:62" ht="12.75" x14ac:dyDescent="0.2">
      <c r="A752" s="3"/>
      <c r="B752" s="2"/>
      <c r="C752" s="4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3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</row>
    <row r="753" spans="1:62" ht="12.75" x14ac:dyDescent="0.2">
      <c r="A753" s="3"/>
      <c r="B753" s="2"/>
      <c r="C753" s="4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3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</row>
    <row r="754" spans="1:62" ht="12.75" x14ac:dyDescent="0.2">
      <c r="A754" s="3"/>
      <c r="B754" s="2"/>
      <c r="C754" s="4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3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</row>
    <row r="755" spans="1:62" ht="12.75" x14ac:dyDescent="0.2">
      <c r="A755" s="3"/>
      <c r="B755" s="2"/>
      <c r="C755" s="4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3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</row>
    <row r="756" spans="1:62" ht="12.75" x14ac:dyDescent="0.2">
      <c r="A756" s="3"/>
      <c r="B756" s="2"/>
      <c r="C756" s="4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3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</row>
    <row r="757" spans="1:62" ht="12.75" x14ac:dyDescent="0.2">
      <c r="A757" s="3"/>
      <c r="B757" s="2"/>
      <c r="C757" s="4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3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</row>
    <row r="758" spans="1:62" ht="12.75" x14ac:dyDescent="0.2">
      <c r="A758" s="3"/>
      <c r="B758" s="2"/>
      <c r="C758" s="4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3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</row>
    <row r="759" spans="1:62" ht="12.75" x14ac:dyDescent="0.2">
      <c r="A759" s="3"/>
      <c r="B759" s="2"/>
      <c r="C759" s="4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3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</row>
    <row r="760" spans="1:62" ht="12.75" x14ac:dyDescent="0.2">
      <c r="A760" s="3"/>
      <c r="B760" s="2"/>
      <c r="C760" s="4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3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</row>
    <row r="761" spans="1:62" ht="12.75" x14ac:dyDescent="0.2">
      <c r="A761" s="3"/>
      <c r="B761" s="2"/>
      <c r="C761" s="4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3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</row>
    <row r="762" spans="1:62" ht="12.75" x14ac:dyDescent="0.2">
      <c r="A762" s="3"/>
      <c r="B762" s="2"/>
      <c r="C762" s="4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3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</row>
    <row r="763" spans="1:62" ht="12.75" x14ac:dyDescent="0.2">
      <c r="A763" s="3"/>
      <c r="B763" s="2"/>
      <c r="C763" s="4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3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</row>
    <row r="764" spans="1:62" ht="12.75" x14ac:dyDescent="0.2">
      <c r="A764" s="3"/>
      <c r="B764" s="2"/>
      <c r="C764" s="4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3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</row>
    <row r="765" spans="1:62" ht="12.75" x14ac:dyDescent="0.2">
      <c r="A765" s="3"/>
      <c r="B765" s="2"/>
      <c r="C765" s="4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3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</row>
    <row r="766" spans="1:62" ht="12.75" x14ac:dyDescent="0.2">
      <c r="A766" s="3"/>
      <c r="B766" s="2"/>
      <c r="C766" s="4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3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</row>
    <row r="767" spans="1:62" ht="12.75" x14ac:dyDescent="0.2">
      <c r="A767" s="3"/>
      <c r="B767" s="2"/>
      <c r="C767" s="4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3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</row>
    <row r="768" spans="1:62" ht="12.75" x14ac:dyDescent="0.2">
      <c r="A768" s="3"/>
      <c r="B768" s="2"/>
      <c r="C768" s="4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3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</row>
    <row r="769" spans="1:62" ht="12.75" x14ac:dyDescent="0.2">
      <c r="A769" s="3"/>
      <c r="B769" s="2"/>
      <c r="C769" s="4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3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</row>
    <row r="770" spans="1:62" ht="12.75" x14ac:dyDescent="0.2">
      <c r="A770" s="3"/>
      <c r="B770" s="2"/>
      <c r="C770" s="4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3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</row>
    <row r="771" spans="1:62" ht="12.75" x14ac:dyDescent="0.2">
      <c r="A771" s="3"/>
      <c r="B771" s="2"/>
      <c r="C771" s="4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3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</row>
    <row r="772" spans="1:62" ht="12.75" x14ac:dyDescent="0.2">
      <c r="A772" s="3"/>
      <c r="B772" s="2"/>
      <c r="C772" s="4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3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</row>
    <row r="773" spans="1:62" ht="12.75" x14ac:dyDescent="0.2">
      <c r="A773" s="3"/>
      <c r="B773" s="2"/>
      <c r="C773" s="4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3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</row>
    <row r="774" spans="1:62" ht="12.75" x14ac:dyDescent="0.2">
      <c r="A774" s="3"/>
      <c r="B774" s="2"/>
      <c r="C774" s="4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3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</row>
    <row r="775" spans="1:62" ht="12.75" x14ac:dyDescent="0.2">
      <c r="A775" s="3"/>
      <c r="B775" s="2"/>
      <c r="C775" s="4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3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</row>
    <row r="776" spans="1:62" ht="12.75" x14ac:dyDescent="0.2">
      <c r="A776" s="3"/>
      <c r="B776" s="2"/>
      <c r="C776" s="4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3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</row>
    <row r="777" spans="1:62" ht="12.75" x14ac:dyDescent="0.2">
      <c r="A777" s="3"/>
      <c r="B777" s="2"/>
      <c r="C777" s="4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3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</row>
    <row r="778" spans="1:62" ht="12.75" x14ac:dyDescent="0.2">
      <c r="A778" s="3"/>
      <c r="B778" s="2"/>
      <c r="C778" s="4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3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</row>
    <row r="779" spans="1:62" ht="12.75" x14ac:dyDescent="0.2">
      <c r="A779" s="3"/>
      <c r="B779" s="2"/>
      <c r="C779" s="4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3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</row>
    <row r="780" spans="1:62" ht="12.75" x14ac:dyDescent="0.2">
      <c r="A780" s="3"/>
      <c r="B780" s="2"/>
      <c r="C780" s="4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3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</row>
    <row r="781" spans="1:62" ht="12.75" x14ac:dyDescent="0.2">
      <c r="A781" s="3"/>
      <c r="B781" s="2"/>
      <c r="C781" s="4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3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</row>
    <row r="782" spans="1:62" ht="12.75" x14ac:dyDescent="0.2">
      <c r="A782" s="3"/>
      <c r="B782" s="2"/>
      <c r="C782" s="4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3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</row>
    <row r="783" spans="1:62" ht="12.75" x14ac:dyDescent="0.2">
      <c r="A783" s="3"/>
      <c r="B783" s="2"/>
      <c r="C783" s="4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3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</row>
    <row r="784" spans="1:62" ht="12.75" x14ac:dyDescent="0.2">
      <c r="A784" s="3"/>
      <c r="B784" s="2"/>
      <c r="C784" s="4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3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</row>
    <row r="785" spans="1:62" ht="12.75" x14ac:dyDescent="0.2">
      <c r="A785" s="3"/>
      <c r="B785" s="2"/>
      <c r="C785" s="4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3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</row>
    <row r="786" spans="1:62" ht="12.75" x14ac:dyDescent="0.2">
      <c r="A786" s="3"/>
      <c r="B786" s="2"/>
      <c r="C786" s="4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3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</row>
    <row r="787" spans="1:62" ht="12.75" x14ac:dyDescent="0.2">
      <c r="A787" s="3"/>
      <c r="B787" s="2"/>
      <c r="C787" s="4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3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</row>
    <row r="788" spans="1:62" ht="12.75" x14ac:dyDescent="0.2">
      <c r="A788" s="3"/>
      <c r="B788" s="2"/>
      <c r="C788" s="4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3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</row>
    <row r="789" spans="1:62" ht="12.75" x14ac:dyDescent="0.2">
      <c r="A789" s="3"/>
      <c r="B789" s="2"/>
      <c r="C789" s="4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3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</row>
    <row r="790" spans="1:62" ht="12.75" x14ac:dyDescent="0.2">
      <c r="A790" s="3"/>
      <c r="B790" s="2"/>
      <c r="C790" s="4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3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</row>
    <row r="791" spans="1:62" ht="12.75" x14ac:dyDescent="0.2">
      <c r="A791" s="3"/>
      <c r="B791" s="2"/>
      <c r="C791" s="4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3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</row>
    <row r="792" spans="1:62" ht="12.75" x14ac:dyDescent="0.2">
      <c r="A792" s="3"/>
      <c r="B792" s="2"/>
      <c r="C792" s="4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3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</row>
    <row r="793" spans="1:62" ht="12.75" x14ac:dyDescent="0.2">
      <c r="A793" s="3"/>
      <c r="B793" s="2"/>
      <c r="C793" s="4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3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</row>
    <row r="794" spans="1:62" ht="12.75" x14ac:dyDescent="0.2">
      <c r="A794" s="3"/>
      <c r="B794" s="2"/>
      <c r="C794" s="4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3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</row>
    <row r="795" spans="1:62" ht="12.75" x14ac:dyDescent="0.2">
      <c r="A795" s="3"/>
      <c r="B795" s="2"/>
      <c r="C795" s="4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3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</row>
    <row r="796" spans="1:62" ht="12.75" x14ac:dyDescent="0.2">
      <c r="A796" s="3"/>
      <c r="B796" s="2"/>
      <c r="C796" s="4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3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</row>
    <row r="797" spans="1:62" ht="12.75" x14ac:dyDescent="0.2">
      <c r="A797" s="3"/>
      <c r="B797" s="2"/>
      <c r="C797" s="4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3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</row>
    <row r="798" spans="1:62" ht="12.75" x14ac:dyDescent="0.2">
      <c r="A798" s="3"/>
      <c r="B798" s="2"/>
      <c r="C798" s="4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3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</row>
    <row r="799" spans="1:62" ht="12.75" x14ac:dyDescent="0.2">
      <c r="A799" s="3"/>
      <c r="B799" s="2"/>
      <c r="C799" s="4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3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</row>
    <row r="800" spans="1:62" ht="12.75" x14ac:dyDescent="0.2">
      <c r="A800" s="3"/>
      <c r="B800" s="2"/>
      <c r="C800" s="4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3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</row>
    <row r="801" spans="1:62" ht="12.75" x14ac:dyDescent="0.2">
      <c r="A801" s="3"/>
      <c r="B801" s="2"/>
      <c r="C801" s="4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3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</row>
    <row r="802" spans="1:62" ht="12.75" x14ac:dyDescent="0.2">
      <c r="A802" s="3"/>
      <c r="B802" s="2"/>
      <c r="C802" s="4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3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</row>
    <row r="803" spans="1:62" ht="12.75" x14ac:dyDescent="0.2">
      <c r="A803" s="3"/>
      <c r="B803" s="2"/>
      <c r="C803" s="4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3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</row>
    <row r="804" spans="1:62" ht="12.75" x14ac:dyDescent="0.2">
      <c r="A804" s="3"/>
      <c r="B804" s="2"/>
      <c r="C804" s="4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3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</row>
    <row r="805" spans="1:62" ht="12.75" x14ac:dyDescent="0.2">
      <c r="A805" s="3"/>
      <c r="B805" s="2"/>
      <c r="C805" s="4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3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</row>
    <row r="806" spans="1:62" ht="12.75" x14ac:dyDescent="0.2">
      <c r="A806" s="3"/>
      <c r="B806" s="2"/>
      <c r="C806" s="4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3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</row>
    <row r="807" spans="1:62" ht="12.75" x14ac:dyDescent="0.2">
      <c r="A807" s="3"/>
      <c r="B807" s="2"/>
      <c r="C807" s="4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3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</row>
    <row r="808" spans="1:62" ht="12.75" x14ac:dyDescent="0.2">
      <c r="A808" s="3"/>
      <c r="B808" s="2"/>
      <c r="C808" s="4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3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</row>
    <row r="809" spans="1:62" ht="12.75" x14ac:dyDescent="0.2">
      <c r="A809" s="3"/>
      <c r="B809" s="2"/>
      <c r="C809" s="4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3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</row>
    <row r="810" spans="1:62" ht="12.75" x14ac:dyDescent="0.2">
      <c r="A810" s="3"/>
      <c r="B810" s="2"/>
      <c r="C810" s="4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3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</row>
    <row r="811" spans="1:62" ht="12.75" x14ac:dyDescent="0.2">
      <c r="A811" s="3"/>
      <c r="B811" s="2"/>
      <c r="C811" s="4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3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</row>
    <row r="812" spans="1:62" ht="12.75" x14ac:dyDescent="0.2">
      <c r="A812" s="3"/>
      <c r="B812" s="2"/>
      <c r="C812" s="4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3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</row>
    <row r="813" spans="1:62" ht="12.75" x14ac:dyDescent="0.2">
      <c r="A813" s="3"/>
      <c r="B813" s="2"/>
      <c r="C813" s="4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3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</row>
    <row r="814" spans="1:62" ht="12.75" x14ac:dyDescent="0.2">
      <c r="A814" s="3"/>
      <c r="B814" s="2"/>
      <c r="C814" s="4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3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</row>
    <row r="815" spans="1:62" ht="12.75" x14ac:dyDescent="0.2">
      <c r="A815" s="3"/>
      <c r="B815" s="2"/>
      <c r="C815" s="4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3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</row>
    <row r="816" spans="1:62" ht="12.75" x14ac:dyDescent="0.2">
      <c r="A816" s="3"/>
      <c r="B816" s="2"/>
      <c r="C816" s="4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3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</row>
    <row r="817" spans="1:62" ht="12.75" x14ac:dyDescent="0.2">
      <c r="A817" s="3"/>
      <c r="B817" s="2"/>
      <c r="C817" s="4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3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</row>
    <row r="818" spans="1:62" ht="12.75" x14ac:dyDescent="0.2">
      <c r="A818" s="3"/>
      <c r="B818" s="2"/>
      <c r="C818" s="4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3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</row>
    <row r="819" spans="1:62" ht="12.75" x14ac:dyDescent="0.2">
      <c r="A819" s="3"/>
      <c r="B819" s="2"/>
      <c r="C819" s="4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3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</row>
    <row r="820" spans="1:62" ht="12.75" x14ac:dyDescent="0.2">
      <c r="A820" s="3"/>
      <c r="B820" s="2"/>
      <c r="C820" s="4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3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</row>
    <row r="821" spans="1:62" ht="12.75" x14ac:dyDescent="0.2">
      <c r="A821" s="3"/>
      <c r="B821" s="2"/>
      <c r="C821" s="4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3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</row>
    <row r="822" spans="1:62" ht="12.75" x14ac:dyDescent="0.2">
      <c r="A822" s="3"/>
      <c r="B822" s="2"/>
      <c r="C822" s="4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3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</row>
    <row r="823" spans="1:62" ht="12.75" x14ac:dyDescent="0.2">
      <c r="A823" s="3"/>
      <c r="B823" s="2"/>
      <c r="C823" s="4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3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</row>
    <row r="824" spans="1:62" ht="12.75" x14ac:dyDescent="0.2">
      <c r="A824" s="3"/>
      <c r="B824" s="2"/>
      <c r="C824" s="4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3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</row>
    <row r="825" spans="1:62" ht="12.75" x14ac:dyDescent="0.2">
      <c r="A825" s="3"/>
      <c r="B825" s="2"/>
      <c r="C825" s="4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3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</row>
    <row r="826" spans="1:62" ht="12.75" x14ac:dyDescent="0.2">
      <c r="A826" s="3"/>
      <c r="B826" s="2"/>
      <c r="C826" s="4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3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</row>
    <row r="827" spans="1:62" ht="12.75" x14ac:dyDescent="0.2">
      <c r="A827" s="3"/>
      <c r="B827" s="2"/>
      <c r="C827" s="4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3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</row>
    <row r="828" spans="1:62" ht="12.75" x14ac:dyDescent="0.2">
      <c r="A828" s="3"/>
      <c r="B828" s="2"/>
      <c r="C828" s="4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3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</row>
    <row r="829" spans="1:62" ht="12.75" x14ac:dyDescent="0.2">
      <c r="A829" s="3"/>
      <c r="B829" s="2"/>
      <c r="C829" s="4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3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</row>
    <row r="830" spans="1:62" ht="12.75" x14ac:dyDescent="0.2">
      <c r="A830" s="3"/>
      <c r="B830" s="2"/>
      <c r="C830" s="4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3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</row>
    <row r="831" spans="1:62" ht="12.75" x14ac:dyDescent="0.2">
      <c r="A831" s="3"/>
      <c r="B831" s="2"/>
      <c r="C831" s="4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3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</row>
    <row r="832" spans="1:62" ht="12.75" x14ac:dyDescent="0.2">
      <c r="A832" s="3"/>
      <c r="B832" s="2"/>
      <c r="C832" s="4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3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</row>
    <row r="833" spans="1:62" ht="12.75" x14ac:dyDescent="0.2">
      <c r="A833" s="3"/>
      <c r="B833" s="2"/>
      <c r="C833" s="4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3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</row>
    <row r="834" spans="1:62" ht="12.75" x14ac:dyDescent="0.2">
      <c r="A834" s="3"/>
      <c r="B834" s="2"/>
      <c r="C834" s="4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3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</row>
    <row r="835" spans="1:62" ht="12.75" x14ac:dyDescent="0.2">
      <c r="A835" s="3"/>
      <c r="B835" s="2"/>
      <c r="C835" s="4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3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</row>
    <row r="836" spans="1:62" ht="12.75" x14ac:dyDescent="0.2">
      <c r="A836" s="3"/>
      <c r="B836" s="2"/>
      <c r="C836" s="4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3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</row>
    <row r="837" spans="1:62" ht="12.75" x14ac:dyDescent="0.2">
      <c r="A837" s="3"/>
      <c r="B837" s="2"/>
      <c r="C837" s="4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3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</row>
    <row r="838" spans="1:62" ht="12.75" x14ac:dyDescent="0.2">
      <c r="A838" s="3"/>
      <c r="B838" s="2"/>
      <c r="C838" s="4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3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</row>
    <row r="839" spans="1:62" ht="12.75" x14ac:dyDescent="0.2">
      <c r="A839" s="3"/>
      <c r="B839" s="2"/>
      <c r="C839" s="4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3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</row>
    <row r="840" spans="1:62" ht="12.75" x14ac:dyDescent="0.2">
      <c r="A840" s="3"/>
      <c r="B840" s="2"/>
      <c r="C840" s="4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3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</row>
    <row r="841" spans="1:62" ht="12.75" x14ac:dyDescent="0.2">
      <c r="A841" s="3"/>
      <c r="B841" s="2"/>
      <c r="C841" s="4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3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</row>
    <row r="842" spans="1:62" ht="12.75" x14ac:dyDescent="0.2">
      <c r="A842" s="3"/>
      <c r="B842" s="2"/>
      <c r="C842" s="4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3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</row>
    <row r="843" spans="1:62" ht="12.75" x14ac:dyDescent="0.2">
      <c r="A843" s="3"/>
      <c r="B843" s="2"/>
      <c r="C843" s="4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3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</row>
    <row r="844" spans="1:62" ht="12.75" x14ac:dyDescent="0.2">
      <c r="A844" s="3"/>
      <c r="B844" s="2"/>
      <c r="C844" s="4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3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</row>
    <row r="845" spans="1:62" ht="12.75" x14ac:dyDescent="0.2">
      <c r="A845" s="3"/>
      <c r="B845" s="2"/>
      <c r="C845" s="4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3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</row>
    <row r="846" spans="1:62" ht="12.75" x14ac:dyDescent="0.2">
      <c r="A846" s="3"/>
      <c r="B846" s="2"/>
      <c r="C846" s="4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3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</row>
    <row r="847" spans="1:62" ht="12.75" x14ac:dyDescent="0.2">
      <c r="A847" s="3"/>
      <c r="B847" s="2"/>
      <c r="C847" s="4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3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</row>
    <row r="848" spans="1:62" ht="12.75" x14ac:dyDescent="0.2">
      <c r="A848" s="3"/>
      <c r="B848" s="2"/>
      <c r="C848" s="4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3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</row>
    <row r="849" spans="1:62" ht="12.75" x14ac:dyDescent="0.2">
      <c r="A849" s="3"/>
      <c r="B849" s="2"/>
      <c r="C849" s="4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3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</row>
    <row r="850" spans="1:62" ht="12.75" x14ac:dyDescent="0.2">
      <c r="A850" s="3"/>
      <c r="B850" s="2"/>
      <c r="C850" s="4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3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</row>
    <row r="851" spans="1:62" ht="12.75" x14ac:dyDescent="0.2">
      <c r="A851" s="3"/>
      <c r="B851" s="2"/>
      <c r="C851" s="4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3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</row>
    <row r="852" spans="1:62" ht="12.75" x14ac:dyDescent="0.2">
      <c r="A852" s="3"/>
      <c r="B852" s="2"/>
      <c r="C852" s="4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3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</row>
    <row r="853" spans="1:62" ht="12.75" x14ac:dyDescent="0.2">
      <c r="A853" s="3"/>
      <c r="B853" s="2"/>
      <c r="C853" s="4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3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</row>
    <row r="854" spans="1:62" ht="12.75" x14ac:dyDescent="0.2">
      <c r="A854" s="3"/>
      <c r="B854" s="2"/>
      <c r="C854" s="4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3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</row>
    <row r="855" spans="1:62" ht="12.75" x14ac:dyDescent="0.2">
      <c r="A855" s="3"/>
      <c r="B855" s="2"/>
      <c r="C855" s="4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3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</row>
    <row r="856" spans="1:62" ht="12.75" x14ac:dyDescent="0.2">
      <c r="A856" s="3"/>
      <c r="B856" s="2"/>
      <c r="C856" s="4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3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</row>
    <row r="857" spans="1:62" ht="12.75" x14ac:dyDescent="0.2">
      <c r="A857" s="3"/>
      <c r="B857" s="2"/>
      <c r="C857" s="4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3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</row>
    <row r="858" spans="1:62" ht="12.75" x14ac:dyDescent="0.2">
      <c r="A858" s="3"/>
      <c r="B858" s="2"/>
      <c r="C858" s="4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3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</row>
    <row r="859" spans="1:62" ht="12.75" x14ac:dyDescent="0.2">
      <c r="A859" s="3"/>
      <c r="B859" s="2"/>
      <c r="C859" s="4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3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</row>
    <row r="860" spans="1:62" ht="12.75" x14ac:dyDescent="0.2">
      <c r="A860" s="3"/>
      <c r="B860" s="2"/>
      <c r="C860" s="4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3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</row>
    <row r="861" spans="1:62" ht="12.75" x14ac:dyDescent="0.2">
      <c r="A861" s="3"/>
      <c r="B861" s="2"/>
      <c r="C861" s="4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3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</row>
    <row r="862" spans="1:62" ht="12.75" x14ac:dyDescent="0.2">
      <c r="A862" s="3"/>
      <c r="B862" s="2"/>
      <c r="C862" s="4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3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</row>
    <row r="863" spans="1:62" ht="12.75" x14ac:dyDescent="0.2">
      <c r="A863" s="3"/>
      <c r="B863" s="2"/>
      <c r="C863" s="4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3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</row>
    <row r="864" spans="1:62" ht="12.75" x14ac:dyDescent="0.2">
      <c r="A864" s="3"/>
      <c r="B864" s="2"/>
      <c r="C864" s="4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3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</row>
    <row r="865" spans="1:62" ht="12.75" x14ac:dyDescent="0.2">
      <c r="A865" s="3"/>
      <c r="B865" s="2"/>
      <c r="C865" s="4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3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</row>
    <row r="866" spans="1:62" ht="12.75" x14ac:dyDescent="0.2">
      <c r="A866" s="3"/>
      <c r="B866" s="2"/>
      <c r="C866" s="4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3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</row>
    <row r="867" spans="1:62" ht="12.75" x14ac:dyDescent="0.2">
      <c r="A867" s="3"/>
      <c r="B867" s="2"/>
      <c r="C867" s="4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3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</row>
    <row r="868" spans="1:62" ht="12.75" x14ac:dyDescent="0.2">
      <c r="A868" s="3"/>
      <c r="B868" s="2"/>
      <c r="C868" s="4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3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</row>
    <row r="869" spans="1:62" ht="12.75" x14ac:dyDescent="0.2">
      <c r="A869" s="3"/>
      <c r="B869" s="2"/>
      <c r="C869" s="4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3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</row>
    <row r="870" spans="1:62" ht="12.75" x14ac:dyDescent="0.2">
      <c r="A870" s="3"/>
      <c r="B870" s="2"/>
      <c r="C870" s="4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3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</row>
    <row r="871" spans="1:62" ht="12.75" x14ac:dyDescent="0.2">
      <c r="A871" s="3"/>
      <c r="B871" s="2"/>
      <c r="C871" s="4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3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</row>
    <row r="872" spans="1:62" ht="12.75" x14ac:dyDescent="0.2">
      <c r="A872" s="3"/>
      <c r="B872" s="2"/>
      <c r="C872" s="4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3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</row>
    <row r="873" spans="1:62" ht="12.75" x14ac:dyDescent="0.2">
      <c r="A873" s="3"/>
      <c r="B873" s="2"/>
      <c r="C873" s="4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3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</row>
    <row r="874" spans="1:62" ht="12.75" x14ac:dyDescent="0.2">
      <c r="A874" s="3"/>
      <c r="B874" s="2"/>
      <c r="C874" s="4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3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</row>
    <row r="875" spans="1:62" ht="12.75" x14ac:dyDescent="0.2">
      <c r="A875" s="3"/>
      <c r="B875" s="2"/>
      <c r="C875" s="4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3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</row>
    <row r="876" spans="1:62" ht="12.75" x14ac:dyDescent="0.2">
      <c r="A876" s="3"/>
      <c r="B876" s="2"/>
      <c r="C876" s="4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3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</row>
    <row r="877" spans="1:62" ht="12.75" x14ac:dyDescent="0.2">
      <c r="A877" s="3"/>
      <c r="B877" s="2"/>
      <c r="C877" s="4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3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</row>
    <row r="878" spans="1:62" ht="12.75" x14ac:dyDescent="0.2">
      <c r="A878" s="3"/>
      <c r="B878" s="2"/>
      <c r="C878" s="4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3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</row>
    <row r="879" spans="1:62" ht="12.75" x14ac:dyDescent="0.2">
      <c r="A879" s="3"/>
      <c r="B879" s="2"/>
      <c r="C879" s="4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3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</row>
    <row r="880" spans="1:62" ht="12.75" x14ac:dyDescent="0.2">
      <c r="A880" s="3"/>
      <c r="B880" s="2"/>
      <c r="C880" s="4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3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</row>
    <row r="881" spans="1:62" ht="12.75" x14ac:dyDescent="0.2">
      <c r="A881" s="3"/>
      <c r="B881" s="2"/>
      <c r="C881" s="4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3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</row>
    <row r="882" spans="1:62" ht="12.75" x14ac:dyDescent="0.2">
      <c r="A882" s="3"/>
      <c r="B882" s="2"/>
      <c r="C882" s="4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3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</row>
    <row r="883" spans="1:62" ht="12.75" x14ac:dyDescent="0.2">
      <c r="A883" s="3"/>
      <c r="B883" s="2"/>
      <c r="C883" s="4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3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</row>
    <row r="884" spans="1:62" ht="12.75" x14ac:dyDescent="0.2">
      <c r="A884" s="3"/>
      <c r="B884" s="2"/>
      <c r="C884" s="4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3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</row>
    <row r="885" spans="1:62" ht="12.75" x14ac:dyDescent="0.2">
      <c r="A885" s="3"/>
      <c r="B885" s="2"/>
      <c r="C885" s="4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3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</row>
    <row r="886" spans="1:62" ht="12.75" x14ac:dyDescent="0.2">
      <c r="A886" s="3"/>
      <c r="B886" s="2"/>
      <c r="C886" s="4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3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</row>
    <row r="887" spans="1:62" ht="12.75" x14ac:dyDescent="0.2">
      <c r="A887" s="3"/>
      <c r="B887" s="2"/>
      <c r="C887" s="4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3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</row>
    <row r="888" spans="1:62" ht="12.75" x14ac:dyDescent="0.2">
      <c r="A888" s="3"/>
      <c r="B888" s="2"/>
      <c r="C888" s="4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3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</row>
    <row r="889" spans="1:62" ht="12.75" x14ac:dyDescent="0.2">
      <c r="A889" s="3"/>
      <c r="B889" s="2"/>
      <c r="C889" s="4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3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</row>
    <row r="890" spans="1:62" ht="12.75" x14ac:dyDescent="0.2">
      <c r="A890" s="3"/>
      <c r="B890" s="2"/>
      <c r="C890" s="4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3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</row>
    <row r="891" spans="1:62" ht="12.75" x14ac:dyDescent="0.2">
      <c r="A891" s="3"/>
      <c r="B891" s="2"/>
      <c r="C891" s="4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3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</row>
    <row r="892" spans="1:62" ht="12.75" x14ac:dyDescent="0.2">
      <c r="A892" s="3"/>
      <c r="B892" s="2"/>
      <c r="C892" s="4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3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</row>
    <row r="893" spans="1:62" ht="12.75" x14ac:dyDescent="0.2">
      <c r="A893" s="3"/>
      <c r="B893" s="2"/>
      <c r="C893" s="4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3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</row>
    <row r="894" spans="1:62" ht="12.75" x14ac:dyDescent="0.2">
      <c r="A894" s="3"/>
      <c r="B894" s="2"/>
      <c r="C894" s="4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3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</row>
    <row r="895" spans="1:62" ht="12.75" x14ac:dyDescent="0.2">
      <c r="A895" s="3"/>
      <c r="B895" s="2"/>
      <c r="C895" s="4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3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</row>
    <row r="896" spans="1:62" ht="12.75" x14ac:dyDescent="0.2">
      <c r="A896" s="3"/>
      <c r="B896" s="2"/>
      <c r="C896" s="4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3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</row>
    <row r="897" spans="1:62" ht="12.75" x14ac:dyDescent="0.2">
      <c r="A897" s="3"/>
      <c r="B897" s="2"/>
      <c r="C897" s="4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3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</row>
    <row r="898" spans="1:62" ht="12.75" x14ac:dyDescent="0.2">
      <c r="A898" s="3"/>
      <c r="B898" s="2"/>
      <c r="C898" s="4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3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</row>
    <row r="899" spans="1:62" ht="12.75" x14ac:dyDescent="0.2">
      <c r="A899" s="3"/>
      <c r="B899" s="2"/>
      <c r="C899" s="4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3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</row>
    <row r="900" spans="1:62" ht="12.75" x14ac:dyDescent="0.2">
      <c r="A900" s="3"/>
      <c r="B900" s="2"/>
      <c r="C900" s="4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3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</row>
    <row r="901" spans="1:62" ht="12.75" x14ac:dyDescent="0.2">
      <c r="A901" s="3"/>
      <c r="B901" s="2"/>
      <c r="C901" s="4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3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</row>
    <row r="902" spans="1:62" ht="12.75" x14ac:dyDescent="0.2">
      <c r="A902" s="3"/>
      <c r="B902" s="2"/>
      <c r="C902" s="4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3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</row>
    <row r="903" spans="1:62" ht="12.75" x14ac:dyDescent="0.2">
      <c r="A903" s="3"/>
      <c r="B903" s="2"/>
      <c r="C903" s="4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3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</row>
    <row r="904" spans="1:62" ht="12.75" x14ac:dyDescent="0.2">
      <c r="A904" s="3"/>
      <c r="B904" s="2"/>
      <c r="C904" s="4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3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</row>
    <row r="905" spans="1:62" ht="12.75" x14ac:dyDescent="0.2">
      <c r="A905" s="3"/>
      <c r="B905" s="2"/>
      <c r="C905" s="4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3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</row>
    <row r="906" spans="1:62" ht="12.75" x14ac:dyDescent="0.2">
      <c r="A906" s="3"/>
      <c r="B906" s="2"/>
      <c r="C906" s="4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3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</row>
    <row r="907" spans="1:62" ht="12.75" x14ac:dyDescent="0.2">
      <c r="A907" s="3"/>
      <c r="B907" s="2"/>
      <c r="C907" s="4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3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</row>
    <row r="908" spans="1:62" ht="12.75" x14ac:dyDescent="0.2">
      <c r="A908" s="3"/>
      <c r="B908" s="2"/>
      <c r="C908" s="4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3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</row>
    <row r="909" spans="1:62" ht="12.75" x14ac:dyDescent="0.2">
      <c r="A909" s="3"/>
      <c r="B909" s="2"/>
      <c r="C909" s="4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3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</row>
    <row r="910" spans="1:62" ht="12.75" x14ac:dyDescent="0.2">
      <c r="A910" s="3"/>
      <c r="B910" s="2"/>
      <c r="C910" s="4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3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</row>
    <row r="911" spans="1:62" ht="12.75" x14ac:dyDescent="0.2">
      <c r="A911" s="3"/>
      <c r="B911" s="2"/>
      <c r="C911" s="4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3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</row>
    <row r="912" spans="1:62" ht="12.75" x14ac:dyDescent="0.2">
      <c r="A912" s="3"/>
      <c r="B912" s="2"/>
      <c r="C912" s="4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3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</row>
    <row r="913" spans="1:62" ht="12.75" x14ac:dyDescent="0.2">
      <c r="A913" s="3"/>
      <c r="B913" s="2"/>
      <c r="C913" s="4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3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</row>
    <row r="914" spans="1:62" ht="12.75" x14ac:dyDescent="0.2">
      <c r="A914" s="3"/>
      <c r="B914" s="2"/>
      <c r="C914" s="4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3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</row>
    <row r="915" spans="1:62" ht="12.75" x14ac:dyDescent="0.2">
      <c r="A915" s="3"/>
      <c r="B915" s="2"/>
      <c r="C915" s="4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3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</row>
    <row r="916" spans="1:62" ht="12.75" x14ac:dyDescent="0.2">
      <c r="A916" s="3"/>
      <c r="B916" s="2"/>
      <c r="C916" s="4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3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</row>
    <row r="917" spans="1:62" ht="12.75" x14ac:dyDescent="0.2">
      <c r="A917" s="3"/>
      <c r="B917" s="2"/>
      <c r="C917" s="4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3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</row>
    <row r="918" spans="1:62" ht="12.75" x14ac:dyDescent="0.2">
      <c r="A918" s="3"/>
      <c r="B918" s="2"/>
      <c r="C918" s="4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3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</row>
    <row r="919" spans="1:62" ht="12.75" x14ac:dyDescent="0.2">
      <c r="A919" s="3"/>
      <c r="B919" s="2"/>
      <c r="C919" s="4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3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</row>
    <row r="920" spans="1:62" ht="12.75" x14ac:dyDescent="0.2">
      <c r="A920" s="3"/>
      <c r="B920" s="2"/>
      <c r="C920" s="4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3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</row>
    <row r="921" spans="1:62" ht="12.75" x14ac:dyDescent="0.2">
      <c r="A921" s="3"/>
      <c r="B921" s="2"/>
      <c r="C921" s="4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3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</row>
    <row r="922" spans="1:62" ht="12.75" x14ac:dyDescent="0.2">
      <c r="A922" s="3"/>
      <c r="B922" s="2"/>
      <c r="C922" s="4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3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</row>
    <row r="923" spans="1:62" ht="12.75" x14ac:dyDescent="0.2">
      <c r="A923" s="3"/>
      <c r="B923" s="2"/>
      <c r="C923" s="4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3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</row>
    <row r="924" spans="1:62" ht="12.75" x14ac:dyDescent="0.2">
      <c r="A924" s="3"/>
      <c r="B924" s="2"/>
      <c r="C924" s="4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3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</row>
    <row r="925" spans="1:62" ht="12.75" x14ac:dyDescent="0.2">
      <c r="A925" s="3"/>
      <c r="B925" s="2"/>
      <c r="C925" s="4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3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</row>
    <row r="926" spans="1:62" ht="12.75" x14ac:dyDescent="0.2">
      <c r="A926" s="3"/>
      <c r="B926" s="2"/>
      <c r="C926" s="4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3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</row>
    <row r="927" spans="1:62" ht="12.75" x14ac:dyDescent="0.2">
      <c r="A927" s="3"/>
      <c r="B927" s="2"/>
      <c r="C927" s="4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3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</row>
    <row r="928" spans="1:62" ht="12.75" x14ac:dyDescent="0.2">
      <c r="A928" s="3"/>
      <c r="B928" s="2"/>
      <c r="C928" s="4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3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</row>
    <row r="929" spans="1:62" ht="12.75" x14ac:dyDescent="0.2">
      <c r="A929" s="3"/>
      <c r="B929" s="2"/>
      <c r="C929" s="4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3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</row>
    <row r="930" spans="1:62" ht="12.75" x14ac:dyDescent="0.2">
      <c r="A930" s="3"/>
      <c r="B930" s="2"/>
      <c r="C930" s="4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3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</row>
    <row r="931" spans="1:62" ht="12.75" x14ac:dyDescent="0.2">
      <c r="A931" s="3"/>
      <c r="B931" s="2"/>
      <c r="C931" s="4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3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</row>
    <row r="932" spans="1:62" ht="12.75" x14ac:dyDescent="0.2">
      <c r="A932" s="3"/>
      <c r="B932" s="2"/>
      <c r="C932" s="4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3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</row>
    <row r="933" spans="1:62" ht="12.75" x14ac:dyDescent="0.2">
      <c r="A933" s="3"/>
      <c r="B933" s="2"/>
      <c r="C933" s="4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3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</row>
    <row r="934" spans="1:62" ht="12.75" x14ac:dyDescent="0.2">
      <c r="A934" s="3"/>
      <c r="B934" s="2"/>
      <c r="C934" s="4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3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</row>
    <row r="935" spans="1:62" ht="12.75" x14ac:dyDescent="0.2">
      <c r="A935" s="3"/>
      <c r="B935" s="2"/>
      <c r="C935" s="4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3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</row>
    <row r="936" spans="1:62" ht="12.75" x14ac:dyDescent="0.2">
      <c r="A936" s="3"/>
      <c r="B936" s="2"/>
      <c r="C936" s="4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3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</row>
    <row r="937" spans="1:62" ht="12.75" x14ac:dyDescent="0.2">
      <c r="A937" s="3"/>
      <c r="B937" s="2"/>
      <c r="C937" s="4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3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</row>
    <row r="938" spans="1:62" ht="12.75" x14ac:dyDescent="0.2">
      <c r="A938" s="3"/>
      <c r="B938" s="2"/>
      <c r="C938" s="4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3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</row>
    <row r="939" spans="1:62" ht="12.75" x14ac:dyDescent="0.2">
      <c r="A939" s="3"/>
      <c r="B939" s="2"/>
      <c r="C939" s="4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3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</row>
    <row r="940" spans="1:62" ht="12.75" x14ac:dyDescent="0.2">
      <c r="A940" s="3"/>
      <c r="B940" s="2"/>
      <c r="C940" s="4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3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</row>
    <row r="941" spans="1:62" ht="12.75" x14ac:dyDescent="0.2">
      <c r="A941" s="3"/>
      <c r="B941" s="2"/>
      <c r="C941" s="4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3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</row>
    <row r="942" spans="1:62" ht="12.75" x14ac:dyDescent="0.2">
      <c r="A942" s="3"/>
      <c r="B942" s="2"/>
      <c r="C942" s="4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3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</row>
    <row r="943" spans="1:62" ht="12.75" x14ac:dyDescent="0.2">
      <c r="A943" s="3"/>
      <c r="B943" s="2"/>
      <c r="C943" s="4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3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</row>
    <row r="944" spans="1:62" ht="12.75" x14ac:dyDescent="0.2">
      <c r="A944" s="3"/>
      <c r="B944" s="2"/>
      <c r="C944" s="4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3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</row>
    <row r="945" spans="1:62" ht="12.75" x14ac:dyDescent="0.2">
      <c r="A945" s="3"/>
      <c r="B945" s="2"/>
      <c r="C945" s="4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3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</row>
    <row r="946" spans="1:62" ht="12.75" x14ac:dyDescent="0.2">
      <c r="A946" s="3"/>
      <c r="B946" s="2"/>
      <c r="C946" s="4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3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</row>
    <row r="947" spans="1:62" ht="12.75" x14ac:dyDescent="0.2">
      <c r="A947" s="3"/>
      <c r="B947" s="2"/>
      <c r="C947" s="4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3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</row>
    <row r="948" spans="1:62" ht="12.75" x14ac:dyDescent="0.2">
      <c r="A948" s="3"/>
      <c r="B948" s="2"/>
      <c r="C948" s="4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3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</row>
    <row r="949" spans="1:62" ht="12.75" x14ac:dyDescent="0.2">
      <c r="A949" s="3"/>
      <c r="B949" s="2"/>
      <c r="C949" s="4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3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</row>
    <row r="950" spans="1:62" ht="12.75" x14ac:dyDescent="0.2">
      <c r="A950" s="3"/>
      <c r="B950" s="2"/>
      <c r="C950" s="4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3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</row>
    <row r="951" spans="1:62" ht="12.75" x14ac:dyDescent="0.2">
      <c r="A951" s="3"/>
      <c r="B951" s="2"/>
      <c r="C951" s="4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3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</row>
    <row r="952" spans="1:62" ht="12.75" x14ac:dyDescent="0.2">
      <c r="A952" s="3"/>
      <c r="B952" s="2"/>
      <c r="C952" s="4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3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</row>
    <row r="953" spans="1:62" ht="12.75" x14ac:dyDescent="0.2">
      <c r="A953" s="3"/>
      <c r="B953" s="2"/>
      <c r="C953" s="4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3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</row>
    <row r="954" spans="1:62" ht="12.75" x14ac:dyDescent="0.2">
      <c r="A954" s="3"/>
      <c r="B954" s="2"/>
      <c r="C954" s="4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3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</row>
    <row r="955" spans="1:62" ht="12.75" x14ac:dyDescent="0.2">
      <c r="A955" s="3"/>
      <c r="B955" s="2"/>
      <c r="C955" s="4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3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</row>
    <row r="956" spans="1:62" ht="12.75" x14ac:dyDescent="0.2">
      <c r="A956" s="3"/>
      <c r="B956" s="2"/>
      <c r="C956" s="4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3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</row>
    <row r="957" spans="1:62" ht="12.75" x14ac:dyDescent="0.2">
      <c r="A957" s="3"/>
      <c r="B957" s="2"/>
      <c r="C957" s="4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3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</row>
    <row r="958" spans="1:62" ht="12.75" x14ac:dyDescent="0.2">
      <c r="A958" s="3"/>
      <c r="B958" s="2"/>
      <c r="C958" s="4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3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</row>
    <row r="959" spans="1:62" ht="12.75" x14ac:dyDescent="0.2">
      <c r="A959" s="3"/>
      <c r="B959" s="2"/>
      <c r="C959" s="4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3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</row>
    <row r="960" spans="1:62" ht="12.75" x14ac:dyDescent="0.2">
      <c r="A960" s="3"/>
      <c r="B960" s="2"/>
      <c r="C960" s="4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3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</row>
    <row r="961" spans="1:62" ht="12.75" x14ac:dyDescent="0.2">
      <c r="A961" s="3"/>
      <c r="B961" s="2"/>
      <c r="C961" s="4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3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</row>
    <row r="962" spans="1:62" ht="12.75" x14ac:dyDescent="0.2">
      <c r="A962" s="3"/>
      <c r="B962" s="2"/>
      <c r="C962" s="4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3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</row>
    <row r="963" spans="1:62" ht="12.75" x14ac:dyDescent="0.2">
      <c r="A963" s="3"/>
      <c r="B963" s="2"/>
      <c r="C963" s="4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3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</row>
    <row r="964" spans="1:62" ht="12.75" x14ac:dyDescent="0.2">
      <c r="A964" s="3"/>
      <c r="B964" s="2"/>
      <c r="C964" s="4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3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</row>
    <row r="965" spans="1:62" ht="12.75" x14ac:dyDescent="0.2">
      <c r="A965" s="3"/>
      <c r="B965" s="2"/>
      <c r="C965" s="4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3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</row>
    <row r="966" spans="1:62" ht="12.75" x14ac:dyDescent="0.2">
      <c r="A966" s="3"/>
      <c r="B966" s="2"/>
      <c r="C966" s="4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3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</row>
    <row r="967" spans="1:62" ht="12.75" x14ac:dyDescent="0.2">
      <c r="A967" s="3"/>
      <c r="B967" s="2"/>
      <c r="C967" s="4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3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</row>
    <row r="968" spans="1:62" ht="12.75" x14ac:dyDescent="0.2">
      <c r="A968" s="3"/>
      <c r="B968" s="2"/>
      <c r="C968" s="4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3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</row>
    <row r="969" spans="1:62" ht="12.75" x14ac:dyDescent="0.2">
      <c r="A969" s="3"/>
      <c r="B969" s="2"/>
      <c r="C969" s="4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3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</row>
    <row r="970" spans="1:62" ht="12.75" x14ac:dyDescent="0.2">
      <c r="A970" s="3"/>
      <c r="B970" s="2"/>
      <c r="C970" s="4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3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</row>
    <row r="971" spans="1:62" ht="12.75" x14ac:dyDescent="0.2">
      <c r="A971" s="3"/>
      <c r="B971" s="2"/>
      <c r="C971" s="4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3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</row>
    <row r="972" spans="1:62" ht="12.75" x14ac:dyDescent="0.2">
      <c r="A972" s="3"/>
      <c r="B972" s="2"/>
      <c r="C972" s="4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3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</row>
    <row r="973" spans="1:62" ht="12.75" x14ac:dyDescent="0.2">
      <c r="A973" s="3"/>
      <c r="B973" s="2"/>
      <c r="C973" s="4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3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</row>
    <row r="974" spans="1:62" ht="12.75" x14ac:dyDescent="0.2">
      <c r="A974" s="3"/>
      <c r="B974" s="2"/>
      <c r="C974" s="4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3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</row>
    <row r="975" spans="1:62" ht="12.75" x14ac:dyDescent="0.2">
      <c r="A975" s="3"/>
      <c r="B975" s="2"/>
      <c r="C975" s="4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3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</row>
    <row r="976" spans="1:62" ht="12.75" x14ac:dyDescent="0.2">
      <c r="A976" s="3"/>
      <c r="B976" s="2"/>
      <c r="C976" s="4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3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</row>
    <row r="977" spans="1:62" ht="12.75" x14ac:dyDescent="0.2">
      <c r="A977" s="3"/>
      <c r="B977" s="2"/>
      <c r="C977" s="4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3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</row>
    <row r="978" spans="1:62" ht="12.75" x14ac:dyDescent="0.2">
      <c r="A978" s="3"/>
      <c r="B978" s="2"/>
      <c r="C978" s="4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3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</row>
    <row r="979" spans="1:62" ht="12.75" x14ac:dyDescent="0.2">
      <c r="A979" s="3"/>
      <c r="B979" s="2"/>
      <c r="C979" s="4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3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</row>
    <row r="980" spans="1:62" ht="12.75" x14ac:dyDescent="0.2">
      <c r="A980" s="3"/>
      <c r="B980" s="2"/>
      <c r="C980" s="4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3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</row>
    <row r="981" spans="1:62" ht="12.75" x14ac:dyDescent="0.2">
      <c r="A981" s="3"/>
      <c r="B981" s="2"/>
      <c r="C981" s="4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3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</row>
    <row r="982" spans="1:62" ht="12.75" x14ac:dyDescent="0.2">
      <c r="A982" s="3"/>
      <c r="B982" s="2"/>
      <c r="C982" s="4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3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</row>
    <row r="983" spans="1:62" ht="12.75" x14ac:dyDescent="0.2">
      <c r="A983" s="3"/>
      <c r="B983" s="2"/>
      <c r="C983" s="4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3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</row>
    <row r="984" spans="1:62" ht="12.75" x14ac:dyDescent="0.2">
      <c r="A984" s="3"/>
      <c r="B984" s="2"/>
      <c r="C984" s="4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3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</row>
    <row r="985" spans="1:62" ht="12.75" x14ac:dyDescent="0.2">
      <c r="A985" s="3"/>
      <c r="B985" s="2"/>
      <c r="C985" s="4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3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</row>
    <row r="986" spans="1:62" ht="12.75" x14ac:dyDescent="0.2">
      <c r="A986" s="3"/>
      <c r="B986" s="2"/>
      <c r="C986" s="4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3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</row>
    <row r="987" spans="1:62" ht="12.75" x14ac:dyDescent="0.2">
      <c r="A987" s="3"/>
      <c r="B987" s="2"/>
      <c r="C987" s="4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3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</row>
    <row r="988" spans="1:62" ht="12.75" x14ac:dyDescent="0.2">
      <c r="A988" s="3"/>
      <c r="B988" s="2"/>
      <c r="C988" s="4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3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</row>
    <row r="989" spans="1:62" ht="12.75" x14ac:dyDescent="0.2">
      <c r="A989" s="3"/>
      <c r="B989" s="2"/>
      <c r="C989" s="4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3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</row>
    <row r="990" spans="1:62" ht="12.75" x14ac:dyDescent="0.2">
      <c r="A990" s="3"/>
      <c r="B990" s="2"/>
      <c r="C990" s="4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3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</row>
    <row r="991" spans="1:62" ht="12.75" x14ac:dyDescent="0.2">
      <c r="A991" s="3"/>
      <c r="B991" s="2"/>
      <c r="C991" s="4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3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</row>
    <row r="992" spans="1:62" ht="12.75" x14ac:dyDescent="0.2">
      <c r="A992" s="3"/>
      <c r="B992" s="2"/>
      <c r="C992" s="4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3"/>
      <c r="AH992" s="3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</row>
    <row r="993" spans="1:62" ht="12.75" x14ac:dyDescent="0.2">
      <c r="A993" s="3"/>
      <c r="B993" s="2"/>
      <c r="C993" s="4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3"/>
      <c r="AH993" s="3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</row>
    <row r="994" spans="1:62" ht="12.75" x14ac:dyDescent="0.2">
      <c r="A994" s="3"/>
      <c r="B994" s="2"/>
      <c r="C994" s="4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3"/>
      <c r="AH994" s="3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</row>
    <row r="995" spans="1:62" ht="12.75" x14ac:dyDescent="0.2">
      <c r="B995" s="104"/>
      <c r="C995" s="4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3"/>
      <c r="AH995" s="3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</row>
  </sheetData>
  <phoneticPr fontId="30" type="noConversion"/>
  <dataValidations count="1">
    <dataValidation type="list" allowBlank="1" showErrorMessage="1" sqref="A9:A993" xr:uid="{00000000-0002-0000-0300-000000000000}">
      <formula1>"IJH,EWH,SCH"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M18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2.5703125" hidden="1"/>
    <col min="4" max="4" width="7.85546875" customWidth="1"/>
    <col min="5" max="5" width="8.85546875" customWidth="1"/>
    <col min="6" max="6" width="4.7109375" customWidth="1"/>
    <col min="7" max="7" width="7.42578125" customWidth="1"/>
    <col min="8" max="8" width="7.5703125" customWidth="1"/>
    <col min="9" max="9" width="9.85546875" customWidth="1"/>
    <col min="10" max="10" width="66.140625" customWidth="1"/>
  </cols>
  <sheetData>
    <row r="1" spans="1:39" x14ac:dyDescent="0.2">
      <c r="A1" s="4" t="s">
        <v>262</v>
      </c>
      <c r="B1" s="72" t="s">
        <v>263</v>
      </c>
      <c r="C1" s="72" t="s">
        <v>264</v>
      </c>
      <c r="D1" s="73" t="s">
        <v>265</v>
      </c>
      <c r="E1" s="74" t="s">
        <v>266</v>
      </c>
      <c r="F1" s="75" t="s">
        <v>267</v>
      </c>
      <c r="G1" s="75" t="s">
        <v>268</v>
      </c>
      <c r="H1" s="75" t="s">
        <v>269</v>
      </c>
      <c r="I1" s="76" t="s">
        <v>270</v>
      </c>
      <c r="J1" s="76" t="s">
        <v>271</v>
      </c>
      <c r="K1" s="77" t="s">
        <v>272</v>
      </c>
      <c r="L1" s="77" t="s">
        <v>273</v>
      </c>
      <c r="M1" s="77" t="s">
        <v>274</v>
      </c>
      <c r="N1" s="77" t="s">
        <v>275</v>
      </c>
      <c r="O1" s="78" t="s">
        <v>276</v>
      </c>
      <c r="P1" s="78" t="s">
        <v>277</v>
      </c>
      <c r="Q1" s="78" t="s">
        <v>278</v>
      </c>
      <c r="R1" s="78" t="s">
        <v>279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x14ac:dyDescent="0.2">
      <c r="A2" s="79" t="s">
        <v>280</v>
      </c>
      <c r="B2" s="80">
        <v>46266.622610057871</v>
      </c>
      <c r="C2" s="79" t="s">
        <v>281</v>
      </c>
      <c r="D2" s="81" t="s">
        <v>2</v>
      </c>
      <c r="E2" s="79" t="s">
        <v>221</v>
      </c>
      <c r="F2" s="4">
        <v>9</v>
      </c>
      <c r="G2" s="4">
        <v>4</v>
      </c>
      <c r="H2" s="4" t="s">
        <v>57</v>
      </c>
      <c r="I2" s="4" t="s">
        <v>282</v>
      </c>
      <c r="J2" s="4" t="s">
        <v>283</v>
      </c>
      <c r="K2" s="4" t="b">
        <v>0</v>
      </c>
    </row>
    <row r="3" spans="1:39" x14ac:dyDescent="0.2">
      <c r="A3" s="79" t="s">
        <v>284</v>
      </c>
      <c r="B3" s="80">
        <v>46266.622610057871</v>
      </c>
      <c r="C3" s="79" t="s">
        <v>281</v>
      </c>
      <c r="D3" s="81" t="s">
        <v>2</v>
      </c>
      <c r="E3" s="79" t="s">
        <v>221</v>
      </c>
      <c r="F3" s="4">
        <v>9</v>
      </c>
      <c r="G3" s="4">
        <v>5</v>
      </c>
      <c r="H3" s="4" t="s">
        <v>18</v>
      </c>
      <c r="I3" s="4" t="s">
        <v>282</v>
      </c>
      <c r="J3" s="4" t="s">
        <v>285</v>
      </c>
      <c r="K3" s="4" t="b">
        <v>0</v>
      </c>
    </row>
    <row r="4" spans="1:39" x14ac:dyDescent="0.2">
      <c r="A4" s="79" t="s">
        <v>286</v>
      </c>
      <c r="B4" s="80">
        <v>46266.622610057871</v>
      </c>
      <c r="C4" s="79" t="s">
        <v>281</v>
      </c>
      <c r="D4" s="81" t="s">
        <v>2</v>
      </c>
      <c r="E4" s="79" t="s">
        <v>221</v>
      </c>
      <c r="F4" s="4">
        <v>9</v>
      </c>
      <c r="G4" s="4">
        <v>6</v>
      </c>
      <c r="H4" s="4" t="s">
        <v>61</v>
      </c>
      <c r="I4" s="4" t="s">
        <v>282</v>
      </c>
      <c r="J4" s="4" t="s">
        <v>287</v>
      </c>
      <c r="K4" s="4" t="b">
        <v>0</v>
      </c>
    </row>
    <row r="5" spans="1:39" x14ac:dyDescent="0.2">
      <c r="A5" s="79" t="s">
        <v>288</v>
      </c>
      <c r="B5" s="80">
        <v>46266.622610057871</v>
      </c>
      <c r="C5" s="79" t="s">
        <v>281</v>
      </c>
      <c r="D5" s="81" t="s">
        <v>2</v>
      </c>
      <c r="E5" s="79" t="s">
        <v>221</v>
      </c>
      <c r="F5" s="4">
        <v>9</v>
      </c>
      <c r="G5" s="4">
        <v>7</v>
      </c>
      <c r="H5" s="4" t="s">
        <v>20</v>
      </c>
      <c r="I5" s="4" t="s">
        <v>289</v>
      </c>
      <c r="J5" s="4" t="s">
        <v>290</v>
      </c>
      <c r="K5" s="4" t="b">
        <v>0</v>
      </c>
    </row>
    <row r="6" spans="1:39" x14ac:dyDescent="0.2">
      <c r="A6" s="79" t="s">
        <v>291</v>
      </c>
      <c r="B6" s="80">
        <v>46266.622610057871</v>
      </c>
      <c r="C6" s="79" t="s">
        <v>281</v>
      </c>
      <c r="D6" s="81" t="s">
        <v>2</v>
      </c>
      <c r="E6" s="79" t="s">
        <v>221</v>
      </c>
      <c r="F6" s="4">
        <v>9</v>
      </c>
      <c r="G6" s="4">
        <v>8</v>
      </c>
      <c r="H6" s="4" t="s">
        <v>292</v>
      </c>
      <c r="I6" s="4" t="s">
        <v>282</v>
      </c>
      <c r="J6" s="4" t="s">
        <v>293</v>
      </c>
      <c r="K6" s="4" t="b">
        <v>0</v>
      </c>
    </row>
    <row r="7" spans="1:39" x14ac:dyDescent="0.2">
      <c r="A7" s="79" t="s">
        <v>294</v>
      </c>
      <c r="B7" s="80">
        <v>46266.622610057871</v>
      </c>
      <c r="C7" s="79" t="s">
        <v>281</v>
      </c>
      <c r="D7" s="81" t="s">
        <v>2</v>
      </c>
      <c r="E7" s="79" t="s">
        <v>221</v>
      </c>
      <c r="F7" s="4">
        <v>9</v>
      </c>
      <c r="G7" s="4">
        <v>9</v>
      </c>
      <c r="H7" s="4" t="s">
        <v>21</v>
      </c>
      <c r="I7" s="4" t="s">
        <v>282</v>
      </c>
      <c r="J7" s="4" t="s">
        <v>295</v>
      </c>
      <c r="K7" s="4" t="b">
        <v>0</v>
      </c>
    </row>
    <row r="8" spans="1:39" x14ac:dyDescent="0.2">
      <c r="A8" s="79" t="s">
        <v>296</v>
      </c>
      <c r="B8" s="80">
        <v>46266.622610057871</v>
      </c>
      <c r="C8" s="79" t="s">
        <v>281</v>
      </c>
      <c r="D8" s="81" t="s">
        <v>2</v>
      </c>
      <c r="E8" s="79" t="s">
        <v>221</v>
      </c>
      <c r="F8" s="4">
        <v>9</v>
      </c>
      <c r="G8" s="4">
        <v>11</v>
      </c>
      <c r="H8" s="4" t="s">
        <v>67</v>
      </c>
      <c r="I8" s="4" t="s">
        <v>282</v>
      </c>
      <c r="J8" s="4" t="s">
        <v>297</v>
      </c>
      <c r="K8" s="4" t="b">
        <v>0</v>
      </c>
      <c r="L8" s="4"/>
      <c r="M8" s="4"/>
      <c r="N8" s="83"/>
      <c r="O8" s="4"/>
      <c r="P8" s="83"/>
      <c r="Q8" s="4"/>
      <c r="R8" s="4"/>
    </row>
    <row r="9" spans="1:39" x14ac:dyDescent="0.2">
      <c r="A9" s="79" t="s">
        <v>298</v>
      </c>
      <c r="B9" s="80">
        <v>46266.622610057871</v>
      </c>
      <c r="C9" s="79" t="s">
        <v>281</v>
      </c>
      <c r="D9" s="81" t="s">
        <v>2</v>
      </c>
      <c r="E9" s="79" t="s">
        <v>221</v>
      </c>
      <c r="F9" s="4">
        <v>9</v>
      </c>
      <c r="G9" s="4">
        <v>15</v>
      </c>
      <c r="H9" s="4" t="s">
        <v>299</v>
      </c>
      <c r="I9" s="4" t="s">
        <v>282</v>
      </c>
      <c r="J9" s="4" t="s">
        <v>300</v>
      </c>
      <c r="K9" s="4" t="b">
        <v>0</v>
      </c>
    </row>
    <row r="10" spans="1:39" x14ac:dyDescent="0.2">
      <c r="A10" s="79" t="s">
        <v>301</v>
      </c>
      <c r="B10" s="80">
        <v>46266.622610057871</v>
      </c>
      <c r="C10" s="79" t="s">
        <v>281</v>
      </c>
      <c r="D10" s="81" t="s">
        <v>2</v>
      </c>
      <c r="E10" s="79" t="s">
        <v>221</v>
      </c>
      <c r="F10" s="4">
        <v>9</v>
      </c>
      <c r="G10" s="4">
        <v>16</v>
      </c>
      <c r="H10" s="4" t="s">
        <v>78</v>
      </c>
      <c r="I10" s="4" t="s">
        <v>282</v>
      </c>
      <c r="J10" s="4" t="s">
        <v>302</v>
      </c>
      <c r="K10" s="4" t="b">
        <v>0</v>
      </c>
    </row>
    <row r="11" spans="1:39" x14ac:dyDescent="0.2">
      <c r="A11" s="79" t="s">
        <v>303</v>
      </c>
      <c r="B11" s="80">
        <v>46266.622610057871</v>
      </c>
      <c r="C11" s="79" t="s">
        <v>281</v>
      </c>
      <c r="D11" s="81" t="s">
        <v>2</v>
      </c>
      <c r="E11" s="79" t="s">
        <v>221</v>
      </c>
      <c r="F11" s="4">
        <v>9</v>
      </c>
      <c r="G11" s="4">
        <v>17</v>
      </c>
      <c r="H11" s="4" t="s">
        <v>304</v>
      </c>
      <c r="I11" s="4" t="s">
        <v>282</v>
      </c>
      <c r="J11" s="4" t="s">
        <v>305</v>
      </c>
      <c r="K11" s="4" t="b">
        <v>0</v>
      </c>
    </row>
    <row r="12" spans="1:39" x14ac:dyDescent="0.2">
      <c r="A12" s="79" t="s">
        <v>306</v>
      </c>
      <c r="B12" s="80">
        <v>46266.622610057871</v>
      </c>
      <c r="C12" s="79" t="s">
        <v>281</v>
      </c>
      <c r="D12" s="81" t="s">
        <v>2</v>
      </c>
      <c r="E12" s="79" t="s">
        <v>221</v>
      </c>
      <c r="F12" s="4">
        <v>9</v>
      </c>
      <c r="G12" s="4">
        <v>18</v>
      </c>
      <c r="H12" s="4" t="s">
        <v>307</v>
      </c>
      <c r="I12" s="4" t="s">
        <v>282</v>
      </c>
      <c r="J12" s="4" t="s">
        <v>308</v>
      </c>
      <c r="K12" s="4" t="b">
        <v>0</v>
      </c>
    </row>
    <row r="13" spans="1:39" x14ac:dyDescent="0.2">
      <c r="A13" s="79" t="s">
        <v>309</v>
      </c>
      <c r="B13" s="80">
        <v>46266.622610057871</v>
      </c>
      <c r="C13" s="79" t="s">
        <v>281</v>
      </c>
      <c r="D13" s="81" t="s">
        <v>2</v>
      </c>
      <c r="E13" s="79" t="s">
        <v>221</v>
      </c>
      <c r="F13" s="4">
        <v>9</v>
      </c>
      <c r="G13" s="4">
        <v>19</v>
      </c>
      <c r="H13" s="4" t="s">
        <v>310</v>
      </c>
      <c r="I13" s="4" t="s">
        <v>282</v>
      </c>
      <c r="J13" s="4" t="s">
        <v>311</v>
      </c>
      <c r="K13" s="4" t="b">
        <v>0</v>
      </c>
    </row>
    <row r="14" spans="1:39" x14ac:dyDescent="0.2">
      <c r="A14" s="79" t="s">
        <v>312</v>
      </c>
      <c r="B14" s="80">
        <v>46266.622610057871</v>
      </c>
      <c r="C14" s="79" t="s">
        <v>281</v>
      </c>
      <c r="D14" s="81" t="s">
        <v>2</v>
      </c>
      <c r="E14" s="79" t="s">
        <v>221</v>
      </c>
      <c r="F14" s="4">
        <v>9</v>
      </c>
      <c r="G14" s="4">
        <v>32</v>
      </c>
      <c r="H14" s="4" t="s">
        <v>23</v>
      </c>
      <c r="I14" s="4" t="s">
        <v>282</v>
      </c>
      <c r="J14" s="4" t="s">
        <v>313</v>
      </c>
      <c r="K14" s="4" t="b">
        <v>0</v>
      </c>
    </row>
    <row r="15" spans="1:39" x14ac:dyDescent="0.2">
      <c r="A15" s="79" t="s">
        <v>314</v>
      </c>
      <c r="B15" s="80">
        <v>46266.622610057871</v>
      </c>
      <c r="C15" s="79" t="s">
        <v>281</v>
      </c>
      <c r="D15" s="81" t="s">
        <v>2</v>
      </c>
      <c r="E15" s="79" t="s">
        <v>221</v>
      </c>
      <c r="F15" s="4">
        <v>9</v>
      </c>
      <c r="G15" s="4">
        <v>34</v>
      </c>
      <c r="H15" s="4" t="s">
        <v>26</v>
      </c>
      <c r="I15" s="4" t="s">
        <v>282</v>
      </c>
      <c r="J15" s="4" t="s">
        <v>315</v>
      </c>
      <c r="K15" s="4" t="b">
        <v>0</v>
      </c>
    </row>
    <row r="16" spans="1:39" x14ac:dyDescent="0.2">
      <c r="A16" s="79" t="s">
        <v>316</v>
      </c>
      <c r="B16" s="80">
        <v>46266.622610057871</v>
      </c>
      <c r="C16" s="79" t="s">
        <v>281</v>
      </c>
      <c r="D16" s="81" t="s">
        <v>2</v>
      </c>
      <c r="E16" s="79" t="s">
        <v>221</v>
      </c>
      <c r="F16" s="4">
        <v>9</v>
      </c>
      <c r="G16" s="4">
        <v>35</v>
      </c>
      <c r="H16" s="4" t="s">
        <v>27</v>
      </c>
      <c r="I16" s="4" t="s">
        <v>282</v>
      </c>
      <c r="J16" s="4" t="s">
        <v>317</v>
      </c>
      <c r="K16" s="4" t="b">
        <v>0</v>
      </c>
    </row>
    <row r="17" spans="1:17" x14ac:dyDescent="0.2">
      <c r="A17" s="79" t="s">
        <v>318</v>
      </c>
      <c r="B17" s="80">
        <v>46266.622610057871</v>
      </c>
      <c r="C17" s="79" t="s">
        <v>281</v>
      </c>
      <c r="D17" s="81" t="s">
        <v>2</v>
      </c>
      <c r="E17" s="79" t="s">
        <v>221</v>
      </c>
      <c r="F17" s="4">
        <v>9</v>
      </c>
      <c r="G17" s="4">
        <v>36</v>
      </c>
      <c r="H17" s="4" t="s">
        <v>28</v>
      </c>
      <c r="I17" s="4" t="s">
        <v>282</v>
      </c>
      <c r="J17" s="4" t="s">
        <v>319</v>
      </c>
      <c r="K17" s="4" t="b">
        <v>0</v>
      </c>
    </row>
    <row r="18" spans="1:17" x14ac:dyDescent="0.2">
      <c r="A18" s="79" t="s">
        <v>320</v>
      </c>
      <c r="B18" s="80">
        <v>46266.622610057871</v>
      </c>
      <c r="C18" s="79" t="s">
        <v>281</v>
      </c>
      <c r="D18" s="81" t="s">
        <v>2</v>
      </c>
      <c r="E18" s="79" t="s">
        <v>221</v>
      </c>
      <c r="F18" s="4">
        <v>9</v>
      </c>
      <c r="G18" s="4">
        <v>37</v>
      </c>
      <c r="H18" s="4" t="s">
        <v>29</v>
      </c>
      <c r="I18" s="4" t="s">
        <v>282</v>
      </c>
      <c r="J18" s="4" t="s">
        <v>321</v>
      </c>
      <c r="K18" s="4" t="b">
        <v>0</v>
      </c>
    </row>
    <row r="19" spans="1:17" x14ac:dyDescent="0.2">
      <c r="A19" s="79" t="s">
        <v>322</v>
      </c>
      <c r="B19" s="80">
        <v>46266.622610057871</v>
      </c>
      <c r="C19" s="79" t="s">
        <v>281</v>
      </c>
      <c r="D19" s="81" t="s">
        <v>2</v>
      </c>
      <c r="E19" s="79" t="s">
        <v>221</v>
      </c>
      <c r="F19" s="4">
        <v>9</v>
      </c>
      <c r="G19" s="4">
        <v>38</v>
      </c>
      <c r="H19" s="4" t="s">
        <v>30</v>
      </c>
      <c r="I19" s="4" t="s">
        <v>282</v>
      </c>
      <c r="J19" s="4" t="s">
        <v>323</v>
      </c>
      <c r="K19" s="4" t="b">
        <v>0</v>
      </c>
    </row>
    <row r="20" spans="1:17" x14ac:dyDescent="0.2">
      <c r="A20" s="79" t="s">
        <v>324</v>
      </c>
      <c r="B20" s="80">
        <v>46266.622610057871</v>
      </c>
      <c r="C20" s="79" t="s">
        <v>281</v>
      </c>
      <c r="D20" s="81" t="s">
        <v>2</v>
      </c>
      <c r="E20" s="79" t="s">
        <v>221</v>
      </c>
      <c r="F20" s="4">
        <v>9</v>
      </c>
      <c r="G20" s="4">
        <v>39</v>
      </c>
      <c r="H20" s="4" t="s">
        <v>31</v>
      </c>
      <c r="I20" s="4" t="s">
        <v>282</v>
      </c>
      <c r="J20" s="4" t="s">
        <v>325</v>
      </c>
      <c r="K20" s="4" t="b">
        <v>0</v>
      </c>
    </row>
    <row r="21" spans="1:17" x14ac:dyDescent="0.2">
      <c r="A21" s="79" t="s">
        <v>326</v>
      </c>
      <c r="B21" s="80">
        <v>46266.622610057871</v>
      </c>
      <c r="C21" s="79" t="s">
        <v>281</v>
      </c>
      <c r="D21" s="81" t="s">
        <v>2</v>
      </c>
      <c r="E21" s="79" t="s">
        <v>221</v>
      </c>
      <c r="F21" s="4">
        <v>9</v>
      </c>
      <c r="G21" s="4">
        <v>40</v>
      </c>
      <c r="H21" s="4" t="s">
        <v>32</v>
      </c>
      <c r="I21" s="4" t="s">
        <v>282</v>
      </c>
      <c r="J21" s="4" t="s">
        <v>327</v>
      </c>
      <c r="K21" s="4" t="b">
        <v>0</v>
      </c>
      <c r="L21" s="4"/>
      <c r="M21" s="4"/>
      <c r="N21" s="83"/>
      <c r="O21" s="4"/>
      <c r="P21" s="83"/>
      <c r="Q21" s="4"/>
    </row>
    <row r="22" spans="1:17" x14ac:dyDescent="0.2">
      <c r="A22" s="79" t="s">
        <v>328</v>
      </c>
      <c r="B22" s="80">
        <v>46266.622610057871</v>
      </c>
      <c r="C22" s="79" t="s">
        <v>281</v>
      </c>
      <c r="D22" s="81" t="s">
        <v>2</v>
      </c>
      <c r="E22" s="79" t="s">
        <v>221</v>
      </c>
      <c r="F22" s="4">
        <v>9</v>
      </c>
      <c r="G22" s="4">
        <v>42</v>
      </c>
      <c r="H22" s="4" t="s">
        <v>34</v>
      </c>
      <c r="I22" s="4" t="s">
        <v>282</v>
      </c>
      <c r="J22" s="4" t="s">
        <v>329</v>
      </c>
      <c r="K22" s="4" t="b">
        <v>0</v>
      </c>
    </row>
    <row r="23" spans="1:17" x14ac:dyDescent="0.2">
      <c r="A23" s="79" t="s">
        <v>330</v>
      </c>
      <c r="B23" s="80">
        <v>46266.622610057871</v>
      </c>
      <c r="C23" s="79" t="s">
        <v>281</v>
      </c>
      <c r="D23" s="81" t="s">
        <v>2</v>
      </c>
      <c r="E23" s="79" t="s">
        <v>221</v>
      </c>
      <c r="F23" s="4">
        <v>9</v>
      </c>
      <c r="G23" s="4">
        <v>53</v>
      </c>
      <c r="H23" s="4" t="s">
        <v>331</v>
      </c>
      <c r="I23" s="4" t="s">
        <v>282</v>
      </c>
      <c r="J23" s="4" t="s">
        <v>332</v>
      </c>
      <c r="K23" s="4" t="b">
        <v>0</v>
      </c>
      <c r="L23" s="4"/>
      <c r="M23" s="4"/>
      <c r="N23" s="83"/>
      <c r="O23" s="4"/>
      <c r="P23" s="83"/>
      <c r="Q23" s="4"/>
    </row>
    <row r="24" spans="1:17" x14ac:dyDescent="0.2">
      <c r="A24" s="79" t="s">
        <v>333</v>
      </c>
      <c r="B24" s="80">
        <v>46266.622610057871</v>
      </c>
      <c r="C24" s="79" t="s">
        <v>281</v>
      </c>
      <c r="D24" s="81" t="s">
        <v>2</v>
      </c>
      <c r="E24" s="79" t="s">
        <v>221</v>
      </c>
      <c r="F24" s="4">
        <v>9</v>
      </c>
      <c r="G24" s="4">
        <v>74</v>
      </c>
      <c r="H24" s="4" t="s">
        <v>99</v>
      </c>
      <c r="I24" s="4" t="s">
        <v>282</v>
      </c>
      <c r="J24" s="4" t="s">
        <v>334</v>
      </c>
      <c r="K24" s="4" t="b">
        <v>0</v>
      </c>
    </row>
    <row r="25" spans="1:17" x14ac:dyDescent="0.2">
      <c r="A25" s="79" t="s">
        <v>335</v>
      </c>
      <c r="B25" s="80">
        <v>46266.622610057871</v>
      </c>
      <c r="C25" s="79" t="s">
        <v>281</v>
      </c>
      <c r="D25" s="81" t="s">
        <v>2</v>
      </c>
      <c r="E25" s="79" t="s">
        <v>221</v>
      </c>
      <c r="F25" s="4">
        <v>9</v>
      </c>
      <c r="G25" s="4">
        <v>75</v>
      </c>
      <c r="H25" s="4" t="s">
        <v>58</v>
      </c>
      <c r="I25" s="4" t="s">
        <v>282</v>
      </c>
      <c r="J25" s="4" t="s">
        <v>334</v>
      </c>
      <c r="K25" s="4" t="b">
        <v>0</v>
      </c>
    </row>
    <row r="26" spans="1:17" x14ac:dyDescent="0.2">
      <c r="A26" s="79" t="s">
        <v>336</v>
      </c>
      <c r="B26" s="80">
        <v>46266.622610057871</v>
      </c>
      <c r="C26" s="79" t="s">
        <v>281</v>
      </c>
      <c r="D26" s="81" t="s">
        <v>2</v>
      </c>
      <c r="E26" s="79" t="s">
        <v>221</v>
      </c>
      <c r="F26" s="4">
        <v>9</v>
      </c>
      <c r="G26" s="4">
        <v>76</v>
      </c>
      <c r="H26" s="4" t="s">
        <v>60</v>
      </c>
      <c r="I26" s="4" t="s">
        <v>282</v>
      </c>
      <c r="J26" s="4" t="s">
        <v>334</v>
      </c>
      <c r="K26" s="4" t="b">
        <v>0</v>
      </c>
    </row>
    <row r="27" spans="1:17" x14ac:dyDescent="0.2">
      <c r="A27" s="79" t="s">
        <v>337</v>
      </c>
      <c r="B27" s="80">
        <v>46266.622610057871</v>
      </c>
      <c r="C27" s="79" t="s">
        <v>281</v>
      </c>
      <c r="D27" s="81" t="s">
        <v>2</v>
      </c>
      <c r="E27" s="79" t="s">
        <v>221</v>
      </c>
      <c r="F27" s="4">
        <v>9</v>
      </c>
      <c r="G27" s="4">
        <v>77</v>
      </c>
      <c r="H27" s="4" t="s">
        <v>62</v>
      </c>
      <c r="I27" s="4" t="s">
        <v>282</v>
      </c>
      <c r="J27" s="4" t="s">
        <v>334</v>
      </c>
      <c r="K27" s="4" t="b">
        <v>0</v>
      </c>
    </row>
    <row r="28" spans="1:17" x14ac:dyDescent="0.2">
      <c r="A28" s="79" t="s">
        <v>338</v>
      </c>
      <c r="B28" s="80">
        <v>46266.622610057871</v>
      </c>
      <c r="C28" s="79" t="s">
        <v>281</v>
      </c>
      <c r="D28" s="81" t="s">
        <v>2</v>
      </c>
      <c r="E28" s="79" t="s">
        <v>221</v>
      </c>
      <c r="F28" s="4">
        <v>9</v>
      </c>
      <c r="G28" s="4">
        <v>78</v>
      </c>
      <c r="H28" s="4" t="s">
        <v>63</v>
      </c>
      <c r="I28" s="4" t="s">
        <v>282</v>
      </c>
      <c r="J28" s="4" t="s">
        <v>334</v>
      </c>
      <c r="K28" s="4" t="b">
        <v>0</v>
      </c>
    </row>
    <row r="29" spans="1:17" x14ac:dyDescent="0.2">
      <c r="A29" s="79" t="s">
        <v>339</v>
      </c>
      <c r="B29" s="80">
        <v>46266.622610057871</v>
      </c>
      <c r="C29" s="79" t="s">
        <v>281</v>
      </c>
      <c r="D29" s="81" t="s">
        <v>2</v>
      </c>
      <c r="E29" s="79" t="s">
        <v>221</v>
      </c>
      <c r="F29" s="4">
        <v>9</v>
      </c>
      <c r="G29" s="4">
        <v>94</v>
      </c>
      <c r="H29" s="4" t="s">
        <v>86</v>
      </c>
      <c r="I29" s="4" t="s">
        <v>282</v>
      </c>
      <c r="J29" s="4" t="s">
        <v>340</v>
      </c>
      <c r="K29" s="4" t="b">
        <v>0</v>
      </c>
    </row>
    <row r="30" spans="1:17" x14ac:dyDescent="0.2">
      <c r="A30" s="79" t="s">
        <v>341</v>
      </c>
      <c r="B30" s="80">
        <v>46266.622610057871</v>
      </c>
      <c r="C30" s="79" t="s">
        <v>281</v>
      </c>
      <c r="D30" s="81" t="s">
        <v>2</v>
      </c>
      <c r="E30" s="79" t="s">
        <v>221</v>
      </c>
      <c r="F30" s="4">
        <v>9</v>
      </c>
      <c r="G30" s="4">
        <v>96</v>
      </c>
      <c r="H30" s="4" t="s">
        <v>87</v>
      </c>
      <c r="I30" s="4" t="s">
        <v>282</v>
      </c>
      <c r="J30" s="4" t="s">
        <v>342</v>
      </c>
      <c r="K30" s="4" t="b">
        <v>0</v>
      </c>
    </row>
    <row r="31" spans="1:17" x14ac:dyDescent="0.2">
      <c r="A31" s="79" t="s">
        <v>343</v>
      </c>
      <c r="B31" s="80">
        <v>46266.622610057871</v>
      </c>
      <c r="C31" s="79" t="s">
        <v>281</v>
      </c>
      <c r="D31" s="81" t="s">
        <v>2</v>
      </c>
      <c r="E31" s="79" t="s">
        <v>221</v>
      </c>
      <c r="F31" s="4">
        <v>9</v>
      </c>
      <c r="G31" s="4">
        <v>99</v>
      </c>
      <c r="H31" s="4" t="s">
        <v>39</v>
      </c>
      <c r="I31" s="4" t="s">
        <v>282</v>
      </c>
      <c r="J31" s="4" t="s">
        <v>344</v>
      </c>
      <c r="K31" s="4" t="b">
        <v>0</v>
      </c>
    </row>
    <row r="32" spans="1:17" x14ac:dyDescent="0.2">
      <c r="A32" s="79" t="s">
        <v>345</v>
      </c>
      <c r="B32" s="80">
        <v>46266.622610057871</v>
      </c>
      <c r="C32" s="79" t="s">
        <v>281</v>
      </c>
      <c r="D32" s="81" t="s">
        <v>2</v>
      </c>
      <c r="E32" s="79" t="s">
        <v>221</v>
      </c>
      <c r="F32" s="4">
        <v>9</v>
      </c>
      <c r="G32" s="4">
        <v>101</v>
      </c>
      <c r="H32" s="4" t="s">
        <v>40</v>
      </c>
      <c r="I32" s="4" t="s">
        <v>282</v>
      </c>
      <c r="J32" s="4" t="s">
        <v>346</v>
      </c>
      <c r="K32" s="4" t="b">
        <v>0</v>
      </c>
    </row>
    <row r="33" spans="1:17" x14ac:dyDescent="0.2">
      <c r="A33" s="79" t="s">
        <v>347</v>
      </c>
      <c r="B33" s="80">
        <v>46266.622610057871</v>
      </c>
      <c r="C33" s="79" t="s">
        <v>281</v>
      </c>
      <c r="D33" s="81" t="s">
        <v>2</v>
      </c>
      <c r="E33" s="79" t="s">
        <v>221</v>
      </c>
      <c r="F33" s="4">
        <v>9</v>
      </c>
      <c r="G33" s="4">
        <v>103</v>
      </c>
      <c r="H33" s="4" t="s">
        <v>41</v>
      </c>
      <c r="I33" s="4" t="s">
        <v>282</v>
      </c>
      <c r="J33" s="4" t="s">
        <v>348</v>
      </c>
      <c r="K33" s="4" t="b">
        <v>0</v>
      </c>
    </row>
    <row r="34" spans="1:17" x14ac:dyDescent="0.2">
      <c r="A34" s="79" t="s">
        <v>349</v>
      </c>
      <c r="B34" s="80">
        <v>46266.622610057871</v>
      </c>
      <c r="C34" s="79" t="s">
        <v>281</v>
      </c>
      <c r="D34" s="81" t="s">
        <v>2</v>
      </c>
      <c r="E34" s="79" t="s">
        <v>221</v>
      </c>
      <c r="F34" s="4">
        <v>9</v>
      </c>
      <c r="G34" s="4">
        <v>105</v>
      </c>
      <c r="H34" s="4" t="s">
        <v>350</v>
      </c>
      <c r="I34" s="4" t="s">
        <v>282</v>
      </c>
      <c r="J34" s="4" t="s">
        <v>351</v>
      </c>
      <c r="K34" s="4" t="b">
        <v>0</v>
      </c>
    </row>
    <row r="35" spans="1:17" x14ac:dyDescent="0.2">
      <c r="A35" s="79" t="s">
        <v>352</v>
      </c>
      <c r="B35" s="80">
        <v>46266.622610057871</v>
      </c>
      <c r="C35" s="79" t="s">
        <v>281</v>
      </c>
      <c r="D35" s="81" t="s">
        <v>2</v>
      </c>
      <c r="E35" s="79" t="s">
        <v>221</v>
      </c>
      <c r="F35" s="4">
        <v>9</v>
      </c>
      <c r="G35" s="4">
        <v>106</v>
      </c>
      <c r="H35" s="4" t="s">
        <v>42</v>
      </c>
      <c r="I35" s="4" t="s">
        <v>282</v>
      </c>
      <c r="J35" s="4" t="s">
        <v>353</v>
      </c>
      <c r="K35" s="4" t="b">
        <v>0</v>
      </c>
    </row>
    <row r="36" spans="1:17" x14ac:dyDescent="0.2">
      <c r="A36" s="79" t="s">
        <v>354</v>
      </c>
      <c r="B36" s="80">
        <v>46266.622610057871</v>
      </c>
      <c r="C36" s="79" t="s">
        <v>281</v>
      </c>
      <c r="D36" s="81" t="s">
        <v>2</v>
      </c>
      <c r="E36" s="79" t="s">
        <v>221</v>
      </c>
      <c r="F36" s="4">
        <v>9</v>
      </c>
      <c r="G36" s="4">
        <v>107</v>
      </c>
      <c r="H36" s="4" t="s">
        <v>43</v>
      </c>
      <c r="I36" s="4" t="s">
        <v>282</v>
      </c>
      <c r="J36" s="4" t="s">
        <v>355</v>
      </c>
      <c r="K36" s="4" t="b">
        <v>0</v>
      </c>
    </row>
    <row r="37" spans="1:17" x14ac:dyDescent="0.2">
      <c r="A37" s="79" t="s">
        <v>356</v>
      </c>
      <c r="B37" s="80">
        <v>46266.622610057871</v>
      </c>
      <c r="C37" s="79" t="s">
        <v>281</v>
      </c>
      <c r="D37" s="81" t="s">
        <v>2</v>
      </c>
      <c r="E37" s="79" t="s">
        <v>221</v>
      </c>
      <c r="F37" s="4">
        <v>9</v>
      </c>
      <c r="G37" s="4">
        <v>108</v>
      </c>
      <c r="H37" s="4" t="s">
        <v>110</v>
      </c>
      <c r="I37" s="4" t="s">
        <v>282</v>
      </c>
      <c r="J37" s="4" t="s">
        <v>357</v>
      </c>
      <c r="K37" s="4" t="b">
        <v>0</v>
      </c>
    </row>
    <row r="38" spans="1:17" x14ac:dyDescent="0.2">
      <c r="A38" s="79" t="s">
        <v>358</v>
      </c>
      <c r="B38" s="80">
        <v>46266.622610057871</v>
      </c>
      <c r="C38" s="79" t="s">
        <v>281</v>
      </c>
      <c r="D38" s="81" t="s">
        <v>2</v>
      </c>
      <c r="E38" s="79" t="s">
        <v>221</v>
      </c>
      <c r="F38" s="4">
        <v>9</v>
      </c>
      <c r="G38" s="4">
        <v>110</v>
      </c>
      <c r="H38" s="4" t="s">
        <v>44</v>
      </c>
      <c r="I38" s="4" t="s">
        <v>282</v>
      </c>
      <c r="J38" s="4" t="s">
        <v>359</v>
      </c>
      <c r="K38" s="4" t="b">
        <v>0</v>
      </c>
    </row>
    <row r="39" spans="1:17" x14ac:dyDescent="0.2">
      <c r="A39" s="79" t="s">
        <v>360</v>
      </c>
      <c r="B39" s="80">
        <v>46266.622610057871</v>
      </c>
      <c r="C39" s="79" t="s">
        <v>281</v>
      </c>
      <c r="D39" s="81" t="s">
        <v>2</v>
      </c>
      <c r="E39" s="79" t="s">
        <v>221</v>
      </c>
      <c r="F39" s="4">
        <v>9</v>
      </c>
      <c r="G39" s="4">
        <v>112</v>
      </c>
      <c r="H39" s="4" t="s">
        <v>45</v>
      </c>
      <c r="I39" s="4" t="s">
        <v>282</v>
      </c>
      <c r="J39" s="4" t="s">
        <v>361</v>
      </c>
      <c r="K39" s="4" t="b">
        <v>0</v>
      </c>
    </row>
    <row r="40" spans="1:17" x14ac:dyDescent="0.2">
      <c r="A40" s="79" t="s">
        <v>362</v>
      </c>
      <c r="B40" s="80">
        <v>46266.622610057871</v>
      </c>
      <c r="C40" s="79" t="s">
        <v>281</v>
      </c>
      <c r="D40" s="81" t="s">
        <v>2</v>
      </c>
      <c r="E40" s="79" t="s">
        <v>221</v>
      </c>
      <c r="F40" s="4">
        <v>9</v>
      </c>
      <c r="G40" s="4">
        <v>114</v>
      </c>
      <c r="H40" s="4" t="s">
        <v>46</v>
      </c>
      <c r="I40" s="4" t="s">
        <v>282</v>
      </c>
      <c r="J40" s="4" t="s">
        <v>363</v>
      </c>
      <c r="K40" s="4" t="b">
        <v>0</v>
      </c>
    </row>
    <row r="41" spans="1:17" x14ac:dyDescent="0.2">
      <c r="A41" s="79" t="s">
        <v>364</v>
      </c>
      <c r="B41" s="80">
        <v>46266.622610057871</v>
      </c>
      <c r="C41" s="79" t="s">
        <v>281</v>
      </c>
      <c r="D41" s="81" t="s">
        <v>2</v>
      </c>
      <c r="E41" s="79" t="s">
        <v>221</v>
      </c>
      <c r="F41" s="4">
        <v>9</v>
      </c>
      <c r="G41" s="4">
        <v>116</v>
      </c>
      <c r="H41" s="4" t="s">
        <v>47</v>
      </c>
      <c r="I41" s="4" t="s">
        <v>282</v>
      </c>
      <c r="J41" s="4" t="s">
        <v>365</v>
      </c>
      <c r="K41" s="4" t="b">
        <v>0</v>
      </c>
    </row>
    <row r="42" spans="1:17" x14ac:dyDescent="0.2">
      <c r="A42" s="79" t="s">
        <v>366</v>
      </c>
      <c r="B42" s="80">
        <v>46266.622610057871</v>
      </c>
      <c r="C42" s="79" t="s">
        <v>281</v>
      </c>
      <c r="D42" s="81" t="s">
        <v>2</v>
      </c>
      <c r="E42" s="79" t="s">
        <v>221</v>
      </c>
      <c r="F42" s="4">
        <v>9</v>
      </c>
      <c r="G42" s="4">
        <v>118</v>
      </c>
      <c r="H42" s="4" t="s">
        <v>48</v>
      </c>
      <c r="I42" s="4" t="s">
        <v>282</v>
      </c>
      <c r="J42" s="4" t="s">
        <v>367</v>
      </c>
      <c r="K42" s="4" t="b">
        <v>0</v>
      </c>
    </row>
    <row r="43" spans="1:17" x14ac:dyDescent="0.2">
      <c r="A43" s="79" t="s">
        <v>368</v>
      </c>
      <c r="B43" s="80">
        <v>46266.622610057871</v>
      </c>
      <c r="C43" s="79" t="s">
        <v>281</v>
      </c>
      <c r="D43" s="81" t="s">
        <v>2</v>
      </c>
      <c r="E43" s="79" t="s">
        <v>221</v>
      </c>
      <c r="F43" s="4">
        <v>9</v>
      </c>
      <c r="G43" s="4">
        <v>120</v>
      </c>
      <c r="H43" s="4" t="s">
        <v>49</v>
      </c>
      <c r="I43" s="4" t="s">
        <v>282</v>
      </c>
      <c r="J43" s="4" t="s">
        <v>369</v>
      </c>
      <c r="K43" s="4" t="b">
        <v>0</v>
      </c>
    </row>
    <row r="44" spans="1:17" x14ac:dyDescent="0.2">
      <c r="A44" s="79" t="s">
        <v>370</v>
      </c>
      <c r="B44" s="80">
        <v>46266.622610057871</v>
      </c>
      <c r="C44" s="79" t="s">
        <v>281</v>
      </c>
      <c r="D44" s="81" t="s">
        <v>2</v>
      </c>
      <c r="E44" s="79" t="s">
        <v>221</v>
      </c>
      <c r="F44" s="4">
        <v>9</v>
      </c>
      <c r="G44" s="4">
        <v>122</v>
      </c>
      <c r="H44" s="4" t="s">
        <v>50</v>
      </c>
      <c r="I44" s="4" t="s">
        <v>282</v>
      </c>
      <c r="J44" s="4" t="s">
        <v>371</v>
      </c>
      <c r="K44" s="4" t="b">
        <v>0</v>
      </c>
    </row>
    <row r="45" spans="1:17" x14ac:dyDescent="0.2">
      <c r="A45" s="79" t="s">
        <v>372</v>
      </c>
      <c r="B45" s="80">
        <v>46266.622610057871</v>
      </c>
      <c r="C45" s="79" t="s">
        <v>281</v>
      </c>
      <c r="D45" s="81" t="s">
        <v>2</v>
      </c>
      <c r="E45" s="79" t="s">
        <v>221</v>
      </c>
      <c r="F45" s="4">
        <v>9</v>
      </c>
      <c r="G45" s="4">
        <v>123</v>
      </c>
      <c r="H45" s="4" t="s">
        <v>258</v>
      </c>
      <c r="I45" s="4" t="s">
        <v>282</v>
      </c>
      <c r="J45" s="4" t="s">
        <v>373</v>
      </c>
      <c r="K45" s="4" t="b">
        <v>0</v>
      </c>
    </row>
    <row r="46" spans="1:17" x14ac:dyDescent="0.2">
      <c r="A46" s="79" t="s">
        <v>374</v>
      </c>
      <c r="B46" s="80">
        <v>46266.622610057871</v>
      </c>
      <c r="C46" s="79" t="s">
        <v>281</v>
      </c>
      <c r="D46" s="81" t="s">
        <v>2</v>
      </c>
      <c r="E46" s="79" t="s">
        <v>221</v>
      </c>
      <c r="F46" s="4">
        <v>9</v>
      </c>
      <c r="G46" s="4">
        <v>124</v>
      </c>
      <c r="H46" s="4" t="s">
        <v>375</v>
      </c>
      <c r="I46" s="4" t="s">
        <v>282</v>
      </c>
      <c r="J46" s="4" t="s">
        <v>376</v>
      </c>
      <c r="K46" s="4" t="b">
        <v>0</v>
      </c>
    </row>
    <row r="47" spans="1:17" x14ac:dyDescent="0.2">
      <c r="A47" s="79" t="s">
        <v>377</v>
      </c>
      <c r="B47" s="80">
        <v>46266.622610057871</v>
      </c>
      <c r="C47" s="79" t="s">
        <v>281</v>
      </c>
      <c r="D47" s="81" t="s">
        <v>2</v>
      </c>
      <c r="E47" s="79" t="s">
        <v>221</v>
      </c>
      <c r="F47" s="4">
        <v>9</v>
      </c>
      <c r="G47" s="4">
        <v>131</v>
      </c>
      <c r="H47" s="4" t="s">
        <v>89</v>
      </c>
      <c r="I47" s="4" t="s">
        <v>282</v>
      </c>
      <c r="J47" s="4" t="s">
        <v>378</v>
      </c>
      <c r="K47" s="4" t="b">
        <v>0</v>
      </c>
    </row>
    <row r="48" spans="1:17" x14ac:dyDescent="0.2">
      <c r="A48" s="79" t="s">
        <v>379</v>
      </c>
      <c r="B48" s="80">
        <v>46266.622610057871</v>
      </c>
      <c r="C48" s="79" t="s">
        <v>281</v>
      </c>
      <c r="D48" s="81" t="s">
        <v>2</v>
      </c>
      <c r="E48" s="79" t="s">
        <v>221</v>
      </c>
      <c r="F48" s="4">
        <v>9</v>
      </c>
      <c r="G48" s="4">
        <v>132</v>
      </c>
      <c r="H48" s="4" t="s">
        <v>90</v>
      </c>
      <c r="I48" s="4" t="s">
        <v>282</v>
      </c>
      <c r="J48" s="4" t="s">
        <v>380</v>
      </c>
      <c r="K48" s="4" t="b">
        <v>0</v>
      </c>
      <c r="L48" s="4"/>
      <c r="M48" s="4"/>
      <c r="N48" s="83"/>
      <c r="O48" s="4"/>
      <c r="P48" s="83"/>
      <c r="Q48" s="4"/>
    </row>
    <row r="49" spans="1:17" x14ac:dyDescent="0.2">
      <c r="A49" s="79" t="s">
        <v>381</v>
      </c>
      <c r="B49" s="80">
        <v>46266.622610057871</v>
      </c>
      <c r="C49" s="79" t="s">
        <v>281</v>
      </c>
      <c r="D49" s="81" t="s">
        <v>2</v>
      </c>
      <c r="E49" s="79" t="s">
        <v>221</v>
      </c>
      <c r="F49" s="4">
        <v>9</v>
      </c>
      <c r="G49" s="4">
        <v>133</v>
      </c>
      <c r="H49" s="4" t="s">
        <v>91</v>
      </c>
      <c r="I49" s="4" t="s">
        <v>282</v>
      </c>
      <c r="J49" s="4" t="s">
        <v>382</v>
      </c>
      <c r="K49" s="4" t="b">
        <v>0</v>
      </c>
    </row>
    <row r="50" spans="1:17" x14ac:dyDescent="0.2">
      <c r="A50" s="79" t="s">
        <v>383</v>
      </c>
      <c r="B50" s="80">
        <v>46266.622610057871</v>
      </c>
      <c r="C50" s="79" t="s">
        <v>281</v>
      </c>
      <c r="D50" s="81" t="s">
        <v>2</v>
      </c>
      <c r="E50" s="79" t="s">
        <v>221</v>
      </c>
      <c r="F50" s="4">
        <v>9</v>
      </c>
      <c r="G50" s="4">
        <v>134</v>
      </c>
      <c r="H50" s="4" t="s">
        <v>92</v>
      </c>
      <c r="I50" s="4" t="s">
        <v>282</v>
      </c>
      <c r="J50" s="4" t="s">
        <v>384</v>
      </c>
      <c r="K50" s="4" t="b">
        <v>0</v>
      </c>
      <c r="L50" s="4"/>
      <c r="M50" s="4"/>
      <c r="N50" s="83"/>
      <c r="O50" s="4"/>
      <c r="P50" s="83"/>
      <c r="Q50" s="4"/>
    </row>
    <row r="51" spans="1:17" x14ac:dyDescent="0.2">
      <c r="A51" s="79" t="s">
        <v>385</v>
      </c>
      <c r="B51" s="80">
        <v>46266.622610057871</v>
      </c>
      <c r="C51" s="79" t="s">
        <v>281</v>
      </c>
      <c r="D51" s="81" t="s">
        <v>2</v>
      </c>
      <c r="E51" s="79" t="s">
        <v>228</v>
      </c>
      <c r="F51" s="4">
        <v>10</v>
      </c>
      <c r="G51" s="4">
        <v>4</v>
      </c>
      <c r="H51" s="4" t="s">
        <v>57</v>
      </c>
      <c r="I51" s="4" t="s">
        <v>282</v>
      </c>
      <c r="J51" s="4" t="s">
        <v>283</v>
      </c>
      <c r="K51" s="4" t="b">
        <v>0</v>
      </c>
    </row>
    <row r="52" spans="1:17" x14ac:dyDescent="0.2">
      <c r="A52" s="79" t="s">
        <v>386</v>
      </c>
      <c r="B52" s="80">
        <v>46266.622610057871</v>
      </c>
      <c r="C52" s="79" t="s">
        <v>281</v>
      </c>
      <c r="D52" s="81" t="s">
        <v>2</v>
      </c>
      <c r="E52" s="79" t="s">
        <v>228</v>
      </c>
      <c r="F52" s="4">
        <v>10</v>
      </c>
      <c r="G52" s="4">
        <v>5</v>
      </c>
      <c r="H52" s="4" t="s">
        <v>18</v>
      </c>
      <c r="I52" s="4" t="s">
        <v>282</v>
      </c>
      <c r="J52" s="4" t="s">
        <v>285</v>
      </c>
      <c r="K52" s="4" t="b">
        <v>0</v>
      </c>
    </row>
    <row r="53" spans="1:17" x14ac:dyDescent="0.2">
      <c r="A53" s="79" t="s">
        <v>387</v>
      </c>
      <c r="B53" s="80">
        <v>46266.622610057871</v>
      </c>
      <c r="C53" s="79" t="s">
        <v>281</v>
      </c>
      <c r="D53" s="81" t="s">
        <v>2</v>
      </c>
      <c r="E53" s="79" t="s">
        <v>228</v>
      </c>
      <c r="F53" s="4">
        <v>10</v>
      </c>
      <c r="G53" s="4">
        <v>6</v>
      </c>
      <c r="H53" s="4" t="s">
        <v>61</v>
      </c>
      <c r="I53" s="4" t="s">
        <v>282</v>
      </c>
      <c r="J53" s="4" t="s">
        <v>287</v>
      </c>
      <c r="K53" s="4" t="b">
        <v>0</v>
      </c>
    </row>
    <row r="54" spans="1:17" x14ac:dyDescent="0.2">
      <c r="A54" s="79" t="s">
        <v>388</v>
      </c>
      <c r="B54" s="80">
        <v>46266.622610057871</v>
      </c>
      <c r="C54" s="79" t="s">
        <v>281</v>
      </c>
      <c r="D54" s="81" t="s">
        <v>2</v>
      </c>
      <c r="E54" s="79" t="s">
        <v>228</v>
      </c>
      <c r="F54" s="4">
        <v>10</v>
      </c>
      <c r="G54" s="4">
        <v>7</v>
      </c>
      <c r="H54" s="4" t="s">
        <v>20</v>
      </c>
      <c r="I54" s="4" t="s">
        <v>289</v>
      </c>
      <c r="J54" s="4" t="s">
        <v>389</v>
      </c>
      <c r="K54" s="4" t="b">
        <v>0</v>
      </c>
    </row>
    <row r="55" spans="1:17" x14ac:dyDescent="0.2">
      <c r="A55" s="79" t="s">
        <v>390</v>
      </c>
      <c r="B55" s="80">
        <v>46266.622610057871</v>
      </c>
      <c r="C55" s="79" t="s">
        <v>281</v>
      </c>
      <c r="D55" s="81" t="s">
        <v>2</v>
      </c>
      <c r="E55" s="79" t="s">
        <v>228</v>
      </c>
      <c r="F55" s="4">
        <v>10</v>
      </c>
      <c r="G55" s="4">
        <v>8</v>
      </c>
      <c r="H55" s="4" t="s">
        <v>292</v>
      </c>
      <c r="I55" s="4" t="s">
        <v>282</v>
      </c>
      <c r="J55" s="4" t="s">
        <v>293</v>
      </c>
      <c r="K55" s="4" t="b">
        <v>0</v>
      </c>
    </row>
    <row r="56" spans="1:17" x14ac:dyDescent="0.2">
      <c r="A56" s="79" t="s">
        <v>391</v>
      </c>
      <c r="B56" s="80">
        <v>46266.622610057871</v>
      </c>
      <c r="C56" s="79" t="s">
        <v>281</v>
      </c>
      <c r="D56" s="81" t="s">
        <v>2</v>
      </c>
      <c r="E56" s="79" t="s">
        <v>228</v>
      </c>
      <c r="F56" s="4">
        <v>10</v>
      </c>
      <c r="G56" s="4">
        <v>9</v>
      </c>
      <c r="H56" s="4" t="s">
        <v>21</v>
      </c>
      <c r="I56" s="4" t="s">
        <v>282</v>
      </c>
      <c r="J56" s="4" t="s">
        <v>295</v>
      </c>
      <c r="K56" s="4" t="b">
        <v>0</v>
      </c>
    </row>
    <row r="57" spans="1:17" x14ac:dyDescent="0.2">
      <c r="A57" s="79" t="s">
        <v>392</v>
      </c>
      <c r="B57" s="80">
        <v>46266.622610057871</v>
      </c>
      <c r="C57" s="79" t="s">
        <v>281</v>
      </c>
      <c r="D57" s="81" t="s">
        <v>2</v>
      </c>
      <c r="E57" s="79" t="s">
        <v>228</v>
      </c>
      <c r="F57" s="4">
        <v>10</v>
      </c>
      <c r="G57" s="4">
        <v>11</v>
      </c>
      <c r="H57" s="4" t="s">
        <v>67</v>
      </c>
      <c r="I57" s="4" t="s">
        <v>282</v>
      </c>
      <c r="J57" s="4" t="s">
        <v>297</v>
      </c>
      <c r="K57" s="4" t="b">
        <v>0</v>
      </c>
    </row>
    <row r="58" spans="1:17" x14ac:dyDescent="0.2">
      <c r="A58" s="79" t="s">
        <v>393</v>
      </c>
      <c r="B58" s="80">
        <v>46266.622610057871</v>
      </c>
      <c r="C58" s="79" t="s">
        <v>281</v>
      </c>
      <c r="D58" s="81" t="s">
        <v>2</v>
      </c>
      <c r="E58" s="79" t="s">
        <v>228</v>
      </c>
      <c r="F58" s="4">
        <v>10</v>
      </c>
      <c r="G58" s="4">
        <v>15</v>
      </c>
      <c r="H58" s="4" t="s">
        <v>299</v>
      </c>
      <c r="I58" s="4" t="s">
        <v>282</v>
      </c>
      <c r="J58" s="4" t="s">
        <v>300</v>
      </c>
      <c r="K58" s="4" t="b">
        <v>0</v>
      </c>
    </row>
    <row r="59" spans="1:17" x14ac:dyDescent="0.2">
      <c r="A59" s="79" t="s">
        <v>394</v>
      </c>
      <c r="B59" s="80">
        <v>46266.622610057871</v>
      </c>
      <c r="C59" s="79" t="s">
        <v>281</v>
      </c>
      <c r="D59" s="81" t="s">
        <v>2</v>
      </c>
      <c r="E59" s="79" t="s">
        <v>228</v>
      </c>
      <c r="F59" s="4">
        <v>10</v>
      </c>
      <c r="G59" s="4">
        <v>16</v>
      </c>
      <c r="H59" s="4" t="s">
        <v>78</v>
      </c>
      <c r="I59" s="4" t="s">
        <v>282</v>
      </c>
      <c r="J59" s="4" t="s">
        <v>302</v>
      </c>
      <c r="K59" s="4" t="b">
        <v>0</v>
      </c>
    </row>
    <row r="60" spans="1:17" x14ac:dyDescent="0.2">
      <c r="A60" s="79" t="s">
        <v>395</v>
      </c>
      <c r="B60" s="80">
        <v>46266.622610057871</v>
      </c>
      <c r="C60" s="79" t="s">
        <v>281</v>
      </c>
      <c r="D60" s="81" t="s">
        <v>2</v>
      </c>
      <c r="E60" s="79" t="s">
        <v>228</v>
      </c>
      <c r="F60" s="4">
        <v>10</v>
      </c>
      <c r="G60" s="4">
        <v>17</v>
      </c>
      <c r="H60" s="4" t="s">
        <v>304</v>
      </c>
      <c r="I60" s="4" t="s">
        <v>282</v>
      </c>
      <c r="J60" s="4" t="s">
        <v>305</v>
      </c>
      <c r="K60" s="4" t="b">
        <v>0</v>
      </c>
    </row>
    <row r="61" spans="1:17" x14ac:dyDescent="0.2">
      <c r="A61" s="79" t="s">
        <v>396</v>
      </c>
      <c r="B61" s="80">
        <v>46266.622610057871</v>
      </c>
      <c r="C61" s="79" t="s">
        <v>281</v>
      </c>
      <c r="D61" s="81" t="s">
        <v>2</v>
      </c>
      <c r="E61" s="79" t="s">
        <v>228</v>
      </c>
      <c r="F61" s="4">
        <v>10</v>
      </c>
      <c r="G61" s="4">
        <v>18</v>
      </c>
      <c r="H61" s="4" t="s">
        <v>307</v>
      </c>
      <c r="I61" s="4" t="s">
        <v>282</v>
      </c>
      <c r="J61" s="4" t="s">
        <v>308</v>
      </c>
      <c r="K61" s="4" t="b">
        <v>0</v>
      </c>
    </row>
    <row r="62" spans="1:17" x14ac:dyDescent="0.2">
      <c r="A62" s="79" t="s">
        <v>397</v>
      </c>
      <c r="B62" s="80">
        <v>46266.622610057871</v>
      </c>
      <c r="C62" s="79" t="s">
        <v>281</v>
      </c>
      <c r="D62" s="81" t="s">
        <v>2</v>
      </c>
      <c r="E62" s="79" t="s">
        <v>228</v>
      </c>
      <c r="F62" s="4">
        <v>10</v>
      </c>
      <c r="G62" s="4">
        <v>19</v>
      </c>
      <c r="H62" s="4" t="s">
        <v>310</v>
      </c>
      <c r="I62" s="4" t="s">
        <v>282</v>
      </c>
      <c r="J62" s="4" t="s">
        <v>311</v>
      </c>
      <c r="K62" s="4" t="b">
        <v>0</v>
      </c>
    </row>
    <row r="63" spans="1:17" x14ac:dyDescent="0.2">
      <c r="A63" s="79" t="s">
        <v>398</v>
      </c>
      <c r="B63" s="80">
        <v>46266.622610057871</v>
      </c>
      <c r="C63" s="79" t="s">
        <v>281</v>
      </c>
      <c r="D63" s="81" t="s">
        <v>2</v>
      </c>
      <c r="E63" s="79" t="s">
        <v>228</v>
      </c>
      <c r="F63" s="4">
        <v>10</v>
      </c>
      <c r="G63" s="4">
        <v>32</v>
      </c>
      <c r="H63" s="4" t="s">
        <v>23</v>
      </c>
      <c r="I63" s="4" t="s">
        <v>282</v>
      </c>
      <c r="J63" s="4" t="s">
        <v>313</v>
      </c>
      <c r="K63" s="4" t="b">
        <v>0</v>
      </c>
    </row>
    <row r="64" spans="1:17" x14ac:dyDescent="0.2">
      <c r="A64" s="79" t="s">
        <v>399</v>
      </c>
      <c r="B64" s="80">
        <v>46266.622610057871</v>
      </c>
      <c r="C64" s="79" t="s">
        <v>281</v>
      </c>
      <c r="D64" s="81" t="s">
        <v>2</v>
      </c>
      <c r="E64" s="79" t="s">
        <v>228</v>
      </c>
      <c r="F64" s="4">
        <v>10</v>
      </c>
      <c r="G64" s="4">
        <v>34</v>
      </c>
      <c r="H64" s="4" t="s">
        <v>26</v>
      </c>
      <c r="I64" s="4" t="s">
        <v>282</v>
      </c>
      <c r="J64" s="4" t="s">
        <v>315</v>
      </c>
      <c r="K64" s="4" t="b">
        <v>0</v>
      </c>
    </row>
    <row r="65" spans="1:11" x14ac:dyDescent="0.2">
      <c r="A65" s="79" t="s">
        <v>400</v>
      </c>
      <c r="B65" s="80">
        <v>46266.622610057871</v>
      </c>
      <c r="C65" s="79" t="s">
        <v>281</v>
      </c>
      <c r="D65" s="81" t="s">
        <v>2</v>
      </c>
      <c r="E65" s="79" t="s">
        <v>228</v>
      </c>
      <c r="F65" s="4">
        <v>10</v>
      </c>
      <c r="G65" s="4">
        <v>35</v>
      </c>
      <c r="H65" s="4" t="s">
        <v>27</v>
      </c>
      <c r="I65" s="4" t="s">
        <v>282</v>
      </c>
      <c r="J65" s="4" t="s">
        <v>317</v>
      </c>
      <c r="K65" s="4" t="b">
        <v>0</v>
      </c>
    </row>
    <row r="66" spans="1:11" x14ac:dyDescent="0.2">
      <c r="A66" s="79" t="s">
        <v>401</v>
      </c>
      <c r="B66" s="80">
        <v>46266.622610057871</v>
      </c>
      <c r="C66" s="79" t="s">
        <v>281</v>
      </c>
      <c r="D66" s="81" t="s">
        <v>2</v>
      </c>
      <c r="E66" s="79" t="s">
        <v>228</v>
      </c>
      <c r="F66" s="4">
        <v>10</v>
      </c>
      <c r="G66" s="4">
        <v>36</v>
      </c>
      <c r="H66" s="4" t="s">
        <v>28</v>
      </c>
      <c r="I66" s="4" t="s">
        <v>282</v>
      </c>
      <c r="J66" s="4" t="s">
        <v>319</v>
      </c>
      <c r="K66" s="4" t="b">
        <v>0</v>
      </c>
    </row>
    <row r="67" spans="1:11" x14ac:dyDescent="0.2">
      <c r="A67" s="79" t="s">
        <v>402</v>
      </c>
      <c r="B67" s="80">
        <v>46266.622610057871</v>
      </c>
      <c r="C67" s="79" t="s">
        <v>281</v>
      </c>
      <c r="D67" s="81" t="s">
        <v>2</v>
      </c>
      <c r="E67" s="79" t="s">
        <v>228</v>
      </c>
      <c r="F67" s="4">
        <v>10</v>
      </c>
      <c r="G67" s="4">
        <v>37</v>
      </c>
      <c r="H67" s="4" t="s">
        <v>29</v>
      </c>
      <c r="I67" s="4" t="s">
        <v>282</v>
      </c>
      <c r="J67" s="4" t="s">
        <v>321</v>
      </c>
      <c r="K67" s="4" t="b">
        <v>0</v>
      </c>
    </row>
    <row r="68" spans="1:11" x14ac:dyDescent="0.2">
      <c r="A68" s="79" t="s">
        <v>403</v>
      </c>
      <c r="B68" s="80">
        <v>46266.622610057871</v>
      </c>
      <c r="C68" s="79" t="s">
        <v>281</v>
      </c>
      <c r="D68" s="81" t="s">
        <v>2</v>
      </c>
      <c r="E68" s="79" t="s">
        <v>228</v>
      </c>
      <c r="F68" s="4">
        <v>10</v>
      </c>
      <c r="G68" s="4">
        <v>38</v>
      </c>
      <c r="H68" s="4" t="s">
        <v>30</v>
      </c>
      <c r="I68" s="4" t="s">
        <v>282</v>
      </c>
      <c r="J68" s="4" t="s">
        <v>323</v>
      </c>
      <c r="K68" s="4" t="b">
        <v>0</v>
      </c>
    </row>
    <row r="69" spans="1:11" x14ac:dyDescent="0.2">
      <c r="A69" s="79" t="s">
        <v>404</v>
      </c>
      <c r="B69" s="80">
        <v>46266.622610057871</v>
      </c>
      <c r="C69" s="79" t="s">
        <v>281</v>
      </c>
      <c r="D69" s="81" t="s">
        <v>2</v>
      </c>
      <c r="E69" s="79" t="s">
        <v>228</v>
      </c>
      <c r="F69" s="4">
        <v>10</v>
      </c>
      <c r="G69" s="4">
        <v>39</v>
      </c>
      <c r="H69" s="4" t="s">
        <v>31</v>
      </c>
      <c r="I69" s="4" t="s">
        <v>282</v>
      </c>
      <c r="J69" s="4" t="s">
        <v>325</v>
      </c>
      <c r="K69" s="4" t="b">
        <v>0</v>
      </c>
    </row>
    <row r="70" spans="1:11" x14ac:dyDescent="0.2">
      <c r="A70" s="79" t="s">
        <v>405</v>
      </c>
      <c r="B70" s="80">
        <v>46266.622610057871</v>
      </c>
      <c r="C70" s="79" t="s">
        <v>281</v>
      </c>
      <c r="D70" s="81" t="s">
        <v>2</v>
      </c>
      <c r="E70" s="79" t="s">
        <v>228</v>
      </c>
      <c r="F70" s="4">
        <v>10</v>
      </c>
      <c r="G70" s="4">
        <v>40</v>
      </c>
      <c r="H70" s="4" t="s">
        <v>32</v>
      </c>
      <c r="I70" s="4" t="s">
        <v>282</v>
      </c>
      <c r="J70" s="4" t="s">
        <v>327</v>
      </c>
      <c r="K70" s="4" t="b">
        <v>0</v>
      </c>
    </row>
    <row r="71" spans="1:11" x14ac:dyDescent="0.2">
      <c r="A71" s="79" t="s">
        <v>406</v>
      </c>
      <c r="B71" s="80">
        <v>46266.622610057871</v>
      </c>
      <c r="C71" s="79" t="s">
        <v>281</v>
      </c>
      <c r="D71" s="81" t="s">
        <v>2</v>
      </c>
      <c r="E71" s="79" t="s">
        <v>228</v>
      </c>
      <c r="F71" s="4">
        <v>10</v>
      </c>
      <c r="G71" s="4">
        <v>42</v>
      </c>
      <c r="H71" s="4" t="s">
        <v>34</v>
      </c>
      <c r="I71" s="4" t="s">
        <v>282</v>
      </c>
      <c r="J71" s="4" t="s">
        <v>329</v>
      </c>
      <c r="K71" s="4" t="b">
        <v>0</v>
      </c>
    </row>
    <row r="72" spans="1:11" x14ac:dyDescent="0.2">
      <c r="A72" s="79" t="s">
        <v>407</v>
      </c>
      <c r="B72" s="80">
        <v>46266.622610057871</v>
      </c>
      <c r="C72" s="79" t="s">
        <v>281</v>
      </c>
      <c r="D72" s="81" t="s">
        <v>2</v>
      </c>
      <c r="E72" s="79" t="s">
        <v>228</v>
      </c>
      <c r="F72" s="4">
        <v>10</v>
      </c>
      <c r="G72" s="4">
        <v>53</v>
      </c>
      <c r="H72" s="4" t="s">
        <v>331</v>
      </c>
      <c r="I72" s="4" t="s">
        <v>282</v>
      </c>
      <c r="J72" s="4" t="s">
        <v>332</v>
      </c>
      <c r="K72" s="4" t="b">
        <v>0</v>
      </c>
    </row>
    <row r="73" spans="1:11" x14ac:dyDescent="0.2">
      <c r="A73" s="79" t="s">
        <v>408</v>
      </c>
      <c r="B73" s="80">
        <v>46266.622610057871</v>
      </c>
      <c r="C73" s="79" t="s">
        <v>281</v>
      </c>
      <c r="D73" s="81" t="s">
        <v>2</v>
      </c>
      <c r="E73" s="79" t="s">
        <v>228</v>
      </c>
      <c r="F73" s="4">
        <v>10</v>
      </c>
      <c r="G73" s="4">
        <v>74</v>
      </c>
      <c r="H73" s="4" t="s">
        <v>99</v>
      </c>
      <c r="I73" s="4" t="s">
        <v>282</v>
      </c>
      <c r="J73" s="4" t="s">
        <v>334</v>
      </c>
      <c r="K73" s="4" t="b">
        <v>0</v>
      </c>
    </row>
    <row r="74" spans="1:11" x14ac:dyDescent="0.2">
      <c r="A74" s="79" t="s">
        <v>409</v>
      </c>
      <c r="B74" s="80">
        <v>46266.622610057871</v>
      </c>
      <c r="C74" s="79" t="s">
        <v>281</v>
      </c>
      <c r="D74" s="81" t="s">
        <v>2</v>
      </c>
      <c r="E74" s="79" t="s">
        <v>228</v>
      </c>
      <c r="F74" s="4">
        <v>10</v>
      </c>
      <c r="G74" s="4">
        <v>75</v>
      </c>
      <c r="H74" s="4" t="s">
        <v>58</v>
      </c>
      <c r="I74" s="4" t="s">
        <v>282</v>
      </c>
      <c r="J74" s="4" t="s">
        <v>334</v>
      </c>
      <c r="K74" s="4" t="b">
        <v>0</v>
      </c>
    </row>
    <row r="75" spans="1:11" x14ac:dyDescent="0.2">
      <c r="A75" s="79" t="s">
        <v>410</v>
      </c>
      <c r="B75" s="80">
        <v>46266.622610057871</v>
      </c>
      <c r="C75" s="79" t="s">
        <v>281</v>
      </c>
      <c r="D75" s="81" t="s">
        <v>2</v>
      </c>
      <c r="E75" s="79" t="s">
        <v>228</v>
      </c>
      <c r="F75" s="4">
        <v>10</v>
      </c>
      <c r="G75" s="4">
        <v>76</v>
      </c>
      <c r="H75" s="4" t="s">
        <v>60</v>
      </c>
      <c r="I75" s="4" t="s">
        <v>282</v>
      </c>
      <c r="J75" s="4" t="s">
        <v>334</v>
      </c>
      <c r="K75" s="4" t="b">
        <v>0</v>
      </c>
    </row>
    <row r="76" spans="1:11" x14ac:dyDescent="0.2">
      <c r="A76" s="79" t="s">
        <v>411</v>
      </c>
      <c r="B76" s="80">
        <v>46266.622610057871</v>
      </c>
      <c r="C76" s="79" t="s">
        <v>281</v>
      </c>
      <c r="D76" s="81" t="s">
        <v>2</v>
      </c>
      <c r="E76" s="79" t="s">
        <v>228</v>
      </c>
      <c r="F76" s="4">
        <v>10</v>
      </c>
      <c r="G76" s="4">
        <v>77</v>
      </c>
      <c r="H76" s="4" t="s">
        <v>62</v>
      </c>
      <c r="I76" s="4" t="s">
        <v>282</v>
      </c>
      <c r="J76" s="4" t="s">
        <v>334</v>
      </c>
      <c r="K76" s="4" t="b">
        <v>0</v>
      </c>
    </row>
    <row r="77" spans="1:11" x14ac:dyDescent="0.2">
      <c r="A77" s="79" t="s">
        <v>412</v>
      </c>
      <c r="B77" s="80">
        <v>46266.622610057871</v>
      </c>
      <c r="C77" s="79" t="s">
        <v>281</v>
      </c>
      <c r="D77" s="81" t="s">
        <v>2</v>
      </c>
      <c r="E77" s="79" t="s">
        <v>228</v>
      </c>
      <c r="F77" s="4">
        <v>10</v>
      </c>
      <c r="G77" s="4">
        <v>78</v>
      </c>
      <c r="H77" s="4" t="s">
        <v>63</v>
      </c>
      <c r="I77" s="4" t="s">
        <v>282</v>
      </c>
      <c r="J77" s="4" t="s">
        <v>334</v>
      </c>
      <c r="K77" s="4" t="b">
        <v>0</v>
      </c>
    </row>
    <row r="78" spans="1:11" x14ac:dyDescent="0.2">
      <c r="A78" s="79" t="s">
        <v>413</v>
      </c>
      <c r="B78" s="80">
        <v>46266.622610057871</v>
      </c>
      <c r="C78" s="79" t="s">
        <v>281</v>
      </c>
      <c r="D78" s="81" t="s">
        <v>2</v>
      </c>
      <c r="E78" s="79" t="s">
        <v>228</v>
      </c>
      <c r="F78" s="4">
        <v>10</v>
      </c>
      <c r="G78" s="4">
        <v>94</v>
      </c>
      <c r="H78" s="4" t="s">
        <v>86</v>
      </c>
      <c r="I78" s="4" t="s">
        <v>282</v>
      </c>
      <c r="J78" s="4" t="s">
        <v>340</v>
      </c>
      <c r="K78" s="4" t="b">
        <v>0</v>
      </c>
    </row>
    <row r="79" spans="1:11" x14ac:dyDescent="0.2">
      <c r="A79" s="79" t="s">
        <v>414</v>
      </c>
      <c r="B79" s="80">
        <v>46266.622610057871</v>
      </c>
      <c r="C79" s="79" t="s">
        <v>281</v>
      </c>
      <c r="D79" s="81" t="s">
        <v>2</v>
      </c>
      <c r="E79" s="79" t="s">
        <v>228</v>
      </c>
      <c r="F79" s="4">
        <v>10</v>
      </c>
      <c r="G79" s="4">
        <v>96</v>
      </c>
      <c r="H79" s="4" t="s">
        <v>87</v>
      </c>
      <c r="I79" s="4" t="s">
        <v>282</v>
      </c>
      <c r="J79" s="4" t="s">
        <v>342</v>
      </c>
      <c r="K79" s="4" t="b">
        <v>0</v>
      </c>
    </row>
    <row r="80" spans="1:11" x14ac:dyDescent="0.2">
      <c r="A80" s="79" t="s">
        <v>415</v>
      </c>
      <c r="B80" s="80">
        <v>46266.622610057871</v>
      </c>
      <c r="C80" s="79" t="s">
        <v>281</v>
      </c>
      <c r="D80" s="81" t="s">
        <v>2</v>
      </c>
      <c r="E80" s="79" t="s">
        <v>228</v>
      </c>
      <c r="F80" s="4">
        <v>10</v>
      </c>
      <c r="G80" s="4">
        <v>99</v>
      </c>
      <c r="H80" s="4" t="s">
        <v>39</v>
      </c>
      <c r="I80" s="4" t="s">
        <v>282</v>
      </c>
      <c r="J80" s="4" t="s">
        <v>344</v>
      </c>
      <c r="K80" s="4" t="b">
        <v>0</v>
      </c>
    </row>
    <row r="81" spans="1:11" x14ac:dyDescent="0.2">
      <c r="A81" s="79" t="s">
        <v>416</v>
      </c>
      <c r="B81" s="80">
        <v>46266.622610057871</v>
      </c>
      <c r="C81" s="79" t="s">
        <v>281</v>
      </c>
      <c r="D81" s="81" t="s">
        <v>2</v>
      </c>
      <c r="E81" s="79" t="s">
        <v>228</v>
      </c>
      <c r="F81" s="4">
        <v>10</v>
      </c>
      <c r="G81" s="4">
        <v>101</v>
      </c>
      <c r="H81" s="4" t="s">
        <v>40</v>
      </c>
      <c r="I81" s="4" t="s">
        <v>282</v>
      </c>
      <c r="J81" s="4" t="s">
        <v>346</v>
      </c>
      <c r="K81" s="4" t="b">
        <v>0</v>
      </c>
    </row>
    <row r="82" spans="1:11" x14ac:dyDescent="0.2">
      <c r="A82" s="79" t="s">
        <v>417</v>
      </c>
      <c r="B82" s="80">
        <v>46266.622610057871</v>
      </c>
      <c r="C82" s="79" t="s">
        <v>281</v>
      </c>
      <c r="D82" s="81" t="s">
        <v>2</v>
      </c>
      <c r="E82" s="79" t="s">
        <v>228</v>
      </c>
      <c r="F82" s="4">
        <v>10</v>
      </c>
      <c r="G82" s="4">
        <v>103</v>
      </c>
      <c r="H82" s="4" t="s">
        <v>41</v>
      </c>
      <c r="I82" s="4" t="s">
        <v>282</v>
      </c>
      <c r="J82" s="4" t="s">
        <v>348</v>
      </c>
      <c r="K82" s="4" t="b">
        <v>0</v>
      </c>
    </row>
    <row r="83" spans="1:11" x14ac:dyDescent="0.2">
      <c r="A83" s="79" t="s">
        <v>418</v>
      </c>
      <c r="B83" s="80">
        <v>46266.622610057871</v>
      </c>
      <c r="C83" s="79" t="s">
        <v>281</v>
      </c>
      <c r="D83" s="81" t="s">
        <v>2</v>
      </c>
      <c r="E83" s="79" t="s">
        <v>228</v>
      </c>
      <c r="F83" s="4">
        <v>10</v>
      </c>
      <c r="G83" s="4">
        <v>105</v>
      </c>
      <c r="H83" s="4" t="s">
        <v>350</v>
      </c>
      <c r="I83" s="4" t="s">
        <v>282</v>
      </c>
      <c r="J83" s="4" t="s">
        <v>351</v>
      </c>
      <c r="K83" s="4" t="b">
        <v>0</v>
      </c>
    </row>
    <row r="84" spans="1:11" x14ac:dyDescent="0.2">
      <c r="A84" s="79" t="s">
        <v>419</v>
      </c>
      <c r="B84" s="80">
        <v>46266.622610057871</v>
      </c>
      <c r="C84" s="79" t="s">
        <v>281</v>
      </c>
      <c r="D84" s="81" t="s">
        <v>2</v>
      </c>
      <c r="E84" s="79" t="s">
        <v>228</v>
      </c>
      <c r="F84" s="4">
        <v>10</v>
      </c>
      <c r="G84" s="4">
        <v>106</v>
      </c>
      <c r="H84" s="4" t="s">
        <v>42</v>
      </c>
      <c r="I84" s="4" t="s">
        <v>282</v>
      </c>
      <c r="J84" s="4" t="s">
        <v>353</v>
      </c>
      <c r="K84" s="4" t="b">
        <v>0</v>
      </c>
    </row>
    <row r="85" spans="1:11" x14ac:dyDescent="0.2">
      <c r="A85" s="79" t="s">
        <v>420</v>
      </c>
      <c r="B85" s="80">
        <v>46266.622610057871</v>
      </c>
      <c r="C85" s="79" t="s">
        <v>281</v>
      </c>
      <c r="D85" s="81" t="s">
        <v>2</v>
      </c>
      <c r="E85" s="79" t="s">
        <v>228</v>
      </c>
      <c r="F85" s="4">
        <v>10</v>
      </c>
      <c r="G85" s="4">
        <v>107</v>
      </c>
      <c r="H85" s="4" t="s">
        <v>43</v>
      </c>
      <c r="I85" s="4" t="s">
        <v>282</v>
      </c>
      <c r="J85" s="4" t="s">
        <v>355</v>
      </c>
      <c r="K85" s="4" t="b">
        <v>0</v>
      </c>
    </row>
    <row r="86" spans="1:11" x14ac:dyDescent="0.2">
      <c r="A86" s="79" t="s">
        <v>421</v>
      </c>
      <c r="B86" s="80">
        <v>46266.622610057871</v>
      </c>
      <c r="C86" s="79" t="s">
        <v>281</v>
      </c>
      <c r="D86" s="81" t="s">
        <v>2</v>
      </c>
      <c r="E86" s="79" t="s">
        <v>228</v>
      </c>
      <c r="F86" s="4">
        <v>10</v>
      </c>
      <c r="G86" s="4">
        <v>108</v>
      </c>
      <c r="H86" s="4" t="s">
        <v>110</v>
      </c>
      <c r="I86" s="4" t="s">
        <v>282</v>
      </c>
      <c r="J86" s="4" t="s">
        <v>357</v>
      </c>
      <c r="K86" s="4" t="b">
        <v>0</v>
      </c>
    </row>
    <row r="87" spans="1:11" x14ac:dyDescent="0.2">
      <c r="A87" s="79" t="s">
        <v>422</v>
      </c>
      <c r="B87" s="80">
        <v>46266.622610057871</v>
      </c>
      <c r="C87" s="79" t="s">
        <v>281</v>
      </c>
      <c r="D87" s="81" t="s">
        <v>2</v>
      </c>
      <c r="E87" s="79" t="s">
        <v>228</v>
      </c>
      <c r="F87" s="4">
        <v>10</v>
      </c>
      <c r="G87" s="4">
        <v>110</v>
      </c>
      <c r="H87" s="4" t="s">
        <v>44</v>
      </c>
      <c r="I87" s="4" t="s">
        <v>282</v>
      </c>
      <c r="J87" s="4" t="s">
        <v>359</v>
      </c>
      <c r="K87" s="4" t="b">
        <v>0</v>
      </c>
    </row>
    <row r="88" spans="1:11" x14ac:dyDescent="0.2">
      <c r="A88" s="79" t="s">
        <v>423</v>
      </c>
      <c r="B88" s="80">
        <v>46266.622610057871</v>
      </c>
      <c r="C88" s="79" t="s">
        <v>281</v>
      </c>
      <c r="D88" s="81" t="s">
        <v>2</v>
      </c>
      <c r="E88" s="79" t="s">
        <v>228</v>
      </c>
      <c r="F88" s="4">
        <v>10</v>
      </c>
      <c r="G88" s="4">
        <v>112</v>
      </c>
      <c r="H88" s="4" t="s">
        <v>45</v>
      </c>
      <c r="I88" s="4" t="s">
        <v>282</v>
      </c>
      <c r="J88" s="4" t="s">
        <v>361</v>
      </c>
      <c r="K88" s="4" t="b">
        <v>0</v>
      </c>
    </row>
    <row r="89" spans="1:11" x14ac:dyDescent="0.2">
      <c r="A89" s="79" t="s">
        <v>424</v>
      </c>
      <c r="B89" s="80">
        <v>46266.622610057871</v>
      </c>
      <c r="C89" s="79" t="s">
        <v>281</v>
      </c>
      <c r="D89" s="81" t="s">
        <v>2</v>
      </c>
      <c r="E89" s="79" t="s">
        <v>228</v>
      </c>
      <c r="F89" s="4">
        <v>10</v>
      </c>
      <c r="G89" s="4">
        <v>114</v>
      </c>
      <c r="H89" s="4" t="s">
        <v>46</v>
      </c>
      <c r="I89" s="4" t="s">
        <v>282</v>
      </c>
      <c r="J89" s="4" t="s">
        <v>363</v>
      </c>
      <c r="K89" s="4" t="b">
        <v>0</v>
      </c>
    </row>
    <row r="90" spans="1:11" x14ac:dyDescent="0.2">
      <c r="A90" s="79" t="s">
        <v>425</v>
      </c>
      <c r="B90" s="80">
        <v>46266.622610057871</v>
      </c>
      <c r="C90" s="79" t="s">
        <v>281</v>
      </c>
      <c r="D90" s="81" t="s">
        <v>2</v>
      </c>
      <c r="E90" s="79" t="s">
        <v>228</v>
      </c>
      <c r="F90" s="4">
        <v>10</v>
      </c>
      <c r="G90" s="4">
        <v>116</v>
      </c>
      <c r="H90" s="4" t="s">
        <v>47</v>
      </c>
      <c r="I90" s="4" t="s">
        <v>282</v>
      </c>
      <c r="J90" s="4" t="s">
        <v>365</v>
      </c>
      <c r="K90" s="4" t="b">
        <v>0</v>
      </c>
    </row>
    <row r="91" spans="1:11" x14ac:dyDescent="0.2">
      <c r="A91" s="79" t="s">
        <v>426</v>
      </c>
      <c r="B91" s="80">
        <v>46266.622610057871</v>
      </c>
      <c r="C91" s="79" t="s">
        <v>281</v>
      </c>
      <c r="D91" s="81" t="s">
        <v>2</v>
      </c>
      <c r="E91" s="79" t="s">
        <v>228</v>
      </c>
      <c r="F91" s="4">
        <v>10</v>
      </c>
      <c r="G91" s="4">
        <v>118</v>
      </c>
      <c r="H91" s="4" t="s">
        <v>48</v>
      </c>
      <c r="I91" s="4" t="s">
        <v>282</v>
      </c>
      <c r="J91" s="4" t="s">
        <v>367</v>
      </c>
      <c r="K91" s="4" t="b">
        <v>0</v>
      </c>
    </row>
    <row r="92" spans="1:11" x14ac:dyDescent="0.2">
      <c r="A92" s="79" t="s">
        <v>427</v>
      </c>
      <c r="B92" s="80">
        <v>46266.622610057871</v>
      </c>
      <c r="C92" s="79" t="s">
        <v>281</v>
      </c>
      <c r="D92" s="81" t="s">
        <v>2</v>
      </c>
      <c r="E92" s="79" t="s">
        <v>228</v>
      </c>
      <c r="F92" s="4">
        <v>10</v>
      </c>
      <c r="G92" s="4">
        <v>120</v>
      </c>
      <c r="H92" s="4" t="s">
        <v>49</v>
      </c>
      <c r="I92" s="4" t="s">
        <v>282</v>
      </c>
      <c r="J92" s="4" t="s">
        <v>369</v>
      </c>
      <c r="K92" s="4" t="b">
        <v>0</v>
      </c>
    </row>
    <row r="93" spans="1:11" x14ac:dyDescent="0.2">
      <c r="A93" s="79" t="s">
        <v>428</v>
      </c>
      <c r="B93" s="80">
        <v>46266.622610057871</v>
      </c>
      <c r="C93" s="79" t="s">
        <v>281</v>
      </c>
      <c r="D93" s="81" t="s">
        <v>2</v>
      </c>
      <c r="E93" s="79" t="s">
        <v>228</v>
      </c>
      <c r="F93" s="4">
        <v>10</v>
      </c>
      <c r="G93" s="4">
        <v>122</v>
      </c>
      <c r="H93" s="4" t="s">
        <v>50</v>
      </c>
      <c r="I93" s="4" t="s">
        <v>282</v>
      </c>
      <c r="J93" s="4" t="s">
        <v>371</v>
      </c>
      <c r="K93" s="4" t="b">
        <v>0</v>
      </c>
    </row>
    <row r="94" spans="1:11" x14ac:dyDescent="0.2">
      <c r="A94" s="79" t="s">
        <v>429</v>
      </c>
      <c r="B94" s="80">
        <v>46266.622610057871</v>
      </c>
      <c r="C94" s="79" t="s">
        <v>281</v>
      </c>
      <c r="D94" s="81" t="s">
        <v>2</v>
      </c>
      <c r="E94" s="79" t="s">
        <v>228</v>
      </c>
      <c r="F94" s="4">
        <v>10</v>
      </c>
      <c r="G94" s="4">
        <v>123</v>
      </c>
      <c r="H94" s="4" t="s">
        <v>258</v>
      </c>
      <c r="I94" s="4" t="s">
        <v>282</v>
      </c>
      <c r="J94" s="4" t="s">
        <v>373</v>
      </c>
      <c r="K94" s="4" t="b">
        <v>0</v>
      </c>
    </row>
    <row r="95" spans="1:11" x14ac:dyDescent="0.2">
      <c r="A95" s="79" t="s">
        <v>430</v>
      </c>
      <c r="B95" s="80">
        <v>46266.622610057871</v>
      </c>
      <c r="C95" s="79" t="s">
        <v>281</v>
      </c>
      <c r="D95" s="81" t="s">
        <v>2</v>
      </c>
      <c r="E95" s="79" t="s">
        <v>228</v>
      </c>
      <c r="F95" s="4">
        <v>10</v>
      </c>
      <c r="G95" s="4">
        <v>124</v>
      </c>
      <c r="H95" s="4" t="s">
        <v>375</v>
      </c>
      <c r="I95" s="4" t="s">
        <v>282</v>
      </c>
      <c r="J95" s="4" t="s">
        <v>376</v>
      </c>
      <c r="K95" s="4" t="b">
        <v>0</v>
      </c>
    </row>
    <row r="96" spans="1:11" x14ac:dyDescent="0.2">
      <c r="A96" s="79" t="s">
        <v>431</v>
      </c>
      <c r="B96" s="80">
        <v>46266.622610057871</v>
      </c>
      <c r="C96" s="79" t="s">
        <v>281</v>
      </c>
      <c r="D96" s="81" t="s">
        <v>2</v>
      </c>
      <c r="E96" s="79" t="s">
        <v>228</v>
      </c>
      <c r="F96" s="4">
        <v>10</v>
      </c>
      <c r="G96" s="4">
        <v>131</v>
      </c>
      <c r="H96" s="4" t="s">
        <v>89</v>
      </c>
      <c r="I96" s="4" t="s">
        <v>282</v>
      </c>
      <c r="J96" s="4" t="s">
        <v>378</v>
      </c>
      <c r="K96" s="4" t="b">
        <v>0</v>
      </c>
    </row>
    <row r="97" spans="1:18" x14ac:dyDescent="0.2">
      <c r="A97" s="79" t="s">
        <v>432</v>
      </c>
      <c r="B97" s="80">
        <v>46266.622610057871</v>
      </c>
      <c r="C97" s="79" t="s">
        <v>281</v>
      </c>
      <c r="D97" s="81" t="s">
        <v>2</v>
      </c>
      <c r="E97" s="79" t="s">
        <v>228</v>
      </c>
      <c r="F97" s="4">
        <v>10</v>
      </c>
      <c r="G97" s="4">
        <v>132</v>
      </c>
      <c r="H97" s="4" t="s">
        <v>90</v>
      </c>
      <c r="I97" s="4" t="s">
        <v>282</v>
      </c>
      <c r="J97" s="4" t="s">
        <v>380</v>
      </c>
      <c r="K97" s="4" t="b">
        <v>0</v>
      </c>
    </row>
    <row r="98" spans="1:18" x14ac:dyDescent="0.2">
      <c r="A98" s="79" t="s">
        <v>433</v>
      </c>
      <c r="B98" s="80">
        <v>46266.622610057871</v>
      </c>
      <c r="C98" s="79" t="s">
        <v>281</v>
      </c>
      <c r="D98" s="81" t="s">
        <v>2</v>
      </c>
      <c r="E98" s="79" t="s">
        <v>228</v>
      </c>
      <c r="F98" s="4">
        <v>10</v>
      </c>
      <c r="G98" s="4">
        <v>133</v>
      </c>
      <c r="H98" s="4" t="s">
        <v>91</v>
      </c>
      <c r="I98" s="4" t="s">
        <v>282</v>
      </c>
      <c r="J98" s="4" t="s">
        <v>382</v>
      </c>
      <c r="K98" s="4" t="b">
        <v>0</v>
      </c>
    </row>
    <row r="99" spans="1:18" x14ac:dyDescent="0.2">
      <c r="A99" s="79" t="s">
        <v>434</v>
      </c>
      <c r="B99" s="80">
        <v>46266.622610057871</v>
      </c>
      <c r="C99" s="79" t="s">
        <v>281</v>
      </c>
      <c r="D99" s="81" t="s">
        <v>2</v>
      </c>
      <c r="E99" s="79" t="s">
        <v>228</v>
      </c>
      <c r="F99" s="4">
        <v>10</v>
      </c>
      <c r="G99" s="4">
        <v>134</v>
      </c>
      <c r="H99" s="4" t="s">
        <v>92</v>
      </c>
      <c r="I99" s="4" t="s">
        <v>282</v>
      </c>
      <c r="J99" s="4" t="s">
        <v>384</v>
      </c>
      <c r="K99" s="4" t="b">
        <v>0</v>
      </c>
    </row>
    <row r="100" spans="1:18" x14ac:dyDescent="0.2">
      <c r="A100" s="79" t="s">
        <v>435</v>
      </c>
      <c r="B100" s="80">
        <v>46266.42610459491</v>
      </c>
      <c r="C100" s="79" t="s">
        <v>436</v>
      </c>
      <c r="D100" s="81" t="s">
        <v>2</v>
      </c>
      <c r="E100" s="79" t="s">
        <v>221</v>
      </c>
      <c r="F100" s="4">
        <v>9</v>
      </c>
      <c r="G100" s="4">
        <v>4</v>
      </c>
      <c r="H100" s="4" t="s">
        <v>18</v>
      </c>
      <c r="I100" s="4" t="s">
        <v>282</v>
      </c>
      <c r="J100" s="4" t="s">
        <v>285</v>
      </c>
      <c r="K100" s="4" t="b">
        <v>1</v>
      </c>
      <c r="L100" s="4" t="s">
        <v>437</v>
      </c>
      <c r="M100" s="4" t="s">
        <v>438</v>
      </c>
      <c r="N100" s="83">
        <v>46265.650011678241</v>
      </c>
      <c r="O100" s="4" t="s">
        <v>439</v>
      </c>
      <c r="P100" s="83">
        <v>46265.65027377315</v>
      </c>
      <c r="Q100" s="86" t="s">
        <v>440</v>
      </c>
    </row>
    <row r="101" spans="1:18" x14ac:dyDescent="0.2">
      <c r="A101" s="79" t="s">
        <v>441</v>
      </c>
      <c r="B101" s="80">
        <v>46266.42610459491</v>
      </c>
      <c r="C101" s="79" t="s">
        <v>436</v>
      </c>
      <c r="D101" s="81" t="s">
        <v>2</v>
      </c>
      <c r="E101" s="79" t="s">
        <v>221</v>
      </c>
      <c r="F101" s="4">
        <v>9</v>
      </c>
      <c r="G101" s="4">
        <v>5</v>
      </c>
      <c r="H101" s="4" t="s">
        <v>20</v>
      </c>
      <c r="I101" s="4" t="s">
        <v>289</v>
      </c>
      <c r="J101" s="4" t="s">
        <v>442</v>
      </c>
      <c r="K101" s="4" t="b">
        <v>0</v>
      </c>
    </row>
    <row r="102" spans="1:18" x14ac:dyDescent="0.2">
      <c r="A102" s="79" t="s">
        <v>443</v>
      </c>
      <c r="B102" s="80">
        <v>46266.42610459491</v>
      </c>
      <c r="C102" s="79" t="s">
        <v>436</v>
      </c>
      <c r="D102" s="81" t="s">
        <v>2</v>
      </c>
      <c r="E102" s="79" t="s">
        <v>221</v>
      </c>
      <c r="F102" s="4">
        <v>9</v>
      </c>
      <c r="G102" s="4">
        <v>6</v>
      </c>
      <c r="H102" s="4" t="s">
        <v>21</v>
      </c>
      <c r="I102" s="4" t="s">
        <v>282</v>
      </c>
      <c r="J102" s="4" t="s">
        <v>295</v>
      </c>
      <c r="K102" s="4" t="b">
        <v>1</v>
      </c>
      <c r="L102" s="4" t="s">
        <v>444</v>
      </c>
      <c r="M102" s="4" t="s">
        <v>438</v>
      </c>
      <c r="N102" s="83">
        <v>46265.654013935186</v>
      </c>
      <c r="O102" s="4" t="s">
        <v>439</v>
      </c>
      <c r="P102" s="83">
        <v>46265.654332395832</v>
      </c>
      <c r="Q102" s="86" t="s">
        <v>440</v>
      </c>
    </row>
    <row r="103" spans="1:18" x14ac:dyDescent="0.2">
      <c r="A103" s="79" t="s">
        <v>445</v>
      </c>
      <c r="B103" s="80">
        <v>46266.42610459491</v>
      </c>
      <c r="C103" s="79" t="s">
        <v>436</v>
      </c>
      <c r="D103" s="81" t="s">
        <v>2</v>
      </c>
      <c r="E103" s="79" t="s">
        <v>221</v>
      </c>
      <c r="F103" s="4">
        <v>9</v>
      </c>
      <c r="G103" s="4">
        <v>8</v>
      </c>
      <c r="H103" s="4" t="s">
        <v>23</v>
      </c>
      <c r="I103" s="4" t="s">
        <v>282</v>
      </c>
      <c r="J103" s="4" t="s">
        <v>313</v>
      </c>
      <c r="K103" s="4" t="b">
        <v>0</v>
      </c>
      <c r="L103" s="4"/>
      <c r="M103" s="4"/>
      <c r="N103" s="83"/>
      <c r="O103" s="4"/>
      <c r="P103" s="83"/>
      <c r="Q103" s="4"/>
    </row>
    <row r="104" spans="1:18" x14ac:dyDescent="0.2">
      <c r="A104" s="79" t="s">
        <v>446</v>
      </c>
      <c r="B104" s="80">
        <v>46266.42610459491</v>
      </c>
      <c r="C104" s="79" t="s">
        <v>436</v>
      </c>
      <c r="D104" s="81" t="s">
        <v>2</v>
      </c>
      <c r="E104" s="79" t="s">
        <v>221</v>
      </c>
      <c r="F104" s="4">
        <v>9</v>
      </c>
      <c r="G104" s="4">
        <v>10</v>
      </c>
      <c r="H104" s="4" t="s">
        <v>26</v>
      </c>
      <c r="I104" s="4" t="s">
        <v>282</v>
      </c>
      <c r="J104" s="4" t="s">
        <v>315</v>
      </c>
      <c r="K104" s="4" t="b">
        <v>0</v>
      </c>
    </row>
    <row r="105" spans="1:18" x14ac:dyDescent="0.2">
      <c r="A105" s="79" t="s">
        <v>447</v>
      </c>
      <c r="B105" s="80">
        <v>46266.42610459491</v>
      </c>
      <c r="C105" s="79" t="s">
        <v>436</v>
      </c>
      <c r="D105" s="81" t="s">
        <v>2</v>
      </c>
      <c r="E105" s="79" t="s">
        <v>221</v>
      </c>
      <c r="F105" s="4">
        <v>9</v>
      </c>
      <c r="G105" s="4">
        <v>11</v>
      </c>
      <c r="H105" s="4" t="s">
        <v>27</v>
      </c>
      <c r="I105" s="4" t="s">
        <v>282</v>
      </c>
      <c r="J105" s="4" t="s">
        <v>317</v>
      </c>
      <c r="K105" s="4" t="b">
        <v>0</v>
      </c>
    </row>
    <row r="106" spans="1:18" x14ac:dyDescent="0.2">
      <c r="A106" s="79" t="s">
        <v>448</v>
      </c>
      <c r="B106" s="80">
        <v>46266.42610459491</v>
      </c>
      <c r="C106" s="79" t="s">
        <v>436</v>
      </c>
      <c r="D106" s="81" t="s">
        <v>2</v>
      </c>
      <c r="E106" s="79" t="s">
        <v>221</v>
      </c>
      <c r="F106" s="4">
        <v>9</v>
      </c>
      <c r="G106" s="4">
        <v>12</v>
      </c>
      <c r="H106" s="4" t="s">
        <v>28</v>
      </c>
      <c r="I106" s="4" t="s">
        <v>282</v>
      </c>
      <c r="J106" s="4" t="s">
        <v>319</v>
      </c>
      <c r="K106" s="4" t="b">
        <v>0</v>
      </c>
    </row>
    <row r="107" spans="1:18" x14ac:dyDescent="0.2">
      <c r="A107" s="79" t="s">
        <v>449</v>
      </c>
      <c r="B107" s="80">
        <v>46266.42610459491</v>
      </c>
      <c r="C107" s="79" t="s">
        <v>436</v>
      </c>
      <c r="D107" s="81" t="s">
        <v>2</v>
      </c>
      <c r="E107" s="79" t="s">
        <v>221</v>
      </c>
      <c r="F107" s="4">
        <v>9</v>
      </c>
      <c r="G107" s="4">
        <v>13</v>
      </c>
      <c r="H107" s="4" t="s">
        <v>29</v>
      </c>
      <c r="I107" s="4" t="s">
        <v>282</v>
      </c>
      <c r="J107" s="4" t="s">
        <v>321</v>
      </c>
      <c r="K107" s="4" t="b">
        <v>0</v>
      </c>
    </row>
    <row r="108" spans="1:18" x14ac:dyDescent="0.2">
      <c r="A108" s="79" t="s">
        <v>450</v>
      </c>
      <c r="B108" s="80">
        <v>46266.42610459491</v>
      </c>
      <c r="C108" s="79" t="s">
        <v>436</v>
      </c>
      <c r="D108" s="81" t="s">
        <v>2</v>
      </c>
      <c r="E108" s="79" t="s">
        <v>221</v>
      </c>
      <c r="F108" s="4">
        <v>9</v>
      </c>
      <c r="G108" s="4">
        <v>14</v>
      </c>
      <c r="H108" s="4" t="s">
        <v>30</v>
      </c>
      <c r="I108" s="4" t="s">
        <v>282</v>
      </c>
      <c r="J108" s="4" t="s">
        <v>323</v>
      </c>
      <c r="K108" s="4" t="b">
        <v>0</v>
      </c>
    </row>
    <row r="109" spans="1:18" x14ac:dyDescent="0.2">
      <c r="A109" s="79" t="s">
        <v>451</v>
      </c>
      <c r="B109" s="80">
        <v>46266.42610459491</v>
      </c>
      <c r="C109" s="79" t="s">
        <v>436</v>
      </c>
      <c r="D109" s="81" t="s">
        <v>2</v>
      </c>
      <c r="E109" s="79" t="s">
        <v>221</v>
      </c>
      <c r="F109" s="4">
        <v>9</v>
      </c>
      <c r="G109" s="4">
        <v>15</v>
      </c>
      <c r="H109" s="4" t="s">
        <v>31</v>
      </c>
      <c r="I109" s="4" t="s">
        <v>282</v>
      </c>
      <c r="J109" s="4" t="s">
        <v>325</v>
      </c>
      <c r="K109" s="4" t="b">
        <v>0</v>
      </c>
      <c r="L109" s="4"/>
      <c r="M109" s="4"/>
      <c r="N109" s="83"/>
      <c r="O109" s="4"/>
      <c r="P109" s="83"/>
      <c r="Q109" s="4"/>
      <c r="R109" s="4"/>
    </row>
    <row r="110" spans="1:18" x14ac:dyDescent="0.2">
      <c r="A110" s="79" t="s">
        <v>452</v>
      </c>
      <c r="B110" s="80">
        <v>46266.42610459491</v>
      </c>
      <c r="C110" s="79" t="s">
        <v>436</v>
      </c>
      <c r="D110" s="81" t="s">
        <v>2</v>
      </c>
      <c r="E110" s="79" t="s">
        <v>221</v>
      </c>
      <c r="F110" s="4">
        <v>9</v>
      </c>
      <c r="G110" s="4">
        <v>16</v>
      </c>
      <c r="H110" s="4" t="s">
        <v>32</v>
      </c>
      <c r="I110" s="4" t="s">
        <v>282</v>
      </c>
      <c r="J110" s="4" t="s">
        <v>327</v>
      </c>
      <c r="K110" s="4" t="b">
        <v>0</v>
      </c>
      <c r="L110" s="4"/>
      <c r="M110" s="4"/>
      <c r="N110" s="83"/>
      <c r="O110" s="4"/>
      <c r="P110" s="83"/>
      <c r="Q110" s="4"/>
      <c r="R110" s="4"/>
    </row>
    <row r="111" spans="1:18" x14ac:dyDescent="0.2">
      <c r="A111" s="79" t="s">
        <v>453</v>
      </c>
      <c r="B111" s="80">
        <v>46266.42610459491</v>
      </c>
      <c r="C111" s="79" t="s">
        <v>436</v>
      </c>
      <c r="D111" s="81" t="s">
        <v>2</v>
      </c>
      <c r="E111" s="79" t="s">
        <v>221</v>
      </c>
      <c r="F111" s="4">
        <v>9</v>
      </c>
      <c r="G111" s="4">
        <v>18</v>
      </c>
      <c r="H111" s="4" t="s">
        <v>34</v>
      </c>
      <c r="I111" s="4" t="s">
        <v>282</v>
      </c>
      <c r="J111" s="4" t="s">
        <v>329</v>
      </c>
      <c r="K111" s="4" t="b">
        <v>0</v>
      </c>
    </row>
    <row r="112" spans="1:18" x14ac:dyDescent="0.2">
      <c r="A112" s="79" t="s">
        <v>454</v>
      </c>
      <c r="B112" s="80">
        <v>46266.42610459491</v>
      </c>
      <c r="C112" s="79" t="s">
        <v>436</v>
      </c>
      <c r="D112" s="81" t="s">
        <v>2</v>
      </c>
      <c r="E112" s="79" t="s">
        <v>221</v>
      </c>
      <c r="F112" s="4">
        <v>9</v>
      </c>
      <c r="G112" s="4">
        <v>27</v>
      </c>
      <c r="H112" s="4" t="s">
        <v>331</v>
      </c>
      <c r="I112" s="4" t="s">
        <v>282</v>
      </c>
      <c r="J112" s="4" t="s">
        <v>332</v>
      </c>
      <c r="K112" s="4" t="b">
        <v>0</v>
      </c>
    </row>
    <row r="113" spans="1:18" x14ac:dyDescent="0.2">
      <c r="A113" s="79" t="s">
        <v>455</v>
      </c>
      <c r="B113" s="80">
        <v>46266.42610459491</v>
      </c>
      <c r="C113" s="79" t="s">
        <v>436</v>
      </c>
      <c r="D113" s="81" t="s">
        <v>2</v>
      </c>
      <c r="E113" s="79" t="s">
        <v>221</v>
      </c>
      <c r="F113" s="4">
        <v>9</v>
      </c>
      <c r="G113" s="4">
        <v>50</v>
      </c>
      <c r="H113" s="4" t="s">
        <v>39</v>
      </c>
      <c r="I113" s="4" t="s">
        <v>282</v>
      </c>
      <c r="J113" s="4" t="s">
        <v>344</v>
      </c>
      <c r="K113" s="4" t="b">
        <v>0</v>
      </c>
    </row>
    <row r="114" spans="1:18" x14ac:dyDescent="0.2">
      <c r="A114" s="79" t="s">
        <v>456</v>
      </c>
      <c r="B114" s="80">
        <v>46266.42610459491</v>
      </c>
      <c r="C114" s="79" t="s">
        <v>436</v>
      </c>
      <c r="D114" s="81" t="s">
        <v>2</v>
      </c>
      <c r="E114" s="79" t="s">
        <v>221</v>
      </c>
      <c r="F114" s="4">
        <v>9</v>
      </c>
      <c r="G114" s="4">
        <v>52</v>
      </c>
      <c r="H114" s="4" t="s">
        <v>258</v>
      </c>
      <c r="I114" s="4" t="s">
        <v>282</v>
      </c>
      <c r="J114" s="4" t="s">
        <v>373</v>
      </c>
      <c r="K114" s="4" t="b">
        <v>0</v>
      </c>
      <c r="L114" s="4"/>
      <c r="M114" s="4"/>
      <c r="N114" s="83"/>
      <c r="O114" s="4"/>
      <c r="P114" s="83"/>
      <c r="Q114" s="4"/>
      <c r="R114" s="4"/>
    </row>
    <row r="115" spans="1:18" x14ac:dyDescent="0.2">
      <c r="A115" s="79" t="s">
        <v>457</v>
      </c>
      <c r="B115" s="80">
        <v>46266.42610459491</v>
      </c>
      <c r="C115" s="79" t="s">
        <v>436</v>
      </c>
      <c r="D115" s="81" t="s">
        <v>2</v>
      </c>
      <c r="E115" s="79" t="s">
        <v>221</v>
      </c>
      <c r="F115" s="4">
        <v>9</v>
      </c>
      <c r="G115" s="4">
        <v>53</v>
      </c>
      <c r="H115" s="4" t="s">
        <v>375</v>
      </c>
      <c r="I115" s="4" t="s">
        <v>282</v>
      </c>
      <c r="J115" s="4" t="s">
        <v>376</v>
      </c>
      <c r="K115" s="4" t="b">
        <v>0</v>
      </c>
      <c r="L115" s="4"/>
      <c r="M115" s="4"/>
      <c r="N115" s="83"/>
      <c r="O115" s="4"/>
      <c r="P115" s="83"/>
      <c r="Q115" s="4"/>
      <c r="R115" s="4"/>
    </row>
    <row r="116" spans="1:18" x14ac:dyDescent="0.2">
      <c r="A116" s="79" t="s">
        <v>458</v>
      </c>
      <c r="B116" s="80">
        <v>46266.42610459491</v>
      </c>
      <c r="C116" s="79" t="s">
        <v>436</v>
      </c>
      <c r="D116" s="81" t="s">
        <v>2</v>
      </c>
      <c r="E116" s="79" t="s">
        <v>221</v>
      </c>
      <c r="F116" s="4">
        <v>9</v>
      </c>
      <c r="G116" s="4">
        <v>60</v>
      </c>
      <c r="H116" s="4" t="s">
        <v>60</v>
      </c>
      <c r="I116" s="4" t="s">
        <v>282</v>
      </c>
      <c r="J116" s="4" t="s">
        <v>334</v>
      </c>
      <c r="K116" s="4" t="b">
        <v>0</v>
      </c>
      <c r="L116" s="4"/>
      <c r="M116" s="4"/>
      <c r="N116" s="83"/>
      <c r="O116" s="4"/>
      <c r="P116" s="83"/>
      <c r="Q116" s="4"/>
      <c r="R116" s="4"/>
    </row>
    <row r="117" spans="1:18" x14ac:dyDescent="0.2">
      <c r="A117" s="79" t="s">
        <v>459</v>
      </c>
      <c r="B117" s="80">
        <v>46266.42610459491</v>
      </c>
      <c r="C117" s="79" t="s">
        <v>436</v>
      </c>
      <c r="D117" s="81" t="s">
        <v>2</v>
      </c>
      <c r="E117" s="79" t="s">
        <v>221</v>
      </c>
      <c r="F117" s="4">
        <v>9</v>
      </c>
      <c r="G117" s="4">
        <v>61</v>
      </c>
      <c r="H117" s="4" t="s">
        <v>62</v>
      </c>
      <c r="I117" s="4" t="s">
        <v>282</v>
      </c>
      <c r="J117" s="4" t="s">
        <v>334</v>
      </c>
      <c r="K117" s="4" t="b">
        <v>0</v>
      </c>
    </row>
    <row r="118" spans="1:18" x14ac:dyDescent="0.2">
      <c r="A118" s="79" t="s">
        <v>460</v>
      </c>
      <c r="B118" s="80">
        <v>46266.42610459491</v>
      </c>
      <c r="C118" s="79" t="s">
        <v>436</v>
      </c>
      <c r="D118" s="81" t="s">
        <v>2</v>
      </c>
      <c r="E118" s="79" t="s">
        <v>221</v>
      </c>
      <c r="F118" s="4">
        <v>9</v>
      </c>
      <c r="G118" s="4">
        <v>62</v>
      </c>
      <c r="H118" s="4" t="s">
        <v>63</v>
      </c>
      <c r="I118" s="4" t="s">
        <v>282</v>
      </c>
      <c r="J118" s="4" t="s">
        <v>334</v>
      </c>
      <c r="K118" s="4" t="b">
        <v>0</v>
      </c>
    </row>
    <row r="119" spans="1:18" x14ac:dyDescent="0.2">
      <c r="A119" s="79" t="s">
        <v>461</v>
      </c>
      <c r="B119" s="80">
        <v>46266.42610459491</v>
      </c>
      <c r="C119" s="79" t="s">
        <v>436</v>
      </c>
      <c r="D119" s="81" t="s">
        <v>2</v>
      </c>
      <c r="E119" s="79" t="s">
        <v>221</v>
      </c>
      <c r="F119" s="4">
        <v>9</v>
      </c>
      <c r="G119" s="4">
        <v>77</v>
      </c>
      <c r="H119" s="4" t="s">
        <v>86</v>
      </c>
      <c r="I119" s="4" t="s">
        <v>282</v>
      </c>
      <c r="J119" s="4" t="s">
        <v>340</v>
      </c>
      <c r="K119" s="4" t="b">
        <v>0</v>
      </c>
    </row>
    <row r="120" spans="1:18" x14ac:dyDescent="0.2">
      <c r="A120" s="79" t="s">
        <v>462</v>
      </c>
      <c r="B120" s="80">
        <v>46266.42610459491</v>
      </c>
      <c r="C120" s="79" t="s">
        <v>436</v>
      </c>
      <c r="D120" s="81" t="s">
        <v>2</v>
      </c>
      <c r="E120" s="79" t="s">
        <v>221</v>
      </c>
      <c r="F120" s="4">
        <v>9</v>
      </c>
      <c r="G120" s="4">
        <v>79</v>
      </c>
      <c r="H120" s="4" t="s">
        <v>89</v>
      </c>
      <c r="I120" s="4" t="s">
        <v>282</v>
      </c>
      <c r="J120" s="4" t="s">
        <v>463</v>
      </c>
      <c r="K120" s="4" t="b">
        <v>0</v>
      </c>
    </row>
    <row r="121" spans="1:18" x14ac:dyDescent="0.2">
      <c r="A121" s="79" t="s">
        <v>464</v>
      </c>
      <c r="B121" s="80">
        <v>46266.42610459491</v>
      </c>
      <c r="C121" s="79" t="s">
        <v>436</v>
      </c>
      <c r="D121" s="81" t="s">
        <v>2</v>
      </c>
      <c r="E121" s="79" t="s">
        <v>228</v>
      </c>
      <c r="F121" s="4">
        <v>10</v>
      </c>
      <c r="G121" s="4">
        <v>4</v>
      </c>
      <c r="H121" s="4" t="s">
        <v>18</v>
      </c>
      <c r="I121" s="4" t="s">
        <v>282</v>
      </c>
      <c r="J121" s="4" t="s">
        <v>285</v>
      </c>
      <c r="K121" s="4" t="b">
        <v>0</v>
      </c>
    </row>
    <row r="122" spans="1:18" x14ac:dyDescent="0.2">
      <c r="A122" s="79" t="s">
        <v>465</v>
      </c>
      <c r="B122" s="80">
        <v>46266.42610459491</v>
      </c>
      <c r="C122" s="79" t="s">
        <v>436</v>
      </c>
      <c r="D122" s="81" t="s">
        <v>2</v>
      </c>
      <c r="E122" s="79" t="s">
        <v>228</v>
      </c>
      <c r="F122" s="4">
        <v>10</v>
      </c>
      <c r="G122" s="4">
        <v>5</v>
      </c>
      <c r="H122" s="4" t="s">
        <v>20</v>
      </c>
      <c r="I122" s="4" t="s">
        <v>289</v>
      </c>
      <c r="J122" s="4" t="s">
        <v>466</v>
      </c>
      <c r="K122" s="4" t="b">
        <v>0</v>
      </c>
    </row>
    <row r="123" spans="1:18" x14ac:dyDescent="0.2">
      <c r="A123" s="79" t="s">
        <v>467</v>
      </c>
      <c r="B123" s="80">
        <v>46266.42610459491</v>
      </c>
      <c r="C123" s="79" t="s">
        <v>436</v>
      </c>
      <c r="D123" s="81" t="s">
        <v>2</v>
      </c>
      <c r="E123" s="79" t="s">
        <v>228</v>
      </c>
      <c r="F123" s="4">
        <v>10</v>
      </c>
      <c r="G123" s="4">
        <v>6</v>
      </c>
      <c r="H123" s="4" t="s">
        <v>21</v>
      </c>
      <c r="I123" s="4" t="s">
        <v>282</v>
      </c>
      <c r="J123" s="4" t="s">
        <v>295</v>
      </c>
      <c r="K123" s="4" t="b">
        <v>0</v>
      </c>
      <c r="L123" s="4"/>
      <c r="M123" s="4"/>
      <c r="N123" s="83"/>
      <c r="O123" s="4"/>
      <c r="P123" s="83"/>
      <c r="Q123" s="4"/>
      <c r="R123" s="4"/>
    </row>
    <row r="124" spans="1:18" x14ac:dyDescent="0.2">
      <c r="A124" s="79" t="s">
        <v>468</v>
      </c>
      <c r="B124" s="80">
        <v>46266.42610459491</v>
      </c>
      <c r="C124" s="79" t="s">
        <v>436</v>
      </c>
      <c r="D124" s="81" t="s">
        <v>2</v>
      </c>
      <c r="E124" s="79" t="s">
        <v>228</v>
      </c>
      <c r="F124" s="4">
        <v>10</v>
      </c>
      <c r="G124" s="4">
        <v>8</v>
      </c>
      <c r="H124" s="4" t="s">
        <v>23</v>
      </c>
      <c r="I124" s="4" t="s">
        <v>282</v>
      </c>
      <c r="J124" s="4" t="s">
        <v>313</v>
      </c>
      <c r="K124" s="4" t="b">
        <v>0</v>
      </c>
    </row>
    <row r="125" spans="1:18" x14ac:dyDescent="0.2">
      <c r="A125" s="79" t="s">
        <v>469</v>
      </c>
      <c r="B125" s="80">
        <v>46266.42610459491</v>
      </c>
      <c r="C125" s="79" t="s">
        <v>436</v>
      </c>
      <c r="D125" s="81" t="s">
        <v>2</v>
      </c>
      <c r="E125" s="79" t="s">
        <v>228</v>
      </c>
      <c r="F125" s="4">
        <v>10</v>
      </c>
      <c r="G125" s="4">
        <v>10</v>
      </c>
      <c r="H125" s="4" t="s">
        <v>26</v>
      </c>
      <c r="I125" s="4" t="s">
        <v>282</v>
      </c>
      <c r="J125" s="4" t="s">
        <v>315</v>
      </c>
      <c r="K125" s="4" t="b">
        <v>0</v>
      </c>
    </row>
    <row r="126" spans="1:18" x14ac:dyDescent="0.2">
      <c r="A126" s="79" t="s">
        <v>470</v>
      </c>
      <c r="B126" s="80">
        <v>46266.42610459491</v>
      </c>
      <c r="C126" s="79" t="s">
        <v>436</v>
      </c>
      <c r="D126" s="81" t="s">
        <v>2</v>
      </c>
      <c r="E126" s="79" t="s">
        <v>228</v>
      </c>
      <c r="F126" s="4">
        <v>10</v>
      </c>
      <c r="G126" s="4">
        <v>11</v>
      </c>
      <c r="H126" s="4" t="s">
        <v>27</v>
      </c>
      <c r="I126" s="4" t="s">
        <v>282</v>
      </c>
      <c r="J126" s="4" t="s">
        <v>317</v>
      </c>
      <c r="K126" s="4" t="b">
        <v>0</v>
      </c>
    </row>
    <row r="127" spans="1:18" x14ac:dyDescent="0.2">
      <c r="A127" s="79" t="s">
        <v>471</v>
      </c>
      <c r="B127" s="80">
        <v>46266.42610459491</v>
      </c>
      <c r="C127" s="79" t="s">
        <v>436</v>
      </c>
      <c r="D127" s="81" t="s">
        <v>2</v>
      </c>
      <c r="E127" s="79" t="s">
        <v>228</v>
      </c>
      <c r="F127" s="4">
        <v>10</v>
      </c>
      <c r="G127" s="4">
        <v>12</v>
      </c>
      <c r="H127" s="4" t="s">
        <v>28</v>
      </c>
      <c r="I127" s="4" t="s">
        <v>282</v>
      </c>
      <c r="J127" s="4" t="s">
        <v>319</v>
      </c>
      <c r="K127" s="4" t="b">
        <v>0</v>
      </c>
    </row>
    <row r="128" spans="1:18" x14ac:dyDescent="0.2">
      <c r="A128" s="79" t="s">
        <v>472</v>
      </c>
      <c r="B128" s="80">
        <v>46266.42610459491</v>
      </c>
      <c r="C128" s="79" t="s">
        <v>436</v>
      </c>
      <c r="D128" s="81" t="s">
        <v>2</v>
      </c>
      <c r="E128" s="79" t="s">
        <v>228</v>
      </c>
      <c r="F128" s="4">
        <v>10</v>
      </c>
      <c r="G128" s="4">
        <v>13</v>
      </c>
      <c r="H128" s="4" t="s">
        <v>29</v>
      </c>
      <c r="I128" s="4" t="s">
        <v>282</v>
      </c>
      <c r="J128" s="4" t="s">
        <v>321</v>
      </c>
      <c r="K128" s="4" t="b">
        <v>0</v>
      </c>
    </row>
    <row r="129" spans="1:17" x14ac:dyDescent="0.2">
      <c r="A129" s="79" t="s">
        <v>473</v>
      </c>
      <c r="B129" s="80">
        <v>46266.42610459491</v>
      </c>
      <c r="C129" s="79" t="s">
        <v>436</v>
      </c>
      <c r="D129" s="81" t="s">
        <v>2</v>
      </c>
      <c r="E129" s="79" t="s">
        <v>228</v>
      </c>
      <c r="F129" s="4">
        <v>10</v>
      </c>
      <c r="G129" s="4">
        <v>14</v>
      </c>
      <c r="H129" s="4" t="s">
        <v>30</v>
      </c>
      <c r="I129" s="4" t="s">
        <v>282</v>
      </c>
      <c r="J129" s="4" t="s">
        <v>323</v>
      </c>
      <c r="K129" s="4" t="b">
        <v>0</v>
      </c>
    </row>
    <row r="130" spans="1:17" x14ac:dyDescent="0.2">
      <c r="A130" s="79" t="s">
        <v>474</v>
      </c>
      <c r="B130" s="80">
        <v>46266.42610459491</v>
      </c>
      <c r="C130" s="79" t="s">
        <v>436</v>
      </c>
      <c r="D130" s="81" t="s">
        <v>2</v>
      </c>
      <c r="E130" s="79" t="s">
        <v>228</v>
      </c>
      <c r="F130" s="4">
        <v>10</v>
      </c>
      <c r="G130" s="4">
        <v>15</v>
      </c>
      <c r="H130" s="4" t="s">
        <v>31</v>
      </c>
      <c r="I130" s="4" t="s">
        <v>282</v>
      </c>
      <c r="J130" s="4" t="s">
        <v>325</v>
      </c>
      <c r="K130" s="4" t="b">
        <v>0</v>
      </c>
    </row>
    <row r="131" spans="1:17" x14ac:dyDescent="0.2">
      <c r="A131" s="79" t="s">
        <v>475</v>
      </c>
      <c r="B131" s="80">
        <v>46266.42610459491</v>
      </c>
      <c r="C131" s="79" t="s">
        <v>436</v>
      </c>
      <c r="D131" s="81" t="s">
        <v>2</v>
      </c>
      <c r="E131" s="79" t="s">
        <v>228</v>
      </c>
      <c r="F131" s="4">
        <v>10</v>
      </c>
      <c r="G131" s="4">
        <v>16</v>
      </c>
      <c r="H131" s="4" t="s">
        <v>32</v>
      </c>
      <c r="I131" s="4" t="s">
        <v>282</v>
      </c>
      <c r="J131" s="4" t="s">
        <v>327</v>
      </c>
      <c r="K131" s="4" t="b">
        <v>0</v>
      </c>
    </row>
    <row r="132" spans="1:17" x14ac:dyDescent="0.2">
      <c r="A132" s="79" t="s">
        <v>476</v>
      </c>
      <c r="B132" s="80">
        <v>46266.42610459491</v>
      </c>
      <c r="C132" s="79" t="s">
        <v>436</v>
      </c>
      <c r="D132" s="81" t="s">
        <v>2</v>
      </c>
      <c r="E132" s="79" t="s">
        <v>228</v>
      </c>
      <c r="F132" s="4">
        <v>10</v>
      </c>
      <c r="G132" s="4">
        <v>18</v>
      </c>
      <c r="H132" s="4" t="s">
        <v>34</v>
      </c>
      <c r="I132" s="4" t="s">
        <v>282</v>
      </c>
      <c r="J132" s="4" t="s">
        <v>329</v>
      </c>
      <c r="K132" s="4" t="b">
        <v>0</v>
      </c>
    </row>
    <row r="133" spans="1:17" x14ac:dyDescent="0.2">
      <c r="A133" s="79" t="s">
        <v>477</v>
      </c>
      <c r="B133" s="80">
        <v>46266.42610459491</v>
      </c>
      <c r="C133" s="79" t="s">
        <v>436</v>
      </c>
      <c r="D133" s="81" t="s">
        <v>2</v>
      </c>
      <c r="E133" s="79" t="s">
        <v>228</v>
      </c>
      <c r="F133" s="4">
        <v>10</v>
      </c>
      <c r="G133" s="4">
        <v>27</v>
      </c>
      <c r="H133" s="4" t="s">
        <v>331</v>
      </c>
      <c r="I133" s="4" t="s">
        <v>282</v>
      </c>
      <c r="J133" s="4" t="s">
        <v>332</v>
      </c>
      <c r="K133" s="4" t="b">
        <v>0</v>
      </c>
    </row>
    <row r="134" spans="1:17" x14ac:dyDescent="0.2">
      <c r="A134" s="79" t="s">
        <v>478</v>
      </c>
      <c r="B134" s="80">
        <v>46266.42610459491</v>
      </c>
      <c r="C134" s="79" t="s">
        <v>436</v>
      </c>
      <c r="D134" s="81" t="s">
        <v>2</v>
      </c>
      <c r="E134" s="79" t="s">
        <v>228</v>
      </c>
      <c r="F134" s="4">
        <v>10</v>
      </c>
      <c r="G134" s="4">
        <v>50</v>
      </c>
      <c r="H134" s="4" t="s">
        <v>39</v>
      </c>
      <c r="I134" s="4" t="s">
        <v>282</v>
      </c>
      <c r="J134" s="4" t="s">
        <v>344</v>
      </c>
      <c r="K134" s="4" t="b">
        <v>0</v>
      </c>
    </row>
    <row r="135" spans="1:17" x14ac:dyDescent="0.2">
      <c r="A135" s="79" t="s">
        <v>479</v>
      </c>
      <c r="B135" s="80">
        <v>46266.42610459491</v>
      </c>
      <c r="C135" s="79" t="s">
        <v>436</v>
      </c>
      <c r="D135" s="81" t="s">
        <v>2</v>
      </c>
      <c r="E135" s="79" t="s">
        <v>228</v>
      </c>
      <c r="F135" s="4">
        <v>10</v>
      </c>
      <c r="G135" s="4">
        <v>52</v>
      </c>
      <c r="H135" s="4" t="s">
        <v>258</v>
      </c>
      <c r="I135" s="4" t="s">
        <v>282</v>
      </c>
      <c r="J135" s="4" t="s">
        <v>373</v>
      </c>
      <c r="K135" s="4" t="b">
        <v>0</v>
      </c>
    </row>
    <row r="136" spans="1:17" x14ac:dyDescent="0.2">
      <c r="A136" s="79" t="s">
        <v>480</v>
      </c>
      <c r="B136" s="80">
        <v>46266.42610459491</v>
      </c>
      <c r="C136" s="79" t="s">
        <v>436</v>
      </c>
      <c r="D136" s="81" t="s">
        <v>2</v>
      </c>
      <c r="E136" s="79" t="s">
        <v>228</v>
      </c>
      <c r="F136" s="4">
        <v>10</v>
      </c>
      <c r="G136" s="4">
        <v>53</v>
      </c>
      <c r="H136" s="4" t="s">
        <v>375</v>
      </c>
      <c r="I136" s="4" t="s">
        <v>282</v>
      </c>
      <c r="J136" s="4" t="s">
        <v>376</v>
      </c>
      <c r="K136" s="4" t="b">
        <v>0</v>
      </c>
    </row>
    <row r="137" spans="1:17" x14ac:dyDescent="0.2">
      <c r="A137" s="79" t="s">
        <v>481</v>
      </c>
      <c r="B137" s="80">
        <v>46266.42610459491</v>
      </c>
      <c r="C137" s="79" t="s">
        <v>436</v>
      </c>
      <c r="D137" s="81" t="s">
        <v>2</v>
      </c>
      <c r="E137" s="79" t="s">
        <v>228</v>
      </c>
      <c r="F137" s="4">
        <v>10</v>
      </c>
      <c r="G137" s="4">
        <v>60</v>
      </c>
      <c r="H137" s="4" t="s">
        <v>60</v>
      </c>
      <c r="I137" s="4" t="s">
        <v>282</v>
      </c>
      <c r="J137" s="4" t="s">
        <v>334</v>
      </c>
      <c r="K137" s="4" t="b">
        <v>0</v>
      </c>
    </row>
    <row r="138" spans="1:17" x14ac:dyDescent="0.2">
      <c r="A138" s="79" t="s">
        <v>482</v>
      </c>
      <c r="B138" s="80">
        <v>46266.42610459491</v>
      </c>
      <c r="C138" s="79" t="s">
        <v>436</v>
      </c>
      <c r="D138" s="81" t="s">
        <v>2</v>
      </c>
      <c r="E138" s="79" t="s">
        <v>228</v>
      </c>
      <c r="F138" s="4">
        <v>10</v>
      </c>
      <c r="G138" s="4">
        <v>61</v>
      </c>
      <c r="H138" s="4" t="s">
        <v>62</v>
      </c>
      <c r="I138" s="4" t="s">
        <v>282</v>
      </c>
      <c r="J138" s="4" t="s">
        <v>334</v>
      </c>
      <c r="K138" s="4" t="b">
        <v>0</v>
      </c>
    </row>
    <row r="139" spans="1:17" x14ac:dyDescent="0.2">
      <c r="A139" s="79" t="s">
        <v>483</v>
      </c>
      <c r="B139" s="80">
        <v>46266.42610459491</v>
      </c>
      <c r="C139" s="79" t="s">
        <v>436</v>
      </c>
      <c r="D139" s="81" t="s">
        <v>2</v>
      </c>
      <c r="E139" s="79" t="s">
        <v>228</v>
      </c>
      <c r="F139" s="4">
        <v>10</v>
      </c>
      <c r="G139" s="4">
        <v>62</v>
      </c>
      <c r="H139" s="4" t="s">
        <v>63</v>
      </c>
      <c r="I139" s="4" t="s">
        <v>282</v>
      </c>
      <c r="J139" s="4" t="s">
        <v>334</v>
      </c>
      <c r="K139" s="4" t="b">
        <v>0</v>
      </c>
    </row>
    <row r="140" spans="1:17" x14ac:dyDescent="0.2">
      <c r="A140" s="79" t="s">
        <v>484</v>
      </c>
      <c r="B140" s="80">
        <v>46266.42610459491</v>
      </c>
      <c r="C140" s="79" t="s">
        <v>436</v>
      </c>
      <c r="D140" s="81" t="s">
        <v>2</v>
      </c>
      <c r="E140" s="79" t="s">
        <v>228</v>
      </c>
      <c r="F140" s="4">
        <v>10</v>
      </c>
      <c r="G140" s="4">
        <v>77</v>
      </c>
      <c r="H140" s="4" t="s">
        <v>86</v>
      </c>
      <c r="I140" s="4" t="s">
        <v>282</v>
      </c>
      <c r="J140" s="4" t="s">
        <v>340</v>
      </c>
      <c r="K140" s="4" t="b">
        <v>0</v>
      </c>
    </row>
    <row r="141" spans="1:17" x14ac:dyDescent="0.2">
      <c r="A141" s="79" t="s">
        <v>485</v>
      </c>
      <c r="B141" s="80">
        <v>46266.42610459491</v>
      </c>
      <c r="C141" s="79" t="s">
        <v>436</v>
      </c>
      <c r="D141" s="81" t="s">
        <v>2</v>
      </c>
      <c r="E141" s="79" t="s">
        <v>228</v>
      </c>
      <c r="F141" s="4">
        <v>10</v>
      </c>
      <c r="G141" s="4">
        <v>79</v>
      </c>
      <c r="H141" s="4" t="s">
        <v>89</v>
      </c>
      <c r="I141" s="4" t="s">
        <v>282</v>
      </c>
      <c r="J141" s="4" t="s">
        <v>463</v>
      </c>
      <c r="K141" s="4" t="b">
        <v>0</v>
      </c>
    </row>
    <row r="142" spans="1:17" x14ac:dyDescent="0.2">
      <c r="A142" s="79" t="s">
        <v>486</v>
      </c>
      <c r="B142" s="80">
        <v>46266.426341932871</v>
      </c>
      <c r="C142" s="79" t="s">
        <v>487</v>
      </c>
      <c r="D142" s="81" t="s">
        <v>2</v>
      </c>
      <c r="E142" s="79" t="s">
        <v>221</v>
      </c>
      <c r="F142" s="4">
        <v>9</v>
      </c>
      <c r="G142" s="4">
        <v>4</v>
      </c>
      <c r="H142" s="4" t="s">
        <v>18</v>
      </c>
      <c r="I142" s="4" t="s">
        <v>282</v>
      </c>
      <c r="J142" s="4" t="s">
        <v>285</v>
      </c>
      <c r="K142" s="4" t="b">
        <v>0</v>
      </c>
      <c r="L142" s="4"/>
      <c r="M142" s="4"/>
      <c r="N142" s="83"/>
      <c r="O142" s="4"/>
      <c r="P142" s="83"/>
      <c r="Q142" s="4"/>
    </row>
    <row r="143" spans="1:17" x14ac:dyDescent="0.2">
      <c r="A143" s="79" t="s">
        <v>488</v>
      </c>
      <c r="B143" s="80">
        <v>46266.426341932871</v>
      </c>
      <c r="C143" s="79" t="s">
        <v>487</v>
      </c>
      <c r="D143" s="81" t="s">
        <v>2</v>
      </c>
      <c r="E143" s="79" t="s">
        <v>221</v>
      </c>
      <c r="F143" s="4">
        <v>9</v>
      </c>
      <c r="G143" s="4">
        <v>5</v>
      </c>
      <c r="H143" s="4" t="s">
        <v>20</v>
      </c>
      <c r="I143" s="4" t="s">
        <v>289</v>
      </c>
      <c r="J143" s="4" t="s">
        <v>489</v>
      </c>
      <c r="K143" s="4" t="b">
        <v>0</v>
      </c>
      <c r="L143" s="4"/>
      <c r="M143" s="4"/>
      <c r="N143" s="83"/>
      <c r="O143" s="4"/>
      <c r="P143" s="83"/>
      <c r="Q143" s="4"/>
    </row>
    <row r="144" spans="1:17" x14ac:dyDescent="0.2">
      <c r="A144" s="79" t="s">
        <v>490</v>
      </c>
      <c r="B144" s="80">
        <v>46266.426341932871</v>
      </c>
      <c r="C144" s="79" t="s">
        <v>487</v>
      </c>
      <c r="D144" s="81" t="s">
        <v>2</v>
      </c>
      <c r="E144" s="79" t="s">
        <v>221</v>
      </c>
      <c r="F144" s="4">
        <v>9</v>
      </c>
      <c r="G144" s="4">
        <v>6</v>
      </c>
      <c r="H144" s="4" t="s">
        <v>21</v>
      </c>
      <c r="I144" s="4" t="s">
        <v>282</v>
      </c>
      <c r="J144" s="4" t="s">
        <v>295</v>
      </c>
      <c r="K144" s="4" t="b">
        <v>0</v>
      </c>
      <c r="L144" s="4"/>
      <c r="M144" s="4"/>
      <c r="N144" s="83"/>
      <c r="O144" s="4"/>
      <c r="P144" s="83"/>
      <c r="Q144" s="4"/>
    </row>
    <row r="145" spans="1:18" x14ac:dyDescent="0.2">
      <c r="A145" s="79" t="s">
        <v>491</v>
      </c>
      <c r="B145" s="80">
        <v>46266.426341932871</v>
      </c>
      <c r="C145" s="79" t="s">
        <v>487</v>
      </c>
      <c r="D145" s="81" t="s">
        <v>2</v>
      </c>
      <c r="E145" s="79" t="s">
        <v>221</v>
      </c>
      <c r="F145" s="4">
        <v>9</v>
      </c>
      <c r="G145" s="4">
        <v>8</v>
      </c>
      <c r="H145" s="4" t="s">
        <v>23</v>
      </c>
      <c r="I145" s="4" t="s">
        <v>282</v>
      </c>
      <c r="J145" s="4" t="s">
        <v>313</v>
      </c>
      <c r="K145" s="4" t="b">
        <v>0</v>
      </c>
      <c r="L145" s="4"/>
      <c r="M145" s="4"/>
      <c r="N145" s="83"/>
      <c r="O145" s="4"/>
      <c r="P145" s="83"/>
      <c r="Q145" s="4"/>
    </row>
    <row r="146" spans="1:18" x14ac:dyDescent="0.2">
      <c r="A146" s="79" t="s">
        <v>492</v>
      </c>
      <c r="B146" s="80">
        <v>46266.426341932871</v>
      </c>
      <c r="C146" s="79" t="s">
        <v>487</v>
      </c>
      <c r="D146" s="81" t="s">
        <v>2</v>
      </c>
      <c r="E146" s="79" t="s">
        <v>221</v>
      </c>
      <c r="F146" s="4">
        <v>9</v>
      </c>
      <c r="G146" s="4">
        <v>10</v>
      </c>
      <c r="H146" s="4" t="s">
        <v>26</v>
      </c>
      <c r="I146" s="4" t="s">
        <v>282</v>
      </c>
      <c r="J146" s="4" t="s">
        <v>315</v>
      </c>
      <c r="K146" s="4" t="b">
        <v>0</v>
      </c>
    </row>
    <row r="147" spans="1:18" x14ac:dyDescent="0.2">
      <c r="A147" s="79" t="s">
        <v>493</v>
      </c>
      <c r="B147" s="80">
        <v>46266.426341932871</v>
      </c>
      <c r="C147" s="79" t="s">
        <v>487</v>
      </c>
      <c r="D147" s="81" t="s">
        <v>2</v>
      </c>
      <c r="E147" s="79" t="s">
        <v>221</v>
      </c>
      <c r="F147" s="4">
        <v>9</v>
      </c>
      <c r="G147" s="4">
        <v>11</v>
      </c>
      <c r="H147" s="4" t="s">
        <v>27</v>
      </c>
      <c r="I147" s="4" t="s">
        <v>282</v>
      </c>
      <c r="J147" s="4" t="s">
        <v>317</v>
      </c>
      <c r="K147" s="4" t="b">
        <v>0</v>
      </c>
    </row>
    <row r="148" spans="1:18" x14ac:dyDescent="0.2">
      <c r="A148" s="79" t="s">
        <v>494</v>
      </c>
      <c r="B148" s="80">
        <v>46266.426341932871</v>
      </c>
      <c r="C148" s="79" t="s">
        <v>487</v>
      </c>
      <c r="D148" s="81" t="s">
        <v>2</v>
      </c>
      <c r="E148" s="79" t="s">
        <v>221</v>
      </c>
      <c r="F148" s="4">
        <v>9</v>
      </c>
      <c r="G148" s="4">
        <v>12</v>
      </c>
      <c r="H148" s="4" t="s">
        <v>28</v>
      </c>
      <c r="I148" s="4" t="s">
        <v>282</v>
      </c>
      <c r="J148" s="4" t="s">
        <v>319</v>
      </c>
      <c r="K148" s="4" t="b">
        <v>0</v>
      </c>
    </row>
    <row r="149" spans="1:18" x14ac:dyDescent="0.2">
      <c r="A149" s="79" t="s">
        <v>495</v>
      </c>
      <c r="B149" s="80">
        <v>46266.426341932871</v>
      </c>
      <c r="C149" s="79" t="s">
        <v>487</v>
      </c>
      <c r="D149" s="81" t="s">
        <v>2</v>
      </c>
      <c r="E149" s="79" t="s">
        <v>221</v>
      </c>
      <c r="F149" s="4">
        <v>9</v>
      </c>
      <c r="G149" s="4">
        <v>13</v>
      </c>
      <c r="H149" s="4" t="s">
        <v>29</v>
      </c>
      <c r="I149" s="4" t="s">
        <v>282</v>
      </c>
      <c r="J149" s="4" t="s">
        <v>321</v>
      </c>
      <c r="K149" s="4" t="b">
        <v>0</v>
      </c>
    </row>
    <row r="150" spans="1:18" x14ac:dyDescent="0.2">
      <c r="A150" s="79" t="s">
        <v>496</v>
      </c>
      <c r="B150" s="80">
        <v>46266.426341932871</v>
      </c>
      <c r="C150" s="79" t="s">
        <v>487</v>
      </c>
      <c r="D150" s="81" t="s">
        <v>2</v>
      </c>
      <c r="E150" s="79" t="s">
        <v>221</v>
      </c>
      <c r="F150" s="4">
        <v>9</v>
      </c>
      <c r="G150" s="4">
        <v>14</v>
      </c>
      <c r="H150" s="4" t="s">
        <v>30</v>
      </c>
      <c r="I150" s="4" t="s">
        <v>282</v>
      </c>
      <c r="J150" s="4" t="s">
        <v>323</v>
      </c>
      <c r="K150" s="4" t="b">
        <v>0</v>
      </c>
      <c r="L150" s="4"/>
      <c r="M150" s="4"/>
      <c r="N150" s="83"/>
      <c r="O150" s="4"/>
      <c r="P150" s="83"/>
      <c r="Q150" s="4"/>
      <c r="R150" s="4"/>
    </row>
    <row r="151" spans="1:18" x14ac:dyDescent="0.2">
      <c r="A151" s="79" t="s">
        <v>497</v>
      </c>
      <c r="B151" s="80">
        <v>46266.426341932871</v>
      </c>
      <c r="C151" s="79" t="s">
        <v>487</v>
      </c>
      <c r="D151" s="81" t="s">
        <v>2</v>
      </c>
      <c r="E151" s="79" t="s">
        <v>221</v>
      </c>
      <c r="F151" s="4">
        <v>9</v>
      </c>
      <c r="G151" s="4">
        <v>15</v>
      </c>
      <c r="H151" s="4" t="s">
        <v>31</v>
      </c>
      <c r="I151" s="4" t="s">
        <v>282</v>
      </c>
      <c r="J151" s="4" t="s">
        <v>325</v>
      </c>
      <c r="K151" s="4" t="b">
        <v>0</v>
      </c>
      <c r="L151" s="4"/>
      <c r="M151" s="4"/>
      <c r="N151" s="83"/>
      <c r="O151" s="4"/>
      <c r="P151" s="83"/>
      <c r="Q151" s="4"/>
      <c r="R151" s="4"/>
    </row>
    <row r="152" spans="1:18" x14ac:dyDescent="0.2">
      <c r="A152" s="79" t="s">
        <v>498</v>
      </c>
      <c r="B152" s="80">
        <v>46266.426341932871</v>
      </c>
      <c r="C152" s="79" t="s">
        <v>487</v>
      </c>
      <c r="D152" s="81" t="s">
        <v>2</v>
      </c>
      <c r="E152" s="79" t="s">
        <v>221</v>
      </c>
      <c r="F152" s="4">
        <v>9</v>
      </c>
      <c r="G152" s="4">
        <v>16</v>
      </c>
      <c r="H152" s="4" t="s">
        <v>32</v>
      </c>
      <c r="I152" s="4" t="s">
        <v>282</v>
      </c>
      <c r="J152" s="4" t="s">
        <v>327</v>
      </c>
      <c r="K152" s="4" t="b">
        <v>0</v>
      </c>
    </row>
    <row r="153" spans="1:18" x14ac:dyDescent="0.2">
      <c r="A153" s="79" t="s">
        <v>499</v>
      </c>
      <c r="B153" s="80">
        <v>46266.426341932871</v>
      </c>
      <c r="C153" s="79" t="s">
        <v>487</v>
      </c>
      <c r="D153" s="81" t="s">
        <v>2</v>
      </c>
      <c r="E153" s="79" t="s">
        <v>221</v>
      </c>
      <c r="F153" s="4">
        <v>9</v>
      </c>
      <c r="G153" s="4">
        <v>18</v>
      </c>
      <c r="H153" s="4" t="s">
        <v>34</v>
      </c>
      <c r="I153" s="4" t="s">
        <v>282</v>
      </c>
      <c r="J153" s="4" t="s">
        <v>329</v>
      </c>
      <c r="K153" s="4" t="b">
        <v>0</v>
      </c>
    </row>
    <row r="154" spans="1:18" x14ac:dyDescent="0.2">
      <c r="A154" s="79" t="s">
        <v>500</v>
      </c>
      <c r="B154" s="80">
        <v>46266.426341932871</v>
      </c>
      <c r="C154" s="79" t="s">
        <v>487</v>
      </c>
      <c r="D154" s="81" t="s">
        <v>2</v>
      </c>
      <c r="E154" s="79" t="s">
        <v>221</v>
      </c>
      <c r="F154" s="4">
        <v>9</v>
      </c>
      <c r="G154" s="4">
        <v>27</v>
      </c>
      <c r="H154" s="4" t="s">
        <v>331</v>
      </c>
      <c r="I154" s="4" t="s">
        <v>282</v>
      </c>
      <c r="J154" s="4" t="s">
        <v>332</v>
      </c>
      <c r="K154" s="4" t="b">
        <v>0</v>
      </c>
    </row>
    <row r="155" spans="1:18" x14ac:dyDescent="0.2">
      <c r="A155" s="79" t="s">
        <v>501</v>
      </c>
      <c r="B155" s="80">
        <v>46266.426341932871</v>
      </c>
      <c r="C155" s="79" t="s">
        <v>487</v>
      </c>
      <c r="D155" s="81" t="s">
        <v>2</v>
      </c>
      <c r="E155" s="79" t="s">
        <v>221</v>
      </c>
      <c r="F155" s="4">
        <v>9</v>
      </c>
      <c r="G155" s="4">
        <v>50</v>
      </c>
      <c r="H155" s="4" t="s">
        <v>39</v>
      </c>
      <c r="I155" s="4" t="s">
        <v>282</v>
      </c>
      <c r="J155" s="4" t="s">
        <v>344</v>
      </c>
      <c r="K155" s="4" t="b">
        <v>0</v>
      </c>
    </row>
    <row r="156" spans="1:18" x14ac:dyDescent="0.2">
      <c r="A156" s="79" t="s">
        <v>502</v>
      </c>
      <c r="B156" s="80">
        <v>46266.426341932871</v>
      </c>
      <c r="C156" s="79" t="s">
        <v>487</v>
      </c>
      <c r="D156" s="81" t="s">
        <v>2</v>
      </c>
      <c r="E156" s="79" t="s">
        <v>221</v>
      </c>
      <c r="F156" s="4">
        <v>9</v>
      </c>
      <c r="G156" s="4">
        <v>52</v>
      </c>
      <c r="H156" s="4" t="s">
        <v>258</v>
      </c>
      <c r="I156" s="4" t="s">
        <v>282</v>
      </c>
      <c r="J156" s="4" t="s">
        <v>373</v>
      </c>
      <c r="K156" s="4" t="b">
        <v>0</v>
      </c>
      <c r="L156" s="4"/>
      <c r="M156" s="4"/>
      <c r="N156" s="83"/>
      <c r="O156" s="4"/>
      <c r="P156" s="83"/>
      <c r="Q156" s="4"/>
      <c r="R156" s="4"/>
    </row>
    <row r="157" spans="1:18" x14ac:dyDescent="0.2">
      <c r="A157" s="79" t="s">
        <v>503</v>
      </c>
      <c r="B157" s="80">
        <v>46266.426341932871</v>
      </c>
      <c r="C157" s="79" t="s">
        <v>487</v>
      </c>
      <c r="D157" s="81" t="s">
        <v>2</v>
      </c>
      <c r="E157" s="79" t="s">
        <v>221</v>
      </c>
      <c r="F157" s="4">
        <v>9</v>
      </c>
      <c r="G157" s="4">
        <v>53</v>
      </c>
      <c r="H157" s="4" t="s">
        <v>375</v>
      </c>
      <c r="I157" s="4" t="s">
        <v>282</v>
      </c>
      <c r="J157" s="4" t="s">
        <v>376</v>
      </c>
      <c r="K157" s="4" t="b">
        <v>0</v>
      </c>
      <c r="L157" s="4"/>
      <c r="M157" s="4"/>
      <c r="N157" s="83"/>
      <c r="O157" s="4"/>
      <c r="P157" s="83"/>
      <c r="Q157" s="4"/>
      <c r="R157" s="4"/>
    </row>
    <row r="158" spans="1:18" x14ac:dyDescent="0.2">
      <c r="A158" s="79" t="s">
        <v>504</v>
      </c>
      <c r="B158" s="80">
        <v>46266.426341932871</v>
      </c>
      <c r="C158" s="79" t="s">
        <v>487</v>
      </c>
      <c r="D158" s="81" t="s">
        <v>2</v>
      </c>
      <c r="E158" s="79" t="s">
        <v>221</v>
      </c>
      <c r="F158" s="4">
        <v>9</v>
      </c>
      <c r="G158" s="4">
        <v>60</v>
      </c>
      <c r="H158" s="4" t="s">
        <v>60</v>
      </c>
      <c r="I158" s="4" t="s">
        <v>282</v>
      </c>
      <c r="J158" s="4" t="s">
        <v>334</v>
      </c>
      <c r="K158" s="4" t="b">
        <v>0</v>
      </c>
    </row>
    <row r="159" spans="1:18" x14ac:dyDescent="0.2">
      <c r="A159" s="79" t="s">
        <v>505</v>
      </c>
      <c r="B159" s="80">
        <v>46266.426341932871</v>
      </c>
      <c r="C159" s="79" t="s">
        <v>487</v>
      </c>
      <c r="D159" s="81" t="s">
        <v>2</v>
      </c>
      <c r="E159" s="79" t="s">
        <v>221</v>
      </c>
      <c r="F159" s="4">
        <v>9</v>
      </c>
      <c r="G159" s="4">
        <v>61</v>
      </c>
      <c r="H159" s="4" t="s">
        <v>62</v>
      </c>
      <c r="I159" s="4" t="s">
        <v>282</v>
      </c>
      <c r="J159" s="4" t="s">
        <v>334</v>
      </c>
      <c r="K159" s="4" t="b">
        <v>0</v>
      </c>
    </row>
    <row r="160" spans="1:18" x14ac:dyDescent="0.2">
      <c r="A160" s="79" t="s">
        <v>506</v>
      </c>
      <c r="B160" s="80">
        <v>46266.426341932871</v>
      </c>
      <c r="C160" s="79" t="s">
        <v>487</v>
      </c>
      <c r="D160" s="81" t="s">
        <v>2</v>
      </c>
      <c r="E160" s="79" t="s">
        <v>221</v>
      </c>
      <c r="F160" s="4">
        <v>9</v>
      </c>
      <c r="G160" s="4">
        <v>62</v>
      </c>
      <c r="H160" s="4" t="s">
        <v>63</v>
      </c>
      <c r="I160" s="4" t="s">
        <v>282</v>
      </c>
      <c r="J160" s="4" t="s">
        <v>334</v>
      </c>
      <c r="K160" s="4" t="b">
        <v>0</v>
      </c>
    </row>
    <row r="161" spans="1:11" x14ac:dyDescent="0.2">
      <c r="A161" s="79" t="s">
        <v>507</v>
      </c>
      <c r="B161" s="80">
        <v>46266.426341932871</v>
      </c>
      <c r="C161" s="79" t="s">
        <v>487</v>
      </c>
      <c r="D161" s="81" t="s">
        <v>2</v>
      </c>
      <c r="E161" s="79" t="s">
        <v>221</v>
      </c>
      <c r="F161" s="4">
        <v>9</v>
      </c>
      <c r="G161" s="4">
        <v>77</v>
      </c>
      <c r="H161" s="4" t="s">
        <v>86</v>
      </c>
      <c r="I161" s="4" t="s">
        <v>282</v>
      </c>
      <c r="J161" s="4" t="s">
        <v>340</v>
      </c>
      <c r="K161" s="4" t="b">
        <v>0</v>
      </c>
    </row>
    <row r="162" spans="1:11" x14ac:dyDescent="0.2">
      <c r="A162" s="79" t="s">
        <v>508</v>
      </c>
      <c r="B162" s="80">
        <v>46266.426341932871</v>
      </c>
      <c r="C162" s="79" t="s">
        <v>487</v>
      </c>
      <c r="D162" s="81" t="s">
        <v>2</v>
      </c>
      <c r="E162" s="79" t="s">
        <v>221</v>
      </c>
      <c r="F162" s="4">
        <v>9</v>
      </c>
      <c r="G162" s="4">
        <v>79</v>
      </c>
      <c r="H162" s="4" t="s">
        <v>89</v>
      </c>
      <c r="I162" s="4" t="s">
        <v>282</v>
      </c>
      <c r="J162" s="4" t="s">
        <v>463</v>
      </c>
      <c r="K162" s="4" t="b">
        <v>0</v>
      </c>
    </row>
    <row r="163" spans="1:11" x14ac:dyDescent="0.2">
      <c r="A163" s="79" t="s">
        <v>509</v>
      </c>
      <c r="B163" s="80">
        <v>46266.426341932871</v>
      </c>
      <c r="C163" s="79" t="s">
        <v>487</v>
      </c>
      <c r="D163" s="81" t="s">
        <v>2</v>
      </c>
      <c r="E163" s="79" t="s">
        <v>228</v>
      </c>
      <c r="F163" s="4">
        <v>10</v>
      </c>
      <c r="G163" s="4">
        <v>4</v>
      </c>
      <c r="H163" s="4" t="s">
        <v>18</v>
      </c>
      <c r="I163" s="4" t="s">
        <v>282</v>
      </c>
      <c r="J163" s="4" t="s">
        <v>285</v>
      </c>
      <c r="K163" s="4" t="b">
        <v>0</v>
      </c>
    </row>
    <row r="164" spans="1:11" x14ac:dyDescent="0.2">
      <c r="A164" s="79" t="s">
        <v>510</v>
      </c>
      <c r="B164" s="80">
        <v>46266.426341932871</v>
      </c>
      <c r="C164" s="79" t="s">
        <v>487</v>
      </c>
      <c r="D164" s="81" t="s">
        <v>2</v>
      </c>
      <c r="E164" s="79" t="s">
        <v>228</v>
      </c>
      <c r="F164" s="4">
        <v>10</v>
      </c>
      <c r="G164" s="4">
        <v>5</v>
      </c>
      <c r="H164" s="4" t="s">
        <v>20</v>
      </c>
      <c r="I164" s="4" t="s">
        <v>289</v>
      </c>
      <c r="J164" s="4" t="s">
        <v>511</v>
      </c>
      <c r="K164" s="4" t="b">
        <v>0</v>
      </c>
    </row>
    <row r="165" spans="1:11" x14ac:dyDescent="0.2">
      <c r="A165" s="79" t="s">
        <v>512</v>
      </c>
      <c r="B165" s="80">
        <v>46266.426341932871</v>
      </c>
      <c r="C165" s="79" t="s">
        <v>487</v>
      </c>
      <c r="D165" s="81" t="s">
        <v>2</v>
      </c>
      <c r="E165" s="79" t="s">
        <v>228</v>
      </c>
      <c r="F165" s="4">
        <v>10</v>
      </c>
      <c r="G165" s="4">
        <v>6</v>
      </c>
      <c r="H165" s="4" t="s">
        <v>21</v>
      </c>
      <c r="I165" s="4" t="s">
        <v>282</v>
      </c>
      <c r="J165" s="4" t="s">
        <v>295</v>
      </c>
      <c r="K165" s="4" t="b">
        <v>0</v>
      </c>
    </row>
    <row r="166" spans="1:11" x14ac:dyDescent="0.2">
      <c r="A166" s="79" t="s">
        <v>513</v>
      </c>
      <c r="B166" s="80">
        <v>46266.426341932871</v>
      </c>
      <c r="C166" s="79" t="s">
        <v>487</v>
      </c>
      <c r="D166" s="81" t="s">
        <v>2</v>
      </c>
      <c r="E166" s="79" t="s">
        <v>228</v>
      </c>
      <c r="F166" s="4">
        <v>10</v>
      </c>
      <c r="G166" s="4">
        <v>8</v>
      </c>
      <c r="H166" s="4" t="s">
        <v>23</v>
      </c>
      <c r="I166" s="4" t="s">
        <v>282</v>
      </c>
      <c r="J166" s="4" t="s">
        <v>313</v>
      </c>
      <c r="K166" s="4" t="b">
        <v>0</v>
      </c>
    </row>
    <row r="167" spans="1:11" x14ac:dyDescent="0.2">
      <c r="A167" s="79" t="s">
        <v>514</v>
      </c>
      <c r="B167" s="80">
        <v>46266.426341932871</v>
      </c>
      <c r="C167" s="79" t="s">
        <v>487</v>
      </c>
      <c r="D167" s="81" t="s">
        <v>2</v>
      </c>
      <c r="E167" s="79" t="s">
        <v>228</v>
      </c>
      <c r="F167" s="4">
        <v>10</v>
      </c>
      <c r="G167" s="4">
        <v>10</v>
      </c>
      <c r="H167" s="4" t="s">
        <v>26</v>
      </c>
      <c r="I167" s="4" t="s">
        <v>282</v>
      </c>
      <c r="J167" s="4" t="s">
        <v>315</v>
      </c>
      <c r="K167" s="4" t="b">
        <v>0</v>
      </c>
    </row>
    <row r="168" spans="1:11" x14ac:dyDescent="0.2">
      <c r="A168" s="79" t="s">
        <v>515</v>
      </c>
      <c r="B168" s="80">
        <v>46266.426341932871</v>
      </c>
      <c r="C168" s="79" t="s">
        <v>487</v>
      </c>
      <c r="D168" s="81" t="s">
        <v>2</v>
      </c>
      <c r="E168" s="79" t="s">
        <v>228</v>
      </c>
      <c r="F168" s="4">
        <v>10</v>
      </c>
      <c r="G168" s="4">
        <v>11</v>
      </c>
      <c r="H168" s="4" t="s">
        <v>27</v>
      </c>
      <c r="I168" s="4" t="s">
        <v>282</v>
      </c>
      <c r="J168" s="4" t="s">
        <v>317</v>
      </c>
      <c r="K168" s="4" t="b">
        <v>0</v>
      </c>
    </row>
    <row r="169" spans="1:11" x14ac:dyDescent="0.2">
      <c r="A169" s="79" t="s">
        <v>516</v>
      </c>
      <c r="B169" s="80">
        <v>46266.426341932871</v>
      </c>
      <c r="C169" s="79" t="s">
        <v>487</v>
      </c>
      <c r="D169" s="81" t="s">
        <v>2</v>
      </c>
      <c r="E169" s="79" t="s">
        <v>228</v>
      </c>
      <c r="F169" s="4">
        <v>10</v>
      </c>
      <c r="G169" s="4">
        <v>12</v>
      </c>
      <c r="H169" s="4" t="s">
        <v>28</v>
      </c>
      <c r="I169" s="4" t="s">
        <v>282</v>
      </c>
      <c r="J169" s="4" t="s">
        <v>319</v>
      </c>
      <c r="K169" s="4" t="b">
        <v>0</v>
      </c>
    </row>
    <row r="170" spans="1:11" x14ac:dyDescent="0.2">
      <c r="A170" s="79" t="s">
        <v>517</v>
      </c>
      <c r="B170" s="80">
        <v>46266.426341932871</v>
      </c>
      <c r="C170" s="79" t="s">
        <v>487</v>
      </c>
      <c r="D170" s="81" t="s">
        <v>2</v>
      </c>
      <c r="E170" s="79" t="s">
        <v>228</v>
      </c>
      <c r="F170" s="4">
        <v>10</v>
      </c>
      <c r="G170" s="4">
        <v>13</v>
      </c>
      <c r="H170" s="4" t="s">
        <v>29</v>
      </c>
      <c r="I170" s="4" t="s">
        <v>282</v>
      </c>
      <c r="J170" s="4" t="s">
        <v>321</v>
      </c>
      <c r="K170" s="4" t="b">
        <v>0</v>
      </c>
    </row>
    <row r="171" spans="1:11" x14ac:dyDescent="0.2">
      <c r="A171" s="79" t="s">
        <v>518</v>
      </c>
      <c r="B171" s="80">
        <v>46266.426341932871</v>
      </c>
      <c r="C171" s="79" t="s">
        <v>487</v>
      </c>
      <c r="D171" s="81" t="s">
        <v>2</v>
      </c>
      <c r="E171" s="79" t="s">
        <v>228</v>
      </c>
      <c r="F171" s="4">
        <v>10</v>
      </c>
      <c r="G171" s="4">
        <v>14</v>
      </c>
      <c r="H171" s="4" t="s">
        <v>30</v>
      </c>
      <c r="I171" s="4" t="s">
        <v>282</v>
      </c>
      <c r="J171" s="4" t="s">
        <v>323</v>
      </c>
      <c r="K171" s="4" t="b">
        <v>0</v>
      </c>
    </row>
    <row r="172" spans="1:11" x14ac:dyDescent="0.2">
      <c r="A172" s="79" t="s">
        <v>519</v>
      </c>
      <c r="B172" s="80">
        <v>46266.426341932871</v>
      </c>
      <c r="C172" s="79" t="s">
        <v>487</v>
      </c>
      <c r="D172" s="81" t="s">
        <v>2</v>
      </c>
      <c r="E172" s="79" t="s">
        <v>228</v>
      </c>
      <c r="F172" s="4">
        <v>10</v>
      </c>
      <c r="G172" s="4">
        <v>15</v>
      </c>
      <c r="H172" s="4" t="s">
        <v>31</v>
      </c>
      <c r="I172" s="4" t="s">
        <v>282</v>
      </c>
      <c r="J172" s="4" t="s">
        <v>325</v>
      </c>
      <c r="K172" s="4" t="b">
        <v>0</v>
      </c>
    </row>
    <row r="173" spans="1:11" x14ac:dyDescent="0.2">
      <c r="A173" s="79" t="s">
        <v>520</v>
      </c>
      <c r="B173" s="80">
        <v>46266.426341932871</v>
      </c>
      <c r="C173" s="79" t="s">
        <v>487</v>
      </c>
      <c r="D173" s="81" t="s">
        <v>2</v>
      </c>
      <c r="E173" s="79" t="s">
        <v>228</v>
      </c>
      <c r="F173" s="4">
        <v>10</v>
      </c>
      <c r="G173" s="4">
        <v>16</v>
      </c>
      <c r="H173" s="4" t="s">
        <v>32</v>
      </c>
      <c r="I173" s="4" t="s">
        <v>282</v>
      </c>
      <c r="J173" s="4" t="s">
        <v>327</v>
      </c>
      <c r="K173" s="4" t="b">
        <v>0</v>
      </c>
    </row>
    <row r="174" spans="1:11" x14ac:dyDescent="0.2">
      <c r="A174" s="79" t="s">
        <v>521</v>
      </c>
      <c r="B174" s="80">
        <v>46266.426341932871</v>
      </c>
      <c r="C174" s="79" t="s">
        <v>487</v>
      </c>
      <c r="D174" s="81" t="s">
        <v>2</v>
      </c>
      <c r="E174" s="79" t="s">
        <v>228</v>
      </c>
      <c r="F174" s="4">
        <v>10</v>
      </c>
      <c r="G174" s="4">
        <v>18</v>
      </c>
      <c r="H174" s="4" t="s">
        <v>34</v>
      </c>
      <c r="I174" s="4" t="s">
        <v>282</v>
      </c>
      <c r="J174" s="4" t="s">
        <v>329</v>
      </c>
      <c r="K174" s="4" t="b">
        <v>0</v>
      </c>
    </row>
    <row r="175" spans="1:11" x14ac:dyDescent="0.2">
      <c r="A175" s="79" t="s">
        <v>522</v>
      </c>
      <c r="B175" s="80">
        <v>46266.426341932871</v>
      </c>
      <c r="C175" s="79" t="s">
        <v>487</v>
      </c>
      <c r="D175" s="81" t="s">
        <v>2</v>
      </c>
      <c r="E175" s="79" t="s">
        <v>228</v>
      </c>
      <c r="F175" s="4">
        <v>10</v>
      </c>
      <c r="G175" s="4">
        <v>27</v>
      </c>
      <c r="H175" s="4" t="s">
        <v>331</v>
      </c>
      <c r="I175" s="4" t="s">
        <v>282</v>
      </c>
      <c r="J175" s="4" t="s">
        <v>332</v>
      </c>
      <c r="K175" s="4" t="b">
        <v>0</v>
      </c>
    </row>
    <row r="176" spans="1:11" x14ac:dyDescent="0.2">
      <c r="A176" s="79" t="s">
        <v>523</v>
      </c>
      <c r="B176" s="80">
        <v>46266.426341932871</v>
      </c>
      <c r="C176" s="79" t="s">
        <v>487</v>
      </c>
      <c r="D176" s="81" t="s">
        <v>2</v>
      </c>
      <c r="E176" s="79" t="s">
        <v>228</v>
      </c>
      <c r="F176" s="4">
        <v>10</v>
      </c>
      <c r="G176" s="4">
        <v>50</v>
      </c>
      <c r="H176" s="4" t="s">
        <v>39</v>
      </c>
      <c r="I176" s="4" t="s">
        <v>282</v>
      </c>
      <c r="J176" s="4" t="s">
        <v>344</v>
      </c>
      <c r="K176" s="4" t="b">
        <v>0</v>
      </c>
    </row>
    <row r="177" spans="1:11" x14ac:dyDescent="0.2">
      <c r="A177" s="79" t="s">
        <v>524</v>
      </c>
      <c r="B177" s="80">
        <v>46266.426341932871</v>
      </c>
      <c r="C177" s="79" t="s">
        <v>487</v>
      </c>
      <c r="D177" s="81" t="s">
        <v>2</v>
      </c>
      <c r="E177" s="79" t="s">
        <v>228</v>
      </c>
      <c r="F177" s="4">
        <v>10</v>
      </c>
      <c r="G177" s="4">
        <v>52</v>
      </c>
      <c r="H177" s="4" t="s">
        <v>258</v>
      </c>
      <c r="I177" s="4" t="s">
        <v>282</v>
      </c>
      <c r="J177" s="4" t="s">
        <v>373</v>
      </c>
      <c r="K177" s="4" t="b">
        <v>0</v>
      </c>
    </row>
    <row r="178" spans="1:11" x14ac:dyDescent="0.2">
      <c r="A178" s="79" t="s">
        <v>525</v>
      </c>
      <c r="B178" s="80">
        <v>46266.426341932871</v>
      </c>
      <c r="C178" s="79" t="s">
        <v>487</v>
      </c>
      <c r="D178" s="81" t="s">
        <v>2</v>
      </c>
      <c r="E178" s="79" t="s">
        <v>228</v>
      </c>
      <c r="F178" s="4">
        <v>10</v>
      </c>
      <c r="G178" s="4">
        <v>53</v>
      </c>
      <c r="H178" s="4" t="s">
        <v>375</v>
      </c>
      <c r="I178" s="4" t="s">
        <v>282</v>
      </c>
      <c r="J178" s="4" t="s">
        <v>376</v>
      </c>
      <c r="K178" s="4" t="b">
        <v>0</v>
      </c>
    </row>
    <row r="179" spans="1:11" x14ac:dyDescent="0.2">
      <c r="A179" s="79" t="s">
        <v>526</v>
      </c>
      <c r="B179" s="80">
        <v>46266.426341932871</v>
      </c>
      <c r="C179" s="79" t="s">
        <v>487</v>
      </c>
      <c r="D179" s="81" t="s">
        <v>2</v>
      </c>
      <c r="E179" s="79" t="s">
        <v>228</v>
      </c>
      <c r="F179" s="4">
        <v>10</v>
      </c>
      <c r="G179" s="4">
        <v>60</v>
      </c>
      <c r="H179" s="4" t="s">
        <v>60</v>
      </c>
      <c r="I179" s="4" t="s">
        <v>282</v>
      </c>
      <c r="J179" s="4" t="s">
        <v>334</v>
      </c>
      <c r="K179" s="4" t="b">
        <v>0</v>
      </c>
    </row>
    <row r="180" spans="1:11" x14ac:dyDescent="0.2">
      <c r="A180" s="79" t="s">
        <v>527</v>
      </c>
      <c r="B180" s="80">
        <v>46266.426341932871</v>
      </c>
      <c r="C180" s="79" t="s">
        <v>487</v>
      </c>
      <c r="D180" s="81" t="s">
        <v>2</v>
      </c>
      <c r="E180" s="79" t="s">
        <v>228</v>
      </c>
      <c r="F180" s="4">
        <v>10</v>
      </c>
      <c r="G180" s="4">
        <v>61</v>
      </c>
      <c r="H180" s="4" t="s">
        <v>62</v>
      </c>
      <c r="I180" s="4" t="s">
        <v>282</v>
      </c>
      <c r="J180" s="4" t="s">
        <v>334</v>
      </c>
      <c r="K180" s="4" t="b">
        <v>0</v>
      </c>
    </row>
    <row r="181" spans="1:11" x14ac:dyDescent="0.2">
      <c r="A181" s="79" t="s">
        <v>528</v>
      </c>
      <c r="B181" s="80">
        <v>46266.426341932871</v>
      </c>
      <c r="C181" s="79" t="s">
        <v>487</v>
      </c>
      <c r="D181" s="81" t="s">
        <v>2</v>
      </c>
      <c r="E181" s="79" t="s">
        <v>228</v>
      </c>
      <c r="F181" s="4">
        <v>10</v>
      </c>
      <c r="G181" s="4">
        <v>62</v>
      </c>
      <c r="H181" s="4" t="s">
        <v>63</v>
      </c>
      <c r="I181" s="4" t="s">
        <v>282</v>
      </c>
      <c r="J181" s="4" t="s">
        <v>334</v>
      </c>
      <c r="K181" s="4" t="b">
        <v>0</v>
      </c>
    </row>
    <row r="182" spans="1:11" x14ac:dyDescent="0.2">
      <c r="A182" s="79" t="s">
        <v>529</v>
      </c>
      <c r="B182" s="80">
        <v>46266.426341932871</v>
      </c>
      <c r="C182" s="79" t="s">
        <v>487</v>
      </c>
      <c r="D182" s="81" t="s">
        <v>2</v>
      </c>
      <c r="E182" s="79" t="s">
        <v>228</v>
      </c>
      <c r="F182" s="4">
        <v>10</v>
      </c>
      <c r="G182" s="4">
        <v>77</v>
      </c>
      <c r="H182" s="4" t="s">
        <v>86</v>
      </c>
      <c r="I182" s="4" t="s">
        <v>282</v>
      </c>
      <c r="J182" s="4" t="s">
        <v>340</v>
      </c>
      <c r="K182" s="4" t="b">
        <v>0</v>
      </c>
    </row>
    <row r="183" spans="1:11" x14ac:dyDescent="0.2">
      <c r="A183" s="79" t="s">
        <v>530</v>
      </c>
      <c r="B183" s="80">
        <v>46266.426341932871</v>
      </c>
      <c r="C183" s="79" t="s">
        <v>487</v>
      </c>
      <c r="D183" s="81" t="s">
        <v>2</v>
      </c>
      <c r="E183" s="79" t="s">
        <v>228</v>
      </c>
      <c r="F183" s="4">
        <v>10</v>
      </c>
      <c r="G183" s="4">
        <v>79</v>
      </c>
      <c r="H183" s="4" t="s">
        <v>89</v>
      </c>
      <c r="I183" s="4" t="s">
        <v>282</v>
      </c>
      <c r="J183" s="4" t="s">
        <v>463</v>
      </c>
      <c r="K183" s="4" t="b">
        <v>0</v>
      </c>
    </row>
  </sheetData>
  <phoneticPr fontId="3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9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2.5703125" hidden="1"/>
    <col min="3" max="3" width="12.5703125" hidden="1"/>
    <col min="5" max="5" width="7.85546875" customWidth="1"/>
    <col min="6" max="6" width="8.85546875" customWidth="1"/>
    <col min="7" max="8" width="12.5703125" hidden="1"/>
    <col min="9" max="9" width="7.5703125" customWidth="1"/>
    <col min="12" max="12" width="23.42578125" customWidth="1"/>
  </cols>
  <sheetData>
    <row r="1" spans="1:30" x14ac:dyDescent="0.2">
      <c r="A1" s="87" t="s">
        <v>531</v>
      </c>
      <c r="B1" s="72" t="s">
        <v>532</v>
      </c>
      <c r="C1" s="72" t="s">
        <v>533</v>
      </c>
      <c r="D1" s="72" t="s">
        <v>264</v>
      </c>
      <c r="E1" s="73" t="s">
        <v>265</v>
      </c>
      <c r="F1" s="74" t="s">
        <v>266</v>
      </c>
      <c r="G1" s="75" t="s">
        <v>267</v>
      </c>
      <c r="H1" s="75" t="s">
        <v>268</v>
      </c>
      <c r="I1" s="75" t="s">
        <v>269</v>
      </c>
      <c r="J1" s="76" t="s">
        <v>270</v>
      </c>
      <c r="K1" s="76" t="s">
        <v>534</v>
      </c>
      <c r="L1" s="76" t="s">
        <v>271</v>
      </c>
      <c r="M1" s="77" t="s">
        <v>273</v>
      </c>
      <c r="N1" s="77" t="s">
        <v>274</v>
      </c>
      <c r="O1" s="77" t="s">
        <v>275</v>
      </c>
      <c r="P1" s="89" t="s">
        <v>535</v>
      </c>
      <c r="Q1" s="89" t="s">
        <v>536</v>
      </c>
      <c r="R1" s="78" t="s">
        <v>537</v>
      </c>
      <c r="S1" s="78" t="s">
        <v>538</v>
      </c>
      <c r="T1" s="78" t="s">
        <v>279</v>
      </c>
      <c r="U1" s="78" t="s">
        <v>539</v>
      </c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2">
      <c r="A2" s="4" t="s">
        <v>540</v>
      </c>
      <c r="B2" s="83">
        <v>46213.564317326389</v>
      </c>
      <c r="C2" s="4" t="s">
        <v>541</v>
      </c>
      <c r="D2" s="4" t="s">
        <v>281</v>
      </c>
      <c r="E2" s="90" t="s">
        <v>2</v>
      </c>
      <c r="F2" s="79" t="s">
        <v>542</v>
      </c>
      <c r="G2" s="4">
        <v>9</v>
      </c>
      <c r="H2" s="4">
        <v>4</v>
      </c>
      <c r="I2" s="4" t="s">
        <v>57</v>
      </c>
      <c r="J2" s="4" t="s">
        <v>282</v>
      </c>
      <c r="L2" s="4" t="s">
        <v>543</v>
      </c>
      <c r="M2" s="4" t="s">
        <v>544</v>
      </c>
      <c r="N2" s="4" t="s">
        <v>439</v>
      </c>
      <c r="O2" s="83">
        <v>46213.564281157407</v>
      </c>
      <c r="P2" s="4" t="b">
        <v>1</v>
      </c>
      <c r="Q2" s="4" t="b">
        <v>0</v>
      </c>
      <c r="R2" s="4" t="s">
        <v>439</v>
      </c>
      <c r="S2" s="83">
        <v>46213.564535625002</v>
      </c>
      <c r="U2" s="86" t="s">
        <v>440</v>
      </c>
    </row>
    <row r="3" spans="1:30" x14ac:dyDescent="0.2">
      <c r="A3" s="4" t="s">
        <v>545</v>
      </c>
      <c r="B3" s="83">
        <v>46213.564745428244</v>
      </c>
      <c r="C3" s="4" t="s">
        <v>546</v>
      </c>
      <c r="D3" s="4" t="s">
        <v>281</v>
      </c>
      <c r="E3" s="90" t="s">
        <v>2</v>
      </c>
      <c r="F3" s="79" t="s">
        <v>542</v>
      </c>
      <c r="G3" s="4">
        <v>9</v>
      </c>
      <c r="H3" s="4">
        <v>6</v>
      </c>
      <c r="I3" s="4" t="s">
        <v>61</v>
      </c>
      <c r="J3" s="4" t="s">
        <v>547</v>
      </c>
      <c r="K3" s="4" t="s">
        <v>548</v>
      </c>
      <c r="L3" s="4" t="s">
        <v>549</v>
      </c>
      <c r="M3" s="4" t="s">
        <v>550</v>
      </c>
      <c r="N3" s="4" t="s">
        <v>439</v>
      </c>
      <c r="O3" s="83">
        <v>46213.564712511579</v>
      </c>
      <c r="P3" s="4" t="b">
        <v>0</v>
      </c>
      <c r="Q3" s="4" t="b">
        <v>1</v>
      </c>
      <c r="R3" s="4" t="s">
        <v>439</v>
      </c>
      <c r="S3" s="83">
        <v>46213.564918460645</v>
      </c>
      <c r="T3" s="4" t="s">
        <v>551</v>
      </c>
      <c r="U3" s="91" t="s">
        <v>552</v>
      </c>
    </row>
    <row r="4" spans="1:30" x14ac:dyDescent="0.2">
      <c r="A4" s="4" t="s">
        <v>553</v>
      </c>
      <c r="B4" s="83">
        <v>46261.554824710649</v>
      </c>
      <c r="C4" s="4" t="s">
        <v>554</v>
      </c>
      <c r="D4" s="4" t="s">
        <v>281</v>
      </c>
      <c r="E4" s="90" t="s">
        <v>2</v>
      </c>
      <c r="F4" s="79" t="s">
        <v>555</v>
      </c>
      <c r="G4" s="4">
        <v>10</v>
      </c>
      <c r="H4" s="4">
        <v>4</v>
      </c>
      <c r="I4" s="4" t="s">
        <v>57</v>
      </c>
      <c r="J4" s="4" t="s">
        <v>547</v>
      </c>
      <c r="K4" s="4">
        <v>3</v>
      </c>
      <c r="L4" s="4" t="s">
        <v>556</v>
      </c>
      <c r="M4" s="4" t="s">
        <v>557</v>
      </c>
      <c r="N4" s="4" t="s">
        <v>439</v>
      </c>
      <c r="O4" s="83">
        <v>46261.554773425931</v>
      </c>
      <c r="P4" s="4" t="b">
        <v>1</v>
      </c>
      <c r="Q4" s="4" t="b">
        <v>0</v>
      </c>
      <c r="R4" s="4" t="s">
        <v>439</v>
      </c>
      <c r="S4" s="83">
        <v>46261.555026238428</v>
      </c>
      <c r="U4" s="86" t="s">
        <v>440</v>
      </c>
    </row>
    <row r="5" spans="1:30" x14ac:dyDescent="0.2">
      <c r="A5" s="4" t="s">
        <v>558</v>
      </c>
      <c r="B5" s="83">
        <v>46261.556011134264</v>
      </c>
      <c r="C5" s="4" t="s">
        <v>386</v>
      </c>
      <c r="D5" s="4" t="s">
        <v>281</v>
      </c>
      <c r="E5" s="90" t="s">
        <v>2</v>
      </c>
      <c r="F5" s="79" t="s">
        <v>555</v>
      </c>
      <c r="G5" s="4">
        <v>10</v>
      </c>
      <c r="H5" s="4">
        <v>5</v>
      </c>
      <c r="I5" s="4" t="s">
        <v>18</v>
      </c>
      <c r="J5" s="4" t="s">
        <v>282</v>
      </c>
      <c r="L5" s="4" t="s">
        <v>285</v>
      </c>
      <c r="M5" s="4" t="s">
        <v>559</v>
      </c>
      <c r="N5" s="4" t="s">
        <v>439</v>
      </c>
      <c r="O5" s="83">
        <v>46261.555968090281</v>
      </c>
      <c r="P5" s="4" t="b">
        <v>0</v>
      </c>
      <c r="Q5" s="4" t="b">
        <v>1</v>
      </c>
      <c r="R5" s="4" t="s">
        <v>439</v>
      </c>
      <c r="S5" s="83">
        <v>46261.556802118052</v>
      </c>
      <c r="T5" s="4" t="s">
        <v>560</v>
      </c>
      <c r="U5" s="92" t="s">
        <v>551</v>
      </c>
    </row>
    <row r="6" spans="1:30" x14ac:dyDescent="0.2">
      <c r="A6" s="4" t="s">
        <v>561</v>
      </c>
      <c r="B6" s="83">
        <v>46262.419961840278</v>
      </c>
      <c r="C6" s="4" t="s">
        <v>562</v>
      </c>
      <c r="D6" s="4" t="s">
        <v>281</v>
      </c>
      <c r="E6" s="90" t="s">
        <v>2</v>
      </c>
      <c r="F6" s="79">
        <v>1</v>
      </c>
      <c r="G6" s="4">
        <v>9</v>
      </c>
      <c r="H6" s="4">
        <v>11</v>
      </c>
      <c r="I6" s="4" t="s">
        <v>20</v>
      </c>
      <c r="J6" s="4" t="s">
        <v>282</v>
      </c>
      <c r="L6" s="4" t="s">
        <v>563</v>
      </c>
      <c r="M6" s="4" t="s">
        <v>564</v>
      </c>
      <c r="N6" s="4" t="s">
        <v>438</v>
      </c>
      <c r="O6" s="83">
        <v>46262.419883368057</v>
      </c>
      <c r="P6" s="4" t="b">
        <v>0</v>
      </c>
      <c r="Q6" s="4" t="b">
        <v>1</v>
      </c>
      <c r="R6" s="4" t="s">
        <v>439</v>
      </c>
      <c r="S6" s="83">
        <v>46262.420255833335</v>
      </c>
      <c r="T6" s="4" t="s">
        <v>565</v>
      </c>
      <c r="U6" s="92" t="s">
        <v>551</v>
      </c>
    </row>
    <row r="7" spans="1:30" x14ac:dyDescent="0.2">
      <c r="A7" s="4" t="s">
        <v>566</v>
      </c>
      <c r="B7" s="83">
        <v>46262.420762511574</v>
      </c>
      <c r="C7" s="4" t="s">
        <v>385</v>
      </c>
      <c r="D7" s="4" t="s">
        <v>281</v>
      </c>
      <c r="E7" s="90" t="s">
        <v>2</v>
      </c>
      <c r="F7" s="79" t="s">
        <v>555</v>
      </c>
      <c r="G7" s="4">
        <v>10</v>
      </c>
      <c r="H7" s="4">
        <v>4</v>
      </c>
      <c r="I7" s="4" t="s">
        <v>57</v>
      </c>
      <c r="J7" s="4" t="s">
        <v>282</v>
      </c>
      <c r="L7" s="4" t="s">
        <v>283</v>
      </c>
      <c r="M7" s="4" t="s">
        <v>567</v>
      </c>
      <c r="N7" s="4" t="s">
        <v>438</v>
      </c>
      <c r="O7" s="83">
        <v>46262.4206509375</v>
      </c>
      <c r="P7" s="4" t="b">
        <v>1</v>
      </c>
      <c r="Q7" s="4" t="b">
        <v>0</v>
      </c>
      <c r="R7" s="4" t="s">
        <v>439</v>
      </c>
      <c r="S7" s="83">
        <v>46262.421261631942</v>
      </c>
      <c r="U7" s="86" t="s">
        <v>440</v>
      </c>
    </row>
    <row r="8" spans="1:30" x14ac:dyDescent="0.2">
      <c r="A8" s="4" t="s">
        <v>568</v>
      </c>
      <c r="B8" s="83">
        <v>46265.65010407407</v>
      </c>
      <c r="C8" s="4" t="s">
        <v>435</v>
      </c>
      <c r="D8" s="4" t="s">
        <v>436</v>
      </c>
      <c r="E8" s="90" t="s">
        <v>2</v>
      </c>
      <c r="F8" s="79" t="s">
        <v>221</v>
      </c>
      <c r="G8" s="4">
        <v>9</v>
      </c>
      <c r="H8" s="4">
        <v>4</v>
      </c>
      <c r="I8" s="4" t="s">
        <v>18</v>
      </c>
      <c r="J8" s="4" t="s">
        <v>282</v>
      </c>
      <c r="L8" s="4" t="s">
        <v>285</v>
      </c>
      <c r="M8" s="4" t="s">
        <v>437</v>
      </c>
      <c r="N8" s="4" t="s">
        <v>438</v>
      </c>
      <c r="O8" s="83">
        <v>46265.650011678241</v>
      </c>
      <c r="P8" s="4" t="b">
        <v>1</v>
      </c>
      <c r="Q8" s="4" t="b">
        <v>0</v>
      </c>
      <c r="R8" s="4" t="s">
        <v>439</v>
      </c>
      <c r="S8" s="83">
        <v>46265.65027377315</v>
      </c>
      <c r="U8" s="86" t="s">
        <v>440</v>
      </c>
    </row>
    <row r="9" spans="1:30" x14ac:dyDescent="0.2">
      <c r="A9" s="4" t="s">
        <v>569</v>
      </c>
      <c r="B9" s="83">
        <v>46265.654092627316</v>
      </c>
      <c r="C9" s="4" t="s">
        <v>443</v>
      </c>
      <c r="D9" s="4" t="s">
        <v>436</v>
      </c>
      <c r="E9" s="90" t="s">
        <v>2</v>
      </c>
      <c r="F9" s="79" t="s">
        <v>221</v>
      </c>
      <c r="G9" s="4">
        <v>9</v>
      </c>
      <c r="H9" s="4">
        <v>6</v>
      </c>
      <c r="I9" s="4" t="s">
        <v>21</v>
      </c>
      <c r="J9" s="4" t="s">
        <v>282</v>
      </c>
      <c r="L9" s="4" t="s">
        <v>295</v>
      </c>
      <c r="M9" s="4" t="s">
        <v>444</v>
      </c>
      <c r="N9" s="4" t="s">
        <v>438</v>
      </c>
      <c r="O9" s="83">
        <v>46265.654013935186</v>
      </c>
      <c r="P9" s="4" t="b">
        <v>1</v>
      </c>
      <c r="Q9" s="4" t="b">
        <v>0</v>
      </c>
      <c r="R9" s="4" t="s">
        <v>439</v>
      </c>
      <c r="S9" s="83">
        <v>46265.654332395832</v>
      </c>
      <c r="U9" s="86" t="s">
        <v>440</v>
      </c>
    </row>
    <row r="10" spans="1:30" x14ac:dyDescent="0.2">
      <c r="A10" s="4" t="s">
        <v>570</v>
      </c>
      <c r="B10" s="83">
        <v>46265.655684710648</v>
      </c>
      <c r="C10" s="4" t="s">
        <v>571</v>
      </c>
      <c r="D10" s="4" t="s">
        <v>281</v>
      </c>
      <c r="E10" s="90" t="s">
        <v>2</v>
      </c>
      <c r="F10" s="79" t="s">
        <v>221</v>
      </c>
      <c r="G10" s="4">
        <v>9</v>
      </c>
      <c r="H10" s="4">
        <v>27</v>
      </c>
      <c r="I10" s="4" t="s">
        <v>86</v>
      </c>
      <c r="J10" s="4" t="s">
        <v>282</v>
      </c>
      <c r="L10" s="4" t="s">
        <v>340</v>
      </c>
      <c r="M10" s="4" t="s">
        <v>572</v>
      </c>
      <c r="N10" s="4" t="s">
        <v>438</v>
      </c>
      <c r="O10" s="83">
        <v>46265.655595312499</v>
      </c>
      <c r="P10" s="4" t="b">
        <v>0</v>
      </c>
      <c r="Q10" s="4" t="b">
        <v>1</v>
      </c>
      <c r="R10" s="4" t="s">
        <v>439</v>
      </c>
      <c r="S10" s="83">
        <v>46265.655908472225</v>
      </c>
      <c r="T10" s="4" t="s">
        <v>573</v>
      </c>
      <c r="U10" s="92" t="s">
        <v>551</v>
      </c>
    </row>
    <row r="11" spans="1:30" x14ac:dyDescent="0.2">
      <c r="E11" s="93"/>
      <c r="F11" s="79"/>
      <c r="P11" s="4" t="b">
        <v>0</v>
      </c>
      <c r="Q11" s="4" t="b">
        <v>0</v>
      </c>
    </row>
    <row r="12" spans="1:30" x14ac:dyDescent="0.2">
      <c r="E12" s="93"/>
      <c r="F12" s="79"/>
      <c r="P12" s="4" t="b">
        <v>0</v>
      </c>
      <c r="Q12" s="4" t="b">
        <v>0</v>
      </c>
    </row>
    <row r="13" spans="1:30" x14ac:dyDescent="0.2">
      <c r="E13" s="93"/>
      <c r="F13" s="79"/>
      <c r="P13" s="4" t="b">
        <v>0</v>
      </c>
      <c r="Q13" s="4" t="b">
        <v>0</v>
      </c>
    </row>
    <row r="14" spans="1:30" x14ac:dyDescent="0.2">
      <c r="E14" s="93"/>
      <c r="F14" s="79"/>
      <c r="P14" s="4" t="b">
        <v>0</v>
      </c>
      <c r="Q14" s="4" t="b">
        <v>0</v>
      </c>
    </row>
    <row r="15" spans="1:30" x14ac:dyDescent="0.2">
      <c r="E15" s="93"/>
      <c r="F15" s="79"/>
      <c r="P15" s="4" t="b">
        <v>0</v>
      </c>
      <c r="Q15" s="4" t="b">
        <v>0</v>
      </c>
    </row>
    <row r="16" spans="1:30" x14ac:dyDescent="0.2">
      <c r="E16" s="93"/>
      <c r="F16" s="79"/>
      <c r="P16" s="4" t="b">
        <v>0</v>
      </c>
      <c r="Q16" s="4" t="b">
        <v>0</v>
      </c>
    </row>
    <row r="17" spans="5:17" x14ac:dyDescent="0.2">
      <c r="E17" s="93"/>
      <c r="F17" s="79"/>
      <c r="P17" s="4" t="b">
        <v>0</v>
      </c>
      <c r="Q17" s="4" t="b">
        <v>0</v>
      </c>
    </row>
    <row r="18" spans="5:17" x14ac:dyDescent="0.2">
      <c r="E18" s="93"/>
      <c r="F18" s="79"/>
      <c r="P18" s="4" t="b">
        <v>0</v>
      </c>
      <c r="Q18" s="4" t="b">
        <v>0</v>
      </c>
    </row>
    <row r="19" spans="5:17" x14ac:dyDescent="0.2">
      <c r="E19" s="93"/>
      <c r="F19" s="79"/>
      <c r="P19" s="4" t="b">
        <v>0</v>
      </c>
      <c r="Q19" s="4" t="b">
        <v>0</v>
      </c>
    </row>
    <row r="20" spans="5:17" x14ac:dyDescent="0.2">
      <c r="E20" s="93"/>
      <c r="F20" s="79"/>
      <c r="P20" s="4" t="b">
        <v>0</v>
      </c>
      <c r="Q20" s="4" t="b">
        <v>0</v>
      </c>
    </row>
    <row r="21" spans="5:17" x14ac:dyDescent="0.2">
      <c r="E21" s="93"/>
      <c r="F21" s="79"/>
      <c r="P21" s="4" t="b">
        <v>0</v>
      </c>
      <c r="Q21" s="4" t="b">
        <v>0</v>
      </c>
    </row>
    <row r="22" spans="5:17" x14ac:dyDescent="0.2">
      <c r="E22" s="93"/>
      <c r="F22" s="79"/>
      <c r="P22" s="4" t="b">
        <v>0</v>
      </c>
      <c r="Q22" s="4" t="b">
        <v>0</v>
      </c>
    </row>
    <row r="23" spans="5:17" x14ac:dyDescent="0.2">
      <c r="E23" s="93"/>
      <c r="F23" s="79"/>
      <c r="P23" s="4" t="b">
        <v>0</v>
      </c>
      <c r="Q23" s="4" t="b">
        <v>0</v>
      </c>
    </row>
    <row r="24" spans="5:17" x14ac:dyDescent="0.2">
      <c r="E24" s="93"/>
      <c r="F24" s="79"/>
      <c r="P24" s="4" t="b">
        <v>0</v>
      </c>
      <c r="Q24" s="4" t="b">
        <v>0</v>
      </c>
    </row>
    <row r="25" spans="5:17" x14ac:dyDescent="0.2">
      <c r="E25" s="93"/>
      <c r="F25" s="79"/>
      <c r="P25" s="4" t="b">
        <v>0</v>
      </c>
      <c r="Q25" s="4" t="b">
        <v>0</v>
      </c>
    </row>
    <row r="26" spans="5:17" x14ac:dyDescent="0.2">
      <c r="E26" s="93"/>
      <c r="F26" s="79"/>
      <c r="P26" s="4" t="b">
        <v>0</v>
      </c>
      <c r="Q26" s="4" t="b">
        <v>0</v>
      </c>
    </row>
    <row r="27" spans="5:17" x14ac:dyDescent="0.2">
      <c r="E27" s="93"/>
      <c r="F27" s="79"/>
      <c r="P27" s="4" t="b">
        <v>0</v>
      </c>
      <c r="Q27" s="4" t="b">
        <v>0</v>
      </c>
    </row>
    <row r="28" spans="5:17" x14ac:dyDescent="0.2">
      <c r="E28" s="93"/>
      <c r="F28" s="79"/>
      <c r="P28" s="4" t="b">
        <v>0</v>
      </c>
      <c r="Q28" s="4" t="b">
        <v>0</v>
      </c>
    </row>
    <row r="29" spans="5:17" x14ac:dyDescent="0.2">
      <c r="E29" s="93"/>
      <c r="F29" s="79"/>
      <c r="P29" s="4" t="b">
        <v>0</v>
      </c>
      <c r="Q29" s="4" t="b">
        <v>0</v>
      </c>
    </row>
    <row r="30" spans="5:17" x14ac:dyDescent="0.2">
      <c r="E30" s="93"/>
      <c r="F30" s="79"/>
      <c r="P30" s="4" t="b">
        <v>0</v>
      </c>
      <c r="Q30" s="4" t="b">
        <v>0</v>
      </c>
    </row>
    <row r="31" spans="5:17" x14ac:dyDescent="0.2">
      <c r="E31" s="93"/>
      <c r="F31" s="79"/>
      <c r="P31" s="4" t="b">
        <v>0</v>
      </c>
      <c r="Q31" s="4" t="b">
        <v>0</v>
      </c>
    </row>
    <row r="32" spans="5:17" x14ac:dyDescent="0.2">
      <c r="E32" s="93"/>
      <c r="F32" s="79"/>
      <c r="P32" s="4" t="b">
        <v>0</v>
      </c>
      <c r="Q32" s="4" t="b">
        <v>0</v>
      </c>
    </row>
    <row r="33" spans="5:17" x14ac:dyDescent="0.2">
      <c r="E33" s="93"/>
      <c r="F33" s="79"/>
      <c r="P33" s="4" t="b">
        <v>0</v>
      </c>
      <c r="Q33" s="4" t="b">
        <v>0</v>
      </c>
    </row>
    <row r="34" spans="5:17" x14ac:dyDescent="0.2">
      <c r="E34" s="93"/>
      <c r="F34" s="79"/>
      <c r="P34" s="4" t="b">
        <v>0</v>
      </c>
      <c r="Q34" s="4" t="b">
        <v>0</v>
      </c>
    </row>
    <row r="35" spans="5:17" x14ac:dyDescent="0.2">
      <c r="E35" s="93"/>
      <c r="F35" s="79"/>
      <c r="P35" s="4" t="b">
        <v>0</v>
      </c>
      <c r="Q35" s="4" t="b">
        <v>0</v>
      </c>
    </row>
    <row r="36" spans="5:17" x14ac:dyDescent="0.2">
      <c r="E36" s="93"/>
      <c r="F36" s="79"/>
      <c r="P36" s="4" t="b">
        <v>0</v>
      </c>
      <c r="Q36" s="4" t="b">
        <v>0</v>
      </c>
    </row>
    <row r="37" spans="5:17" x14ac:dyDescent="0.2">
      <c r="E37" s="93"/>
      <c r="F37" s="79"/>
      <c r="P37" s="4" t="b">
        <v>0</v>
      </c>
      <c r="Q37" s="4" t="b">
        <v>0</v>
      </c>
    </row>
    <row r="38" spans="5:17" x14ac:dyDescent="0.2">
      <c r="E38" s="93"/>
      <c r="F38" s="79"/>
      <c r="P38" s="4" t="b">
        <v>0</v>
      </c>
      <c r="Q38" s="4" t="b">
        <v>0</v>
      </c>
    </row>
    <row r="39" spans="5:17" x14ac:dyDescent="0.2">
      <c r="E39" s="93"/>
      <c r="F39" s="79"/>
      <c r="P39" s="4" t="b">
        <v>0</v>
      </c>
      <c r="Q39" s="4" t="b">
        <v>0</v>
      </c>
    </row>
    <row r="40" spans="5:17" x14ac:dyDescent="0.2">
      <c r="E40" s="93"/>
      <c r="F40" s="79"/>
      <c r="P40" s="4" t="b">
        <v>0</v>
      </c>
      <c r="Q40" s="4" t="b">
        <v>0</v>
      </c>
    </row>
    <row r="41" spans="5:17" x14ac:dyDescent="0.2">
      <c r="E41" s="93"/>
      <c r="F41" s="79"/>
      <c r="P41" s="4" t="b">
        <v>0</v>
      </c>
      <c r="Q41" s="4" t="b">
        <v>0</v>
      </c>
    </row>
    <row r="42" spans="5:17" x14ac:dyDescent="0.2">
      <c r="E42" s="93"/>
      <c r="F42" s="79"/>
      <c r="P42" s="4" t="b">
        <v>0</v>
      </c>
      <c r="Q42" s="4" t="b">
        <v>0</v>
      </c>
    </row>
    <row r="43" spans="5:17" x14ac:dyDescent="0.2">
      <c r="E43" s="93"/>
      <c r="F43" s="79"/>
      <c r="P43" s="4" t="b">
        <v>0</v>
      </c>
      <c r="Q43" s="4" t="b">
        <v>0</v>
      </c>
    </row>
    <row r="44" spans="5:17" x14ac:dyDescent="0.2">
      <c r="E44" s="93"/>
      <c r="F44" s="79"/>
      <c r="P44" s="4" t="b">
        <v>0</v>
      </c>
      <c r="Q44" s="4" t="b">
        <v>0</v>
      </c>
    </row>
    <row r="45" spans="5:17" x14ac:dyDescent="0.2">
      <c r="E45" s="93"/>
      <c r="F45" s="79"/>
      <c r="P45" s="4" t="b">
        <v>0</v>
      </c>
      <c r="Q45" s="4" t="b">
        <v>0</v>
      </c>
    </row>
    <row r="46" spans="5:17" x14ac:dyDescent="0.2">
      <c r="E46" s="93"/>
      <c r="F46" s="79"/>
      <c r="P46" s="4" t="b">
        <v>0</v>
      </c>
      <c r="Q46" s="4" t="b">
        <v>0</v>
      </c>
    </row>
    <row r="47" spans="5:17" x14ac:dyDescent="0.2">
      <c r="E47" s="93"/>
      <c r="F47" s="79"/>
      <c r="P47" s="4" t="b">
        <v>0</v>
      </c>
      <c r="Q47" s="4" t="b">
        <v>0</v>
      </c>
    </row>
    <row r="48" spans="5:17" x14ac:dyDescent="0.2">
      <c r="E48" s="93"/>
      <c r="F48" s="79"/>
      <c r="P48" s="4" t="b">
        <v>0</v>
      </c>
      <c r="Q48" s="4" t="b">
        <v>0</v>
      </c>
    </row>
    <row r="49" spans="5:17" x14ac:dyDescent="0.2">
      <c r="E49" s="93"/>
      <c r="F49" s="79"/>
      <c r="P49" s="4" t="b">
        <v>0</v>
      </c>
      <c r="Q49" s="4" t="b">
        <v>0</v>
      </c>
    </row>
    <row r="50" spans="5:17" x14ac:dyDescent="0.2">
      <c r="E50" s="93"/>
      <c r="F50" s="79"/>
      <c r="P50" s="4" t="b">
        <v>0</v>
      </c>
      <c r="Q50" s="4" t="b">
        <v>0</v>
      </c>
    </row>
    <row r="51" spans="5:17" x14ac:dyDescent="0.2">
      <c r="E51" s="93"/>
      <c r="F51" s="79"/>
      <c r="P51" s="4" t="b">
        <v>0</v>
      </c>
      <c r="Q51" s="4" t="b">
        <v>0</v>
      </c>
    </row>
    <row r="52" spans="5:17" x14ac:dyDescent="0.2">
      <c r="E52" s="93"/>
      <c r="F52" s="79"/>
      <c r="P52" s="4" t="b">
        <v>0</v>
      </c>
      <c r="Q52" s="4" t="b">
        <v>0</v>
      </c>
    </row>
    <row r="53" spans="5:17" x14ac:dyDescent="0.2">
      <c r="E53" s="93"/>
      <c r="F53" s="79"/>
      <c r="P53" s="4" t="b">
        <v>0</v>
      </c>
      <c r="Q53" s="4" t="b">
        <v>0</v>
      </c>
    </row>
    <row r="54" spans="5:17" x14ac:dyDescent="0.2">
      <c r="E54" s="93"/>
      <c r="F54" s="79"/>
      <c r="P54" s="4" t="b">
        <v>0</v>
      </c>
      <c r="Q54" s="4" t="b">
        <v>0</v>
      </c>
    </row>
    <row r="55" spans="5:17" x14ac:dyDescent="0.2">
      <c r="E55" s="93"/>
      <c r="F55" s="79"/>
      <c r="P55" s="4" t="b">
        <v>0</v>
      </c>
      <c r="Q55" s="4" t="b">
        <v>0</v>
      </c>
    </row>
    <row r="56" spans="5:17" x14ac:dyDescent="0.2">
      <c r="E56" s="93"/>
      <c r="F56" s="79"/>
      <c r="P56" s="4" t="b">
        <v>0</v>
      </c>
      <c r="Q56" s="4" t="b">
        <v>0</v>
      </c>
    </row>
    <row r="57" spans="5:17" x14ac:dyDescent="0.2">
      <c r="E57" s="93"/>
      <c r="F57" s="79"/>
      <c r="P57" s="4" t="b">
        <v>0</v>
      </c>
      <c r="Q57" s="4" t="b">
        <v>0</v>
      </c>
    </row>
    <row r="58" spans="5:17" x14ac:dyDescent="0.2">
      <c r="E58" s="93"/>
      <c r="F58" s="79"/>
      <c r="P58" s="4" t="b">
        <v>0</v>
      </c>
      <c r="Q58" s="4" t="b">
        <v>0</v>
      </c>
    </row>
    <row r="59" spans="5:17" x14ac:dyDescent="0.2">
      <c r="E59" s="93"/>
      <c r="F59" s="79"/>
      <c r="P59" s="4" t="b">
        <v>0</v>
      </c>
      <c r="Q59" s="4" t="b">
        <v>0</v>
      </c>
    </row>
    <row r="60" spans="5:17" x14ac:dyDescent="0.2">
      <c r="E60" s="93"/>
      <c r="F60" s="79"/>
      <c r="P60" s="4" t="b">
        <v>0</v>
      </c>
      <c r="Q60" s="4" t="b">
        <v>0</v>
      </c>
    </row>
    <row r="61" spans="5:17" x14ac:dyDescent="0.2">
      <c r="E61" s="93"/>
      <c r="F61" s="79"/>
      <c r="P61" s="4" t="b">
        <v>0</v>
      </c>
      <c r="Q61" s="4" t="b">
        <v>0</v>
      </c>
    </row>
    <row r="62" spans="5:17" x14ac:dyDescent="0.2">
      <c r="E62" s="93"/>
      <c r="F62" s="79"/>
      <c r="P62" s="4" t="b">
        <v>0</v>
      </c>
      <c r="Q62" s="4" t="b">
        <v>0</v>
      </c>
    </row>
    <row r="63" spans="5:17" x14ac:dyDescent="0.2">
      <c r="E63" s="93"/>
      <c r="F63" s="79"/>
      <c r="P63" s="4" t="b">
        <v>0</v>
      </c>
      <c r="Q63" s="4" t="b">
        <v>0</v>
      </c>
    </row>
    <row r="64" spans="5:17" x14ac:dyDescent="0.2">
      <c r="E64" s="93"/>
      <c r="F64" s="79"/>
      <c r="P64" s="4" t="b">
        <v>0</v>
      </c>
      <c r="Q64" s="4" t="b">
        <v>0</v>
      </c>
    </row>
    <row r="65" spans="5:17" x14ac:dyDescent="0.2">
      <c r="E65" s="93"/>
      <c r="F65" s="79"/>
      <c r="P65" s="4" t="b">
        <v>0</v>
      </c>
      <c r="Q65" s="4" t="b">
        <v>0</v>
      </c>
    </row>
    <row r="66" spans="5:17" x14ac:dyDescent="0.2">
      <c r="E66" s="93"/>
      <c r="F66" s="79"/>
      <c r="P66" s="4" t="b">
        <v>0</v>
      </c>
      <c r="Q66" s="4" t="b">
        <v>0</v>
      </c>
    </row>
    <row r="67" spans="5:17" x14ac:dyDescent="0.2">
      <c r="E67" s="93"/>
      <c r="F67" s="79"/>
      <c r="P67" s="4" t="b">
        <v>0</v>
      </c>
      <c r="Q67" s="4" t="b">
        <v>0</v>
      </c>
    </row>
    <row r="68" spans="5:17" x14ac:dyDescent="0.2">
      <c r="E68" s="93"/>
      <c r="F68" s="79"/>
      <c r="P68" s="4" t="b">
        <v>0</v>
      </c>
      <c r="Q68" s="4" t="b">
        <v>0</v>
      </c>
    </row>
    <row r="69" spans="5:17" x14ac:dyDescent="0.2">
      <c r="E69" s="93"/>
      <c r="F69" s="79"/>
      <c r="P69" s="4" t="b">
        <v>0</v>
      </c>
      <c r="Q69" s="4" t="b">
        <v>0</v>
      </c>
    </row>
    <row r="70" spans="5:17" x14ac:dyDescent="0.2">
      <c r="E70" s="93"/>
      <c r="F70" s="79"/>
      <c r="P70" s="4" t="b">
        <v>0</v>
      </c>
      <c r="Q70" s="4" t="b">
        <v>0</v>
      </c>
    </row>
    <row r="71" spans="5:17" x14ac:dyDescent="0.2">
      <c r="E71" s="93"/>
      <c r="F71" s="79"/>
      <c r="P71" s="4" t="b">
        <v>0</v>
      </c>
      <c r="Q71" s="4" t="b">
        <v>0</v>
      </c>
    </row>
    <row r="72" spans="5:17" x14ac:dyDescent="0.2">
      <c r="E72" s="93"/>
      <c r="F72" s="79"/>
      <c r="P72" s="4" t="b">
        <v>0</v>
      </c>
      <c r="Q72" s="4" t="b">
        <v>0</v>
      </c>
    </row>
    <row r="73" spans="5:17" x14ac:dyDescent="0.2">
      <c r="E73" s="93"/>
      <c r="F73" s="79"/>
      <c r="P73" s="4" t="b">
        <v>0</v>
      </c>
      <c r="Q73" s="4" t="b">
        <v>0</v>
      </c>
    </row>
    <row r="74" spans="5:17" x14ac:dyDescent="0.2">
      <c r="E74" s="93"/>
      <c r="F74" s="79"/>
      <c r="P74" s="4" t="b">
        <v>0</v>
      </c>
      <c r="Q74" s="4" t="b">
        <v>0</v>
      </c>
    </row>
    <row r="75" spans="5:17" x14ac:dyDescent="0.2">
      <c r="E75" s="93"/>
      <c r="F75" s="79"/>
      <c r="P75" s="4" t="b">
        <v>0</v>
      </c>
      <c r="Q75" s="4" t="b">
        <v>0</v>
      </c>
    </row>
    <row r="76" spans="5:17" x14ac:dyDescent="0.2">
      <c r="E76" s="93"/>
      <c r="F76" s="79"/>
      <c r="P76" s="4" t="b">
        <v>0</v>
      </c>
      <c r="Q76" s="4" t="b">
        <v>0</v>
      </c>
    </row>
    <row r="77" spans="5:17" x14ac:dyDescent="0.2">
      <c r="E77" s="93"/>
      <c r="F77" s="79"/>
      <c r="P77" s="4" t="b">
        <v>0</v>
      </c>
      <c r="Q77" s="4" t="b">
        <v>0</v>
      </c>
    </row>
    <row r="78" spans="5:17" x14ac:dyDescent="0.2">
      <c r="E78" s="93"/>
      <c r="F78" s="79"/>
      <c r="P78" s="4" t="b">
        <v>0</v>
      </c>
      <c r="Q78" s="4" t="b">
        <v>0</v>
      </c>
    </row>
    <row r="79" spans="5:17" x14ac:dyDescent="0.2">
      <c r="E79" s="93"/>
      <c r="F79" s="79"/>
      <c r="P79" s="4" t="b">
        <v>0</v>
      </c>
      <c r="Q79" s="4" t="b">
        <v>0</v>
      </c>
    </row>
    <row r="80" spans="5:17" x14ac:dyDescent="0.2">
      <c r="E80" s="93"/>
      <c r="F80" s="79"/>
      <c r="P80" s="4" t="b">
        <v>0</v>
      </c>
      <c r="Q80" s="4" t="b">
        <v>0</v>
      </c>
    </row>
    <row r="81" spans="5:17" x14ac:dyDescent="0.2">
      <c r="E81" s="93"/>
      <c r="F81" s="79"/>
      <c r="P81" s="4" t="b">
        <v>0</v>
      </c>
      <c r="Q81" s="4" t="b">
        <v>0</v>
      </c>
    </row>
    <row r="82" spans="5:17" x14ac:dyDescent="0.2">
      <c r="E82" s="93"/>
      <c r="F82" s="79"/>
      <c r="P82" s="4" t="b">
        <v>0</v>
      </c>
      <c r="Q82" s="4" t="b">
        <v>0</v>
      </c>
    </row>
    <row r="83" spans="5:17" x14ac:dyDescent="0.2">
      <c r="E83" s="93"/>
      <c r="F83" s="79"/>
      <c r="P83" s="4" t="b">
        <v>0</v>
      </c>
      <c r="Q83" s="4" t="b">
        <v>0</v>
      </c>
    </row>
    <row r="84" spans="5:17" x14ac:dyDescent="0.2">
      <c r="E84" s="93"/>
      <c r="F84" s="79"/>
      <c r="P84" s="4" t="b">
        <v>0</v>
      </c>
      <c r="Q84" s="4" t="b">
        <v>0</v>
      </c>
    </row>
    <row r="85" spans="5:17" x14ac:dyDescent="0.2">
      <c r="E85" s="93"/>
      <c r="F85" s="79"/>
      <c r="P85" s="4" t="b">
        <v>0</v>
      </c>
      <c r="Q85" s="4" t="b">
        <v>0</v>
      </c>
    </row>
    <row r="86" spans="5:17" x14ac:dyDescent="0.2">
      <c r="E86" s="93"/>
      <c r="F86" s="79"/>
      <c r="P86" s="4" t="b">
        <v>0</v>
      </c>
      <c r="Q86" s="4" t="b">
        <v>0</v>
      </c>
    </row>
    <row r="87" spans="5:17" x14ac:dyDescent="0.2">
      <c r="E87" s="93"/>
      <c r="F87" s="79"/>
      <c r="P87" s="4" t="b">
        <v>0</v>
      </c>
      <c r="Q87" s="4" t="b">
        <v>0</v>
      </c>
    </row>
    <row r="88" spans="5:17" x14ac:dyDescent="0.2">
      <c r="E88" s="93"/>
      <c r="F88" s="79"/>
      <c r="P88" s="4" t="b">
        <v>0</v>
      </c>
      <c r="Q88" s="4" t="b">
        <v>0</v>
      </c>
    </row>
    <row r="89" spans="5:17" x14ac:dyDescent="0.2">
      <c r="E89" s="93"/>
      <c r="F89" s="79"/>
      <c r="P89" s="4" t="b">
        <v>0</v>
      </c>
      <c r="Q89" s="4" t="b">
        <v>0</v>
      </c>
    </row>
    <row r="90" spans="5:17" x14ac:dyDescent="0.2">
      <c r="E90" s="93"/>
      <c r="F90" s="79"/>
      <c r="P90" s="4" t="b">
        <v>0</v>
      </c>
      <c r="Q90" s="4" t="b">
        <v>0</v>
      </c>
    </row>
    <row r="91" spans="5:17" x14ac:dyDescent="0.2">
      <c r="E91" s="93"/>
      <c r="F91" s="79"/>
      <c r="P91" s="4" t="b">
        <v>0</v>
      </c>
      <c r="Q91" s="4" t="b">
        <v>0</v>
      </c>
    </row>
    <row r="92" spans="5:17" x14ac:dyDescent="0.2">
      <c r="E92" s="93"/>
      <c r="F92" s="79"/>
      <c r="P92" s="4" t="b">
        <v>0</v>
      </c>
      <c r="Q92" s="4" t="b">
        <v>0</v>
      </c>
    </row>
    <row r="93" spans="5:17" x14ac:dyDescent="0.2">
      <c r="E93" s="93"/>
      <c r="F93" s="79"/>
      <c r="P93" s="4" t="b">
        <v>0</v>
      </c>
      <c r="Q93" s="4" t="b">
        <v>0</v>
      </c>
    </row>
    <row r="94" spans="5:17" x14ac:dyDescent="0.2">
      <c r="E94" s="93"/>
      <c r="F94" s="79"/>
      <c r="P94" s="4" t="b">
        <v>0</v>
      </c>
      <c r="Q94" s="4" t="b">
        <v>0</v>
      </c>
    </row>
    <row r="95" spans="5:17" x14ac:dyDescent="0.2">
      <c r="E95" s="93"/>
      <c r="F95" s="79"/>
      <c r="P95" s="4" t="b">
        <v>0</v>
      </c>
      <c r="Q95" s="4" t="b">
        <v>0</v>
      </c>
    </row>
    <row r="96" spans="5:17" x14ac:dyDescent="0.2">
      <c r="E96" s="93"/>
      <c r="F96" s="79"/>
      <c r="P96" s="4" t="b">
        <v>0</v>
      </c>
      <c r="Q96" s="4" t="b">
        <v>0</v>
      </c>
    </row>
    <row r="97" spans="5:17" x14ac:dyDescent="0.2">
      <c r="E97" s="93"/>
      <c r="F97" s="79"/>
      <c r="P97" s="4" t="b">
        <v>0</v>
      </c>
      <c r="Q97" s="4" t="b">
        <v>0</v>
      </c>
    </row>
    <row r="98" spans="5:17" x14ac:dyDescent="0.2">
      <c r="E98" s="93"/>
      <c r="F98" s="79"/>
      <c r="P98" s="4" t="b">
        <v>0</v>
      </c>
      <c r="Q98" s="4" t="b">
        <v>0</v>
      </c>
    </row>
    <row r="99" spans="5:17" x14ac:dyDescent="0.2">
      <c r="E99" s="93"/>
      <c r="F99" s="79"/>
      <c r="P99" s="4" t="b">
        <v>0</v>
      </c>
      <c r="Q99" s="4" t="b">
        <v>0</v>
      </c>
    </row>
    <row r="100" spans="5:17" x14ac:dyDescent="0.2">
      <c r="E100" s="93"/>
      <c r="F100" s="79"/>
      <c r="P100" s="4" t="b">
        <v>0</v>
      </c>
      <c r="Q100" s="4" t="b">
        <v>0</v>
      </c>
    </row>
    <row r="101" spans="5:17" x14ac:dyDescent="0.2">
      <c r="E101" s="93"/>
      <c r="F101" s="79"/>
      <c r="P101" s="4" t="b">
        <v>0</v>
      </c>
      <c r="Q101" s="4" t="b">
        <v>0</v>
      </c>
    </row>
    <row r="102" spans="5:17" x14ac:dyDescent="0.2">
      <c r="E102" s="93"/>
      <c r="F102" s="79"/>
      <c r="P102" s="4" t="b">
        <v>0</v>
      </c>
      <c r="Q102" s="4" t="b">
        <v>0</v>
      </c>
    </row>
    <row r="103" spans="5:17" x14ac:dyDescent="0.2">
      <c r="E103" s="93"/>
      <c r="F103" s="79"/>
      <c r="P103" s="4" t="b">
        <v>0</v>
      </c>
      <c r="Q103" s="4" t="b">
        <v>0</v>
      </c>
    </row>
    <row r="104" spans="5:17" x14ac:dyDescent="0.2">
      <c r="E104" s="93"/>
      <c r="F104" s="79"/>
      <c r="P104" s="4" t="b">
        <v>0</v>
      </c>
      <c r="Q104" s="4" t="b">
        <v>0</v>
      </c>
    </row>
    <row r="105" spans="5:17" x14ac:dyDescent="0.2">
      <c r="E105" s="93"/>
      <c r="F105" s="79"/>
      <c r="P105" s="4" t="b">
        <v>0</v>
      </c>
      <c r="Q105" s="4" t="b">
        <v>0</v>
      </c>
    </row>
    <row r="106" spans="5:17" x14ac:dyDescent="0.2">
      <c r="E106" s="93"/>
      <c r="F106" s="79"/>
      <c r="P106" s="4" t="b">
        <v>0</v>
      </c>
      <c r="Q106" s="4" t="b">
        <v>0</v>
      </c>
    </row>
    <row r="107" spans="5:17" x14ac:dyDescent="0.2">
      <c r="E107" s="93"/>
      <c r="F107" s="79"/>
      <c r="P107" s="4" t="b">
        <v>0</v>
      </c>
      <c r="Q107" s="4" t="b">
        <v>0</v>
      </c>
    </row>
    <row r="108" spans="5:17" x14ac:dyDescent="0.2">
      <c r="E108" s="93"/>
      <c r="F108" s="79"/>
      <c r="P108" s="4" t="b">
        <v>0</v>
      </c>
      <c r="Q108" s="4" t="b">
        <v>0</v>
      </c>
    </row>
    <row r="109" spans="5:17" x14ac:dyDescent="0.2">
      <c r="E109" s="93"/>
      <c r="F109" s="79"/>
      <c r="P109" s="4" t="b">
        <v>0</v>
      </c>
      <c r="Q109" s="4" t="b">
        <v>0</v>
      </c>
    </row>
    <row r="110" spans="5:17" x14ac:dyDescent="0.2">
      <c r="E110" s="93"/>
      <c r="F110" s="79"/>
      <c r="P110" s="4" t="b">
        <v>0</v>
      </c>
      <c r="Q110" s="4" t="b">
        <v>0</v>
      </c>
    </row>
    <row r="111" spans="5:17" x14ac:dyDescent="0.2">
      <c r="E111" s="93"/>
      <c r="F111" s="79"/>
      <c r="P111" s="4" t="b">
        <v>0</v>
      </c>
      <c r="Q111" s="4" t="b">
        <v>0</v>
      </c>
    </row>
    <row r="112" spans="5:17" x14ac:dyDescent="0.2">
      <c r="E112" s="93"/>
      <c r="F112" s="79"/>
      <c r="P112" s="4" t="b">
        <v>0</v>
      </c>
      <c r="Q112" s="4" t="b">
        <v>0</v>
      </c>
    </row>
    <row r="113" spans="5:17" x14ac:dyDescent="0.2">
      <c r="E113" s="93"/>
      <c r="F113" s="79"/>
      <c r="P113" s="4" t="b">
        <v>0</v>
      </c>
      <c r="Q113" s="4" t="b">
        <v>0</v>
      </c>
    </row>
    <row r="114" spans="5:17" x14ac:dyDescent="0.2">
      <c r="E114" s="93"/>
      <c r="F114" s="79"/>
      <c r="P114" s="4" t="b">
        <v>0</v>
      </c>
      <c r="Q114" s="4" t="b">
        <v>0</v>
      </c>
    </row>
    <row r="115" spans="5:17" x14ac:dyDescent="0.2">
      <c r="E115" s="93"/>
      <c r="F115" s="79"/>
      <c r="P115" s="4" t="b">
        <v>0</v>
      </c>
      <c r="Q115" s="4" t="b">
        <v>0</v>
      </c>
    </row>
    <row r="116" spans="5:17" x14ac:dyDescent="0.2">
      <c r="E116" s="93"/>
      <c r="F116" s="79"/>
      <c r="P116" s="4" t="b">
        <v>0</v>
      </c>
      <c r="Q116" s="4" t="b">
        <v>0</v>
      </c>
    </row>
    <row r="117" spans="5:17" x14ac:dyDescent="0.2">
      <c r="E117" s="93"/>
      <c r="F117" s="79"/>
      <c r="P117" s="4" t="b">
        <v>0</v>
      </c>
      <c r="Q117" s="4" t="b">
        <v>0</v>
      </c>
    </row>
    <row r="118" spans="5:17" x14ac:dyDescent="0.2">
      <c r="E118" s="93"/>
      <c r="F118" s="79"/>
      <c r="P118" s="4" t="b">
        <v>0</v>
      </c>
      <c r="Q118" s="4" t="b">
        <v>0</v>
      </c>
    </row>
    <row r="119" spans="5:17" x14ac:dyDescent="0.2">
      <c r="E119" s="93"/>
      <c r="F119" s="79"/>
      <c r="P119" s="4" t="b">
        <v>0</v>
      </c>
      <c r="Q119" s="4" t="b">
        <v>0</v>
      </c>
    </row>
    <row r="120" spans="5:17" x14ac:dyDescent="0.2">
      <c r="E120" s="93"/>
      <c r="F120" s="79"/>
      <c r="P120" s="4" t="b">
        <v>0</v>
      </c>
      <c r="Q120" s="4" t="b">
        <v>0</v>
      </c>
    </row>
    <row r="121" spans="5:17" x14ac:dyDescent="0.2">
      <c r="E121" s="93"/>
      <c r="F121" s="79"/>
      <c r="P121" s="4" t="b">
        <v>0</v>
      </c>
      <c r="Q121" s="4" t="b">
        <v>0</v>
      </c>
    </row>
    <row r="122" spans="5:17" x14ac:dyDescent="0.2">
      <c r="E122" s="93"/>
      <c r="F122" s="79"/>
      <c r="P122" s="4" t="b">
        <v>0</v>
      </c>
      <c r="Q122" s="4" t="b">
        <v>0</v>
      </c>
    </row>
    <row r="123" spans="5:17" x14ac:dyDescent="0.2">
      <c r="E123" s="93"/>
      <c r="F123" s="79"/>
      <c r="P123" s="4" t="b">
        <v>0</v>
      </c>
      <c r="Q123" s="4" t="b">
        <v>0</v>
      </c>
    </row>
    <row r="124" spans="5:17" x14ac:dyDescent="0.2">
      <c r="E124" s="93"/>
      <c r="F124" s="79"/>
      <c r="P124" s="4" t="b">
        <v>0</v>
      </c>
      <c r="Q124" s="4" t="b">
        <v>0</v>
      </c>
    </row>
    <row r="125" spans="5:17" x14ac:dyDescent="0.2">
      <c r="E125" s="93"/>
      <c r="F125" s="79"/>
      <c r="P125" s="4" t="b">
        <v>0</v>
      </c>
      <c r="Q125" s="4" t="b">
        <v>0</v>
      </c>
    </row>
    <row r="126" spans="5:17" x14ac:dyDescent="0.2">
      <c r="E126" s="93"/>
      <c r="F126" s="79"/>
      <c r="P126" s="4" t="b">
        <v>0</v>
      </c>
      <c r="Q126" s="4" t="b">
        <v>0</v>
      </c>
    </row>
    <row r="127" spans="5:17" x14ac:dyDescent="0.2">
      <c r="E127" s="93"/>
      <c r="F127" s="79"/>
      <c r="P127" s="4" t="b">
        <v>0</v>
      </c>
      <c r="Q127" s="4" t="b">
        <v>0</v>
      </c>
    </row>
    <row r="128" spans="5:17" x14ac:dyDescent="0.2">
      <c r="E128" s="93"/>
      <c r="F128" s="79"/>
      <c r="P128" s="4" t="b">
        <v>0</v>
      </c>
      <c r="Q128" s="4" t="b">
        <v>0</v>
      </c>
    </row>
    <row r="129" spans="5:17" x14ac:dyDescent="0.2">
      <c r="E129" s="93"/>
      <c r="F129" s="79"/>
      <c r="P129" s="4" t="b">
        <v>0</v>
      </c>
      <c r="Q129" s="4" t="b">
        <v>0</v>
      </c>
    </row>
    <row r="130" spans="5:17" x14ac:dyDescent="0.2">
      <c r="E130" s="93"/>
      <c r="F130" s="79"/>
      <c r="P130" s="4" t="b">
        <v>0</v>
      </c>
      <c r="Q130" s="4" t="b">
        <v>0</v>
      </c>
    </row>
    <row r="131" spans="5:17" x14ac:dyDescent="0.2">
      <c r="E131" s="93"/>
      <c r="F131" s="79"/>
      <c r="P131" s="4" t="b">
        <v>0</v>
      </c>
      <c r="Q131" s="4" t="b">
        <v>0</v>
      </c>
    </row>
    <row r="132" spans="5:17" x14ac:dyDescent="0.2">
      <c r="E132" s="93"/>
      <c r="F132" s="79"/>
      <c r="P132" s="4" t="b">
        <v>0</v>
      </c>
      <c r="Q132" s="4" t="b">
        <v>0</v>
      </c>
    </row>
    <row r="133" spans="5:17" x14ac:dyDescent="0.2">
      <c r="E133" s="93"/>
      <c r="F133" s="79"/>
      <c r="P133" s="4" t="b">
        <v>0</v>
      </c>
      <c r="Q133" s="4" t="b">
        <v>0</v>
      </c>
    </row>
    <row r="134" spans="5:17" x14ac:dyDescent="0.2">
      <c r="E134" s="93"/>
      <c r="F134" s="79"/>
      <c r="P134" s="4" t="b">
        <v>0</v>
      </c>
      <c r="Q134" s="4" t="b">
        <v>0</v>
      </c>
    </row>
    <row r="135" spans="5:17" x14ac:dyDescent="0.2">
      <c r="E135" s="93"/>
      <c r="F135" s="79"/>
      <c r="P135" s="4" t="b">
        <v>0</v>
      </c>
      <c r="Q135" s="4" t="b">
        <v>0</v>
      </c>
    </row>
    <row r="136" spans="5:17" x14ac:dyDescent="0.2">
      <c r="E136" s="93"/>
      <c r="F136" s="79"/>
      <c r="P136" s="4" t="b">
        <v>0</v>
      </c>
      <c r="Q136" s="4" t="b">
        <v>0</v>
      </c>
    </row>
    <row r="137" spans="5:17" x14ac:dyDescent="0.2">
      <c r="E137" s="93"/>
      <c r="F137" s="79"/>
      <c r="P137" s="4" t="b">
        <v>0</v>
      </c>
      <c r="Q137" s="4" t="b">
        <v>0</v>
      </c>
    </row>
    <row r="138" spans="5:17" x14ac:dyDescent="0.2">
      <c r="E138" s="93"/>
      <c r="F138" s="79"/>
      <c r="P138" s="4" t="b">
        <v>0</v>
      </c>
      <c r="Q138" s="4" t="b">
        <v>0</v>
      </c>
    </row>
    <row r="139" spans="5:17" x14ac:dyDescent="0.2">
      <c r="E139" s="93"/>
      <c r="F139" s="79"/>
      <c r="P139" s="4" t="b">
        <v>0</v>
      </c>
      <c r="Q139" s="4" t="b">
        <v>0</v>
      </c>
    </row>
    <row r="140" spans="5:17" x14ac:dyDescent="0.2">
      <c r="E140" s="93"/>
      <c r="F140" s="79"/>
      <c r="P140" s="4" t="b">
        <v>0</v>
      </c>
      <c r="Q140" s="4" t="b">
        <v>0</v>
      </c>
    </row>
    <row r="141" spans="5:17" x14ac:dyDescent="0.2">
      <c r="E141" s="93"/>
      <c r="F141" s="79"/>
      <c r="P141" s="4" t="b">
        <v>0</v>
      </c>
      <c r="Q141" s="4" t="b">
        <v>0</v>
      </c>
    </row>
    <row r="142" spans="5:17" x14ac:dyDescent="0.2">
      <c r="E142" s="93"/>
      <c r="F142" s="79"/>
      <c r="P142" s="4" t="b">
        <v>0</v>
      </c>
      <c r="Q142" s="4" t="b">
        <v>0</v>
      </c>
    </row>
    <row r="143" spans="5:17" x14ac:dyDescent="0.2">
      <c r="E143" s="93"/>
      <c r="F143" s="79"/>
      <c r="P143" s="4" t="b">
        <v>0</v>
      </c>
      <c r="Q143" s="4" t="b">
        <v>0</v>
      </c>
    </row>
    <row r="144" spans="5:17" x14ac:dyDescent="0.2">
      <c r="E144" s="93"/>
      <c r="F144" s="79"/>
      <c r="P144" s="4" t="b">
        <v>0</v>
      </c>
      <c r="Q144" s="4" t="b">
        <v>0</v>
      </c>
    </row>
    <row r="145" spans="5:17" x14ac:dyDescent="0.2">
      <c r="E145" s="93"/>
      <c r="F145" s="79"/>
      <c r="P145" s="4" t="b">
        <v>0</v>
      </c>
      <c r="Q145" s="4" t="b">
        <v>0</v>
      </c>
    </row>
    <row r="146" spans="5:17" x14ac:dyDescent="0.2">
      <c r="E146" s="93"/>
      <c r="F146" s="79"/>
      <c r="P146" s="4" t="b">
        <v>0</v>
      </c>
      <c r="Q146" s="4" t="b">
        <v>0</v>
      </c>
    </row>
    <row r="147" spans="5:17" x14ac:dyDescent="0.2">
      <c r="E147" s="93"/>
      <c r="F147" s="79"/>
      <c r="P147" s="4" t="b">
        <v>0</v>
      </c>
      <c r="Q147" s="4" t="b">
        <v>0</v>
      </c>
    </row>
    <row r="148" spans="5:17" x14ac:dyDescent="0.2">
      <c r="E148" s="93"/>
      <c r="F148" s="79"/>
      <c r="P148" s="4" t="b">
        <v>0</v>
      </c>
      <c r="Q148" s="4" t="b">
        <v>0</v>
      </c>
    </row>
    <row r="149" spans="5:17" x14ac:dyDescent="0.2">
      <c r="E149" s="93"/>
      <c r="F149" s="79"/>
      <c r="P149" s="4" t="b">
        <v>0</v>
      </c>
      <c r="Q149" s="4" t="b">
        <v>0</v>
      </c>
    </row>
    <row r="150" spans="5:17" x14ac:dyDescent="0.2">
      <c r="E150" s="93"/>
      <c r="F150" s="79"/>
      <c r="P150" s="4" t="b">
        <v>0</v>
      </c>
      <c r="Q150" s="4" t="b">
        <v>0</v>
      </c>
    </row>
    <row r="151" spans="5:17" x14ac:dyDescent="0.2">
      <c r="E151" s="93"/>
      <c r="F151" s="79"/>
      <c r="P151" s="4" t="b">
        <v>0</v>
      </c>
      <c r="Q151" s="4" t="b">
        <v>0</v>
      </c>
    </row>
    <row r="152" spans="5:17" x14ac:dyDescent="0.2">
      <c r="E152" s="93"/>
      <c r="F152" s="79"/>
      <c r="P152" s="4" t="b">
        <v>0</v>
      </c>
      <c r="Q152" s="4" t="b">
        <v>0</v>
      </c>
    </row>
    <row r="153" spans="5:17" x14ac:dyDescent="0.2">
      <c r="E153" s="93"/>
      <c r="F153" s="79"/>
      <c r="P153" s="4" t="b">
        <v>0</v>
      </c>
      <c r="Q153" s="4" t="b">
        <v>0</v>
      </c>
    </row>
    <row r="154" spans="5:17" x14ac:dyDescent="0.2">
      <c r="E154" s="93"/>
      <c r="F154" s="79"/>
      <c r="P154" s="4" t="b">
        <v>0</v>
      </c>
      <c r="Q154" s="4" t="b">
        <v>0</v>
      </c>
    </row>
    <row r="155" spans="5:17" x14ac:dyDescent="0.2">
      <c r="E155" s="93"/>
      <c r="F155" s="79"/>
      <c r="P155" s="4" t="b">
        <v>0</v>
      </c>
      <c r="Q155" s="4" t="b">
        <v>0</v>
      </c>
    </row>
    <row r="156" spans="5:17" x14ac:dyDescent="0.2">
      <c r="E156" s="93"/>
      <c r="F156" s="79"/>
      <c r="P156" s="4" t="b">
        <v>0</v>
      </c>
      <c r="Q156" s="4" t="b">
        <v>0</v>
      </c>
    </row>
    <row r="157" spans="5:17" x14ac:dyDescent="0.2">
      <c r="E157" s="93"/>
      <c r="F157" s="79"/>
      <c r="P157" s="4" t="b">
        <v>0</v>
      </c>
      <c r="Q157" s="4" t="b">
        <v>0</v>
      </c>
    </row>
    <row r="158" spans="5:17" x14ac:dyDescent="0.2">
      <c r="E158" s="93"/>
      <c r="F158" s="79"/>
      <c r="P158" s="4" t="b">
        <v>0</v>
      </c>
      <c r="Q158" s="4" t="b">
        <v>0</v>
      </c>
    </row>
    <row r="159" spans="5:17" x14ac:dyDescent="0.2">
      <c r="E159" s="93"/>
      <c r="F159" s="79"/>
      <c r="P159" s="4" t="b">
        <v>0</v>
      </c>
      <c r="Q159" s="4" t="b">
        <v>0</v>
      </c>
    </row>
    <row r="160" spans="5:17" x14ac:dyDescent="0.2">
      <c r="E160" s="93"/>
      <c r="F160" s="79"/>
      <c r="P160" s="4" t="b">
        <v>0</v>
      </c>
      <c r="Q160" s="4" t="b">
        <v>0</v>
      </c>
    </row>
    <row r="161" spans="5:17" x14ac:dyDescent="0.2">
      <c r="E161" s="93"/>
      <c r="F161" s="79"/>
      <c r="P161" s="4" t="b">
        <v>0</v>
      </c>
      <c r="Q161" s="4" t="b">
        <v>0</v>
      </c>
    </row>
    <row r="162" spans="5:17" x14ac:dyDescent="0.2">
      <c r="E162" s="93"/>
      <c r="F162" s="79"/>
      <c r="P162" s="4" t="b">
        <v>0</v>
      </c>
      <c r="Q162" s="4" t="b">
        <v>0</v>
      </c>
    </row>
    <row r="163" spans="5:17" x14ac:dyDescent="0.2">
      <c r="E163" s="93"/>
      <c r="F163" s="79"/>
      <c r="P163" s="4" t="b">
        <v>0</v>
      </c>
      <c r="Q163" s="4" t="b">
        <v>0</v>
      </c>
    </row>
    <row r="164" spans="5:17" x14ac:dyDescent="0.2">
      <c r="E164" s="93"/>
      <c r="F164" s="79"/>
      <c r="P164" s="4" t="b">
        <v>0</v>
      </c>
      <c r="Q164" s="4" t="b">
        <v>0</v>
      </c>
    </row>
    <row r="165" spans="5:17" x14ac:dyDescent="0.2">
      <c r="E165" s="93"/>
      <c r="F165" s="79"/>
      <c r="P165" s="4" t="b">
        <v>0</v>
      </c>
      <c r="Q165" s="4" t="b">
        <v>0</v>
      </c>
    </row>
    <row r="166" spans="5:17" x14ac:dyDescent="0.2">
      <c r="E166" s="93"/>
      <c r="F166" s="79"/>
      <c r="P166" s="4" t="b">
        <v>0</v>
      </c>
      <c r="Q166" s="4" t="b">
        <v>0</v>
      </c>
    </row>
    <row r="167" spans="5:17" x14ac:dyDescent="0.2">
      <c r="E167" s="93"/>
      <c r="F167" s="79"/>
      <c r="P167" s="4" t="b">
        <v>0</v>
      </c>
      <c r="Q167" s="4" t="b">
        <v>0</v>
      </c>
    </row>
    <row r="168" spans="5:17" x14ac:dyDescent="0.2">
      <c r="E168" s="93"/>
      <c r="F168" s="79"/>
      <c r="P168" s="4" t="b">
        <v>0</v>
      </c>
      <c r="Q168" s="4" t="b">
        <v>0</v>
      </c>
    </row>
    <row r="169" spans="5:17" x14ac:dyDescent="0.2">
      <c r="E169" s="93"/>
      <c r="F169" s="79"/>
      <c r="P169" s="4" t="b">
        <v>0</v>
      </c>
      <c r="Q169" s="4" t="b">
        <v>0</v>
      </c>
    </row>
    <row r="170" spans="5:17" x14ac:dyDescent="0.2">
      <c r="E170" s="93"/>
      <c r="F170" s="79"/>
      <c r="P170" s="4" t="b">
        <v>0</v>
      </c>
      <c r="Q170" s="4" t="b">
        <v>0</v>
      </c>
    </row>
    <row r="171" spans="5:17" x14ac:dyDescent="0.2">
      <c r="E171" s="93"/>
      <c r="F171" s="79"/>
      <c r="P171" s="4" t="b">
        <v>0</v>
      </c>
      <c r="Q171" s="4" t="b">
        <v>0</v>
      </c>
    </row>
    <row r="172" spans="5:17" x14ac:dyDescent="0.2">
      <c r="E172" s="93"/>
      <c r="F172" s="79"/>
      <c r="P172" s="4" t="b">
        <v>0</v>
      </c>
      <c r="Q172" s="4" t="b">
        <v>0</v>
      </c>
    </row>
    <row r="173" spans="5:17" x14ac:dyDescent="0.2">
      <c r="E173" s="93"/>
      <c r="F173" s="79"/>
      <c r="P173" s="4" t="b">
        <v>0</v>
      </c>
      <c r="Q173" s="4" t="b">
        <v>0</v>
      </c>
    </row>
    <row r="174" spans="5:17" x14ac:dyDescent="0.2">
      <c r="E174" s="93"/>
      <c r="F174" s="79"/>
      <c r="P174" s="4" t="b">
        <v>0</v>
      </c>
      <c r="Q174" s="4" t="b">
        <v>0</v>
      </c>
    </row>
    <row r="175" spans="5:17" x14ac:dyDescent="0.2">
      <c r="E175" s="93"/>
      <c r="F175" s="79"/>
      <c r="P175" s="4" t="b">
        <v>0</v>
      </c>
      <c r="Q175" s="4" t="b">
        <v>0</v>
      </c>
    </row>
    <row r="176" spans="5:17" x14ac:dyDescent="0.2">
      <c r="E176" s="93"/>
      <c r="F176" s="79"/>
      <c r="P176" s="4" t="b">
        <v>0</v>
      </c>
      <c r="Q176" s="4" t="b">
        <v>0</v>
      </c>
    </row>
    <row r="177" spans="5:17" x14ac:dyDescent="0.2">
      <c r="E177" s="93"/>
      <c r="F177" s="79"/>
      <c r="P177" s="4" t="b">
        <v>0</v>
      </c>
      <c r="Q177" s="4" t="b">
        <v>0</v>
      </c>
    </row>
    <row r="178" spans="5:17" x14ac:dyDescent="0.2">
      <c r="E178" s="93"/>
      <c r="F178" s="79"/>
      <c r="P178" s="4" t="b">
        <v>0</v>
      </c>
      <c r="Q178" s="4" t="b">
        <v>0</v>
      </c>
    </row>
    <row r="179" spans="5:17" x14ac:dyDescent="0.2">
      <c r="E179" s="93"/>
      <c r="F179" s="79"/>
      <c r="P179" s="4" t="b">
        <v>0</v>
      </c>
      <c r="Q179" s="4" t="b">
        <v>0</v>
      </c>
    </row>
    <row r="180" spans="5:17" x14ac:dyDescent="0.2">
      <c r="E180" s="93"/>
      <c r="F180" s="79"/>
      <c r="P180" s="4" t="b">
        <v>0</v>
      </c>
      <c r="Q180" s="4" t="b">
        <v>0</v>
      </c>
    </row>
    <row r="181" spans="5:17" x14ac:dyDescent="0.2">
      <c r="E181" s="93"/>
      <c r="F181" s="79"/>
      <c r="P181" s="4" t="b">
        <v>0</v>
      </c>
      <c r="Q181" s="4" t="b">
        <v>0</v>
      </c>
    </row>
    <row r="182" spans="5:17" x14ac:dyDescent="0.2">
      <c r="E182" s="93"/>
      <c r="F182" s="79"/>
      <c r="P182" s="4" t="b">
        <v>0</v>
      </c>
      <c r="Q182" s="4" t="b">
        <v>0</v>
      </c>
    </row>
    <row r="183" spans="5:17" x14ac:dyDescent="0.2">
      <c r="E183" s="93"/>
      <c r="F183" s="79"/>
      <c r="P183" s="4" t="b">
        <v>0</v>
      </c>
      <c r="Q183" s="4" t="b">
        <v>0</v>
      </c>
    </row>
    <row r="184" spans="5:17" x14ac:dyDescent="0.2">
      <c r="E184" s="93"/>
      <c r="F184" s="79"/>
      <c r="P184" s="4" t="b">
        <v>0</v>
      </c>
      <c r="Q184" s="4" t="b">
        <v>0</v>
      </c>
    </row>
    <row r="185" spans="5:17" x14ac:dyDescent="0.2">
      <c r="E185" s="93"/>
      <c r="F185" s="79"/>
      <c r="P185" s="4" t="b">
        <v>0</v>
      </c>
      <c r="Q185" s="4" t="b">
        <v>0</v>
      </c>
    </row>
    <row r="186" spans="5:17" x14ac:dyDescent="0.2">
      <c r="E186" s="93"/>
      <c r="F186" s="79"/>
      <c r="P186" s="4" t="b">
        <v>0</v>
      </c>
      <c r="Q186" s="4" t="b">
        <v>0</v>
      </c>
    </row>
    <row r="187" spans="5:17" x14ac:dyDescent="0.2">
      <c r="E187" s="93"/>
      <c r="F187" s="79"/>
      <c r="P187" s="4" t="b">
        <v>0</v>
      </c>
      <c r="Q187" s="4" t="b">
        <v>0</v>
      </c>
    </row>
    <row r="188" spans="5:17" x14ac:dyDescent="0.2">
      <c r="E188" s="93"/>
      <c r="F188" s="79"/>
      <c r="P188" s="4" t="b">
        <v>0</v>
      </c>
      <c r="Q188" s="4" t="b">
        <v>0</v>
      </c>
    </row>
    <row r="189" spans="5:17" x14ac:dyDescent="0.2">
      <c r="E189" s="93"/>
      <c r="F189" s="79"/>
      <c r="P189" s="4" t="b">
        <v>0</v>
      </c>
      <c r="Q189" s="4" t="b">
        <v>0</v>
      </c>
    </row>
    <row r="190" spans="5:17" x14ac:dyDescent="0.2">
      <c r="E190" s="93"/>
      <c r="F190" s="79"/>
      <c r="P190" s="4" t="b">
        <v>0</v>
      </c>
      <c r="Q190" s="4" t="b">
        <v>0</v>
      </c>
    </row>
    <row r="191" spans="5:17" x14ac:dyDescent="0.2">
      <c r="E191" s="93"/>
      <c r="F191" s="79"/>
      <c r="P191" s="4" t="b">
        <v>0</v>
      </c>
      <c r="Q191" s="4" t="b">
        <v>0</v>
      </c>
    </row>
    <row r="192" spans="5:17" x14ac:dyDescent="0.2">
      <c r="E192" s="93"/>
      <c r="F192" s="79"/>
      <c r="P192" s="4" t="b">
        <v>0</v>
      </c>
      <c r="Q192" s="4" t="b">
        <v>0</v>
      </c>
    </row>
    <row r="193" spans="5:17" x14ac:dyDescent="0.2">
      <c r="E193" s="93"/>
      <c r="F193" s="79"/>
      <c r="P193" s="4" t="b">
        <v>0</v>
      </c>
      <c r="Q193" s="4" t="b">
        <v>0</v>
      </c>
    </row>
    <row r="194" spans="5:17" x14ac:dyDescent="0.2">
      <c r="E194" s="93"/>
      <c r="F194" s="79"/>
      <c r="P194" s="4" t="b">
        <v>0</v>
      </c>
      <c r="Q194" s="4" t="b">
        <v>0</v>
      </c>
    </row>
    <row r="195" spans="5:17" x14ac:dyDescent="0.2">
      <c r="E195" s="93"/>
      <c r="F195" s="79"/>
      <c r="P195" s="4" t="b">
        <v>0</v>
      </c>
      <c r="Q195" s="4" t="b">
        <v>0</v>
      </c>
    </row>
    <row r="196" spans="5:17" x14ac:dyDescent="0.2">
      <c r="E196" s="93"/>
      <c r="F196" s="79"/>
      <c r="P196" s="4" t="b">
        <v>0</v>
      </c>
      <c r="Q196" s="4" t="b">
        <v>0</v>
      </c>
    </row>
    <row r="197" spans="5:17" x14ac:dyDescent="0.2">
      <c r="E197" s="93"/>
      <c r="F197" s="79"/>
      <c r="P197" s="4" t="b">
        <v>0</v>
      </c>
      <c r="Q197" s="4" t="b">
        <v>0</v>
      </c>
    </row>
    <row r="198" spans="5:17" x14ac:dyDescent="0.2">
      <c r="E198" s="93"/>
      <c r="F198" s="79"/>
      <c r="P198" s="4" t="b">
        <v>0</v>
      </c>
      <c r="Q198" s="4" t="b">
        <v>0</v>
      </c>
    </row>
    <row r="199" spans="5:17" x14ac:dyDescent="0.2">
      <c r="E199" s="93"/>
      <c r="F199" s="79"/>
      <c r="P199" s="4" t="b">
        <v>0</v>
      </c>
      <c r="Q199" s="4" t="b">
        <v>0</v>
      </c>
    </row>
    <row r="200" spans="5:17" x14ac:dyDescent="0.2">
      <c r="E200" s="93"/>
      <c r="F200" s="79"/>
      <c r="P200" s="4" t="b">
        <v>0</v>
      </c>
      <c r="Q200" s="4" t="b">
        <v>0</v>
      </c>
    </row>
    <row r="201" spans="5:17" x14ac:dyDescent="0.2">
      <c r="E201" s="93"/>
      <c r="F201" s="79"/>
      <c r="P201" s="4" t="b">
        <v>0</v>
      </c>
      <c r="Q201" s="4" t="b">
        <v>0</v>
      </c>
    </row>
    <row r="202" spans="5:17" x14ac:dyDescent="0.2">
      <c r="E202" s="93"/>
      <c r="F202" s="79"/>
      <c r="P202" s="4" t="b">
        <v>0</v>
      </c>
      <c r="Q202" s="4" t="b">
        <v>0</v>
      </c>
    </row>
    <row r="203" spans="5:17" x14ac:dyDescent="0.2">
      <c r="E203" s="93"/>
      <c r="F203" s="79"/>
      <c r="P203" s="4" t="b">
        <v>0</v>
      </c>
      <c r="Q203" s="4" t="b">
        <v>0</v>
      </c>
    </row>
    <row r="204" spans="5:17" x14ac:dyDescent="0.2">
      <c r="E204" s="93"/>
      <c r="F204" s="79"/>
      <c r="P204" s="4" t="b">
        <v>0</v>
      </c>
      <c r="Q204" s="4" t="b">
        <v>0</v>
      </c>
    </row>
    <row r="205" spans="5:17" x14ac:dyDescent="0.2">
      <c r="E205" s="93"/>
      <c r="F205" s="79"/>
      <c r="P205" s="4" t="b">
        <v>0</v>
      </c>
      <c r="Q205" s="4" t="b">
        <v>0</v>
      </c>
    </row>
    <row r="206" spans="5:17" x14ac:dyDescent="0.2">
      <c r="E206" s="93"/>
      <c r="F206" s="79"/>
      <c r="P206" s="4" t="b">
        <v>0</v>
      </c>
      <c r="Q206" s="4" t="b">
        <v>0</v>
      </c>
    </row>
    <row r="207" spans="5:17" x14ac:dyDescent="0.2">
      <c r="E207" s="93"/>
      <c r="F207" s="79"/>
      <c r="P207" s="4" t="b">
        <v>0</v>
      </c>
      <c r="Q207" s="4" t="b">
        <v>0</v>
      </c>
    </row>
    <row r="208" spans="5:17" x14ac:dyDescent="0.2">
      <c r="E208" s="93"/>
      <c r="F208" s="79"/>
      <c r="P208" s="4" t="b">
        <v>0</v>
      </c>
      <c r="Q208" s="4" t="b">
        <v>0</v>
      </c>
    </row>
    <row r="209" spans="5:17" x14ac:dyDescent="0.2">
      <c r="E209" s="93"/>
      <c r="F209" s="79"/>
      <c r="P209" s="4" t="b">
        <v>0</v>
      </c>
      <c r="Q209" s="4" t="b">
        <v>0</v>
      </c>
    </row>
    <row r="210" spans="5:17" x14ac:dyDescent="0.2">
      <c r="E210" s="93"/>
      <c r="F210" s="79"/>
      <c r="P210" s="4" t="b">
        <v>0</v>
      </c>
      <c r="Q210" s="4" t="b">
        <v>0</v>
      </c>
    </row>
    <row r="211" spans="5:17" x14ac:dyDescent="0.2">
      <c r="E211" s="93"/>
      <c r="F211" s="79"/>
      <c r="P211" s="4" t="b">
        <v>0</v>
      </c>
      <c r="Q211" s="4" t="b">
        <v>0</v>
      </c>
    </row>
    <row r="212" spans="5:17" x14ac:dyDescent="0.2">
      <c r="E212" s="93"/>
      <c r="F212" s="79"/>
      <c r="P212" s="4" t="b">
        <v>0</v>
      </c>
      <c r="Q212" s="4" t="b">
        <v>0</v>
      </c>
    </row>
    <row r="213" spans="5:17" x14ac:dyDescent="0.2">
      <c r="E213" s="93"/>
      <c r="F213" s="79"/>
      <c r="P213" s="4" t="b">
        <v>0</v>
      </c>
      <c r="Q213" s="4" t="b">
        <v>0</v>
      </c>
    </row>
    <row r="214" spans="5:17" x14ac:dyDescent="0.2">
      <c r="E214" s="93"/>
      <c r="F214" s="79"/>
      <c r="P214" s="4" t="b">
        <v>0</v>
      </c>
      <c r="Q214" s="4" t="b">
        <v>0</v>
      </c>
    </row>
    <row r="215" spans="5:17" x14ac:dyDescent="0.2">
      <c r="E215" s="93"/>
      <c r="F215" s="79"/>
      <c r="P215" s="4" t="b">
        <v>0</v>
      </c>
      <c r="Q215" s="4" t="b">
        <v>0</v>
      </c>
    </row>
    <row r="216" spans="5:17" x14ac:dyDescent="0.2">
      <c r="E216" s="93"/>
      <c r="F216" s="79"/>
      <c r="P216" s="4" t="b">
        <v>0</v>
      </c>
      <c r="Q216" s="4" t="b">
        <v>0</v>
      </c>
    </row>
    <row r="217" spans="5:17" x14ac:dyDescent="0.2">
      <c r="E217" s="93"/>
      <c r="F217" s="79"/>
      <c r="P217" s="4" t="b">
        <v>0</v>
      </c>
      <c r="Q217" s="4" t="b">
        <v>0</v>
      </c>
    </row>
    <row r="218" spans="5:17" x14ac:dyDescent="0.2">
      <c r="E218" s="93"/>
      <c r="F218" s="79"/>
      <c r="P218" s="4" t="b">
        <v>0</v>
      </c>
      <c r="Q218" s="4" t="b">
        <v>0</v>
      </c>
    </row>
    <row r="219" spans="5:17" x14ac:dyDescent="0.2">
      <c r="E219" s="93"/>
      <c r="F219" s="79"/>
      <c r="P219" s="4" t="b">
        <v>0</v>
      </c>
      <c r="Q219" s="4" t="b">
        <v>0</v>
      </c>
    </row>
    <row r="220" spans="5:17" x14ac:dyDescent="0.2">
      <c r="E220" s="93"/>
      <c r="F220" s="79"/>
      <c r="P220" s="4" t="b">
        <v>0</v>
      </c>
      <c r="Q220" s="4" t="b">
        <v>0</v>
      </c>
    </row>
    <row r="221" spans="5:17" x14ac:dyDescent="0.2">
      <c r="E221" s="93"/>
      <c r="F221" s="79"/>
      <c r="P221" s="4" t="b">
        <v>0</v>
      </c>
      <c r="Q221" s="4" t="b">
        <v>0</v>
      </c>
    </row>
    <row r="222" spans="5:17" x14ac:dyDescent="0.2">
      <c r="E222" s="93"/>
      <c r="F222" s="79"/>
      <c r="P222" s="4" t="b">
        <v>0</v>
      </c>
      <c r="Q222" s="4" t="b">
        <v>0</v>
      </c>
    </row>
    <row r="223" spans="5:17" x14ac:dyDescent="0.2">
      <c r="E223" s="93"/>
      <c r="F223" s="79"/>
      <c r="P223" s="4" t="b">
        <v>0</v>
      </c>
      <c r="Q223" s="4" t="b">
        <v>0</v>
      </c>
    </row>
    <row r="224" spans="5:17" x14ac:dyDescent="0.2">
      <c r="E224" s="93"/>
      <c r="F224" s="79"/>
      <c r="P224" s="4" t="b">
        <v>0</v>
      </c>
      <c r="Q224" s="4" t="b">
        <v>0</v>
      </c>
    </row>
    <row r="225" spans="5:17" x14ac:dyDescent="0.2">
      <c r="E225" s="93"/>
      <c r="F225" s="79"/>
      <c r="P225" s="4" t="b">
        <v>0</v>
      </c>
      <c r="Q225" s="4" t="b">
        <v>0</v>
      </c>
    </row>
    <row r="226" spans="5:17" x14ac:dyDescent="0.2">
      <c r="E226" s="93"/>
      <c r="F226" s="79"/>
      <c r="P226" s="4" t="b">
        <v>0</v>
      </c>
      <c r="Q226" s="4" t="b">
        <v>0</v>
      </c>
    </row>
    <row r="227" spans="5:17" x14ac:dyDescent="0.2">
      <c r="E227" s="93"/>
      <c r="F227" s="79"/>
      <c r="P227" s="4" t="b">
        <v>0</v>
      </c>
      <c r="Q227" s="4" t="b">
        <v>0</v>
      </c>
    </row>
    <row r="228" spans="5:17" x14ac:dyDescent="0.2">
      <c r="E228" s="93"/>
      <c r="F228" s="79"/>
      <c r="P228" s="4" t="b">
        <v>0</v>
      </c>
      <c r="Q228" s="4" t="b">
        <v>0</v>
      </c>
    </row>
    <row r="229" spans="5:17" x14ac:dyDescent="0.2">
      <c r="E229" s="93"/>
      <c r="F229" s="79"/>
      <c r="P229" s="4" t="b">
        <v>0</v>
      </c>
      <c r="Q229" s="4" t="b">
        <v>0</v>
      </c>
    </row>
    <row r="230" spans="5:17" x14ac:dyDescent="0.2">
      <c r="E230" s="93"/>
      <c r="F230" s="79"/>
      <c r="P230" s="4" t="b">
        <v>0</v>
      </c>
      <c r="Q230" s="4" t="b">
        <v>0</v>
      </c>
    </row>
    <row r="231" spans="5:17" x14ac:dyDescent="0.2">
      <c r="E231" s="93"/>
      <c r="F231" s="79"/>
      <c r="P231" s="4" t="b">
        <v>0</v>
      </c>
      <c r="Q231" s="4" t="b">
        <v>0</v>
      </c>
    </row>
    <row r="232" spans="5:17" x14ac:dyDescent="0.2">
      <c r="E232" s="93"/>
      <c r="F232" s="79"/>
      <c r="P232" s="4" t="b">
        <v>0</v>
      </c>
      <c r="Q232" s="4" t="b">
        <v>0</v>
      </c>
    </row>
    <row r="233" spans="5:17" x14ac:dyDescent="0.2">
      <c r="E233" s="93"/>
      <c r="F233" s="79"/>
      <c r="P233" s="4" t="b">
        <v>0</v>
      </c>
      <c r="Q233" s="4" t="b">
        <v>0</v>
      </c>
    </row>
    <row r="234" spans="5:17" x14ac:dyDescent="0.2">
      <c r="E234" s="93"/>
      <c r="F234" s="79"/>
      <c r="P234" s="4" t="b">
        <v>0</v>
      </c>
      <c r="Q234" s="4" t="b">
        <v>0</v>
      </c>
    </row>
    <row r="235" spans="5:17" x14ac:dyDescent="0.2">
      <c r="E235" s="93"/>
      <c r="F235" s="79"/>
      <c r="P235" s="4" t="b">
        <v>0</v>
      </c>
      <c r="Q235" s="4" t="b">
        <v>0</v>
      </c>
    </row>
    <row r="236" spans="5:17" x14ac:dyDescent="0.2">
      <c r="E236" s="93"/>
      <c r="F236" s="79"/>
      <c r="P236" s="4" t="b">
        <v>0</v>
      </c>
      <c r="Q236" s="4" t="b">
        <v>0</v>
      </c>
    </row>
    <row r="237" spans="5:17" x14ac:dyDescent="0.2">
      <c r="E237" s="93"/>
      <c r="F237" s="79"/>
      <c r="P237" s="4" t="b">
        <v>0</v>
      </c>
      <c r="Q237" s="4" t="b">
        <v>0</v>
      </c>
    </row>
    <row r="238" spans="5:17" x14ac:dyDescent="0.2">
      <c r="E238" s="93"/>
      <c r="F238" s="79"/>
      <c r="P238" s="4" t="b">
        <v>0</v>
      </c>
      <c r="Q238" s="4" t="b">
        <v>0</v>
      </c>
    </row>
    <row r="239" spans="5:17" x14ac:dyDescent="0.2">
      <c r="E239" s="93"/>
      <c r="F239" s="79"/>
      <c r="P239" s="4" t="b">
        <v>0</v>
      </c>
      <c r="Q239" s="4" t="b">
        <v>0</v>
      </c>
    </row>
    <row r="240" spans="5:17" x14ac:dyDescent="0.2">
      <c r="E240" s="93"/>
      <c r="F240" s="79"/>
      <c r="P240" s="4" t="b">
        <v>0</v>
      </c>
      <c r="Q240" s="4" t="b">
        <v>0</v>
      </c>
    </row>
    <row r="241" spans="5:17" x14ac:dyDescent="0.2">
      <c r="E241" s="93"/>
      <c r="F241" s="79"/>
      <c r="P241" s="4" t="b">
        <v>0</v>
      </c>
      <c r="Q241" s="4" t="b">
        <v>0</v>
      </c>
    </row>
    <row r="242" spans="5:17" x14ac:dyDescent="0.2">
      <c r="E242" s="93"/>
      <c r="F242" s="79"/>
      <c r="P242" s="4" t="b">
        <v>0</v>
      </c>
      <c r="Q242" s="4" t="b">
        <v>0</v>
      </c>
    </row>
    <row r="243" spans="5:17" x14ac:dyDescent="0.2">
      <c r="E243" s="93"/>
      <c r="F243" s="79"/>
      <c r="P243" s="4" t="b">
        <v>0</v>
      </c>
      <c r="Q243" s="4" t="b">
        <v>0</v>
      </c>
    </row>
    <row r="244" spans="5:17" x14ac:dyDescent="0.2">
      <c r="E244" s="93"/>
      <c r="F244" s="79"/>
      <c r="P244" s="4" t="b">
        <v>0</v>
      </c>
      <c r="Q244" s="4" t="b">
        <v>0</v>
      </c>
    </row>
    <row r="245" spans="5:17" x14ac:dyDescent="0.2">
      <c r="E245" s="93"/>
      <c r="F245" s="79"/>
      <c r="P245" s="4" t="b">
        <v>0</v>
      </c>
      <c r="Q245" s="4" t="b">
        <v>0</v>
      </c>
    </row>
    <row r="246" spans="5:17" x14ac:dyDescent="0.2">
      <c r="E246" s="93"/>
      <c r="F246" s="79"/>
      <c r="P246" s="4" t="b">
        <v>0</v>
      </c>
      <c r="Q246" s="4" t="b">
        <v>0</v>
      </c>
    </row>
    <row r="247" spans="5:17" x14ac:dyDescent="0.2">
      <c r="E247" s="93"/>
      <c r="F247" s="79"/>
      <c r="P247" s="4" t="b">
        <v>0</v>
      </c>
      <c r="Q247" s="4" t="b">
        <v>0</v>
      </c>
    </row>
    <row r="248" spans="5:17" x14ac:dyDescent="0.2">
      <c r="E248" s="93"/>
      <c r="F248" s="79"/>
      <c r="P248" s="4" t="b">
        <v>0</v>
      </c>
      <c r="Q248" s="4" t="b">
        <v>0</v>
      </c>
    </row>
    <row r="249" spans="5:17" x14ac:dyDescent="0.2">
      <c r="E249" s="93"/>
      <c r="F249" s="79"/>
      <c r="P249" s="4" t="b">
        <v>0</v>
      </c>
      <c r="Q249" s="4" t="b">
        <v>0</v>
      </c>
    </row>
    <row r="250" spans="5:17" x14ac:dyDescent="0.2">
      <c r="E250" s="93"/>
      <c r="F250" s="79"/>
      <c r="P250" s="4" t="b">
        <v>0</v>
      </c>
      <c r="Q250" s="4" t="b">
        <v>0</v>
      </c>
    </row>
    <row r="251" spans="5:17" x14ac:dyDescent="0.2">
      <c r="E251" s="93"/>
      <c r="F251" s="79"/>
      <c r="P251" s="4" t="b">
        <v>0</v>
      </c>
      <c r="Q251" s="4" t="b">
        <v>0</v>
      </c>
    </row>
    <row r="252" spans="5:17" x14ac:dyDescent="0.2">
      <c r="E252" s="93"/>
      <c r="F252" s="79"/>
      <c r="P252" s="4" t="b">
        <v>0</v>
      </c>
      <c r="Q252" s="4" t="b">
        <v>0</v>
      </c>
    </row>
    <row r="253" spans="5:17" x14ac:dyDescent="0.2">
      <c r="E253" s="93"/>
      <c r="F253" s="79"/>
      <c r="P253" s="4" t="b">
        <v>0</v>
      </c>
      <c r="Q253" s="4" t="b">
        <v>0</v>
      </c>
    </row>
    <row r="254" spans="5:17" x14ac:dyDescent="0.2">
      <c r="E254" s="93"/>
      <c r="F254" s="79"/>
      <c r="P254" s="4" t="b">
        <v>0</v>
      </c>
      <c r="Q254" s="4" t="b">
        <v>0</v>
      </c>
    </row>
    <row r="255" spans="5:17" x14ac:dyDescent="0.2">
      <c r="E255" s="93"/>
      <c r="F255" s="79"/>
      <c r="P255" s="4" t="b">
        <v>0</v>
      </c>
      <c r="Q255" s="4" t="b">
        <v>0</v>
      </c>
    </row>
    <row r="256" spans="5:17" x14ac:dyDescent="0.2">
      <c r="E256" s="93"/>
      <c r="F256" s="79"/>
      <c r="P256" s="4" t="b">
        <v>0</v>
      </c>
      <c r="Q256" s="4" t="b">
        <v>0</v>
      </c>
    </row>
    <row r="257" spans="5:17" x14ac:dyDescent="0.2">
      <c r="E257" s="93"/>
      <c r="F257" s="79"/>
      <c r="P257" s="4" t="b">
        <v>0</v>
      </c>
      <c r="Q257" s="4" t="b">
        <v>0</v>
      </c>
    </row>
    <row r="258" spans="5:17" x14ac:dyDescent="0.2">
      <c r="E258" s="93"/>
      <c r="F258" s="79"/>
      <c r="P258" s="4" t="b">
        <v>0</v>
      </c>
      <c r="Q258" s="4" t="b">
        <v>0</v>
      </c>
    </row>
    <row r="259" spans="5:17" x14ac:dyDescent="0.2">
      <c r="E259" s="93"/>
      <c r="F259" s="79"/>
      <c r="P259" s="4" t="b">
        <v>0</v>
      </c>
      <c r="Q259" s="4" t="b">
        <v>0</v>
      </c>
    </row>
    <row r="260" spans="5:17" x14ac:dyDescent="0.2">
      <c r="E260" s="93"/>
      <c r="F260" s="79"/>
      <c r="P260" s="4" t="b">
        <v>0</v>
      </c>
      <c r="Q260" s="4" t="b">
        <v>0</v>
      </c>
    </row>
    <row r="261" spans="5:17" x14ac:dyDescent="0.2">
      <c r="E261" s="93"/>
      <c r="F261" s="79"/>
      <c r="P261" s="4" t="b">
        <v>0</v>
      </c>
      <c r="Q261" s="4" t="b">
        <v>0</v>
      </c>
    </row>
    <row r="262" spans="5:17" x14ac:dyDescent="0.2">
      <c r="E262" s="93"/>
      <c r="F262" s="79"/>
      <c r="P262" s="4" t="b">
        <v>0</v>
      </c>
      <c r="Q262" s="4" t="b">
        <v>0</v>
      </c>
    </row>
    <row r="263" spans="5:17" x14ac:dyDescent="0.2">
      <c r="E263" s="93"/>
      <c r="F263" s="79"/>
      <c r="P263" s="4" t="b">
        <v>0</v>
      </c>
      <c r="Q263" s="4" t="b">
        <v>0</v>
      </c>
    </row>
    <row r="264" spans="5:17" x14ac:dyDescent="0.2">
      <c r="E264" s="93"/>
      <c r="F264" s="79"/>
      <c r="P264" s="4" t="b">
        <v>0</v>
      </c>
      <c r="Q264" s="4" t="b">
        <v>0</v>
      </c>
    </row>
    <row r="265" spans="5:17" x14ac:dyDescent="0.2">
      <c r="E265" s="93"/>
      <c r="F265" s="79"/>
      <c r="P265" s="4" t="b">
        <v>0</v>
      </c>
      <c r="Q265" s="4" t="b">
        <v>0</v>
      </c>
    </row>
    <row r="266" spans="5:17" x14ac:dyDescent="0.2">
      <c r="E266" s="93"/>
      <c r="F266" s="79"/>
      <c r="P266" s="4" t="b">
        <v>0</v>
      </c>
      <c r="Q266" s="4" t="b">
        <v>0</v>
      </c>
    </row>
    <row r="267" spans="5:17" x14ac:dyDescent="0.2">
      <c r="E267" s="93"/>
      <c r="F267" s="79"/>
      <c r="P267" s="4" t="b">
        <v>0</v>
      </c>
      <c r="Q267" s="4" t="b">
        <v>0</v>
      </c>
    </row>
    <row r="268" spans="5:17" x14ac:dyDescent="0.2">
      <c r="E268" s="93"/>
      <c r="F268" s="79"/>
      <c r="P268" s="4" t="b">
        <v>0</v>
      </c>
      <c r="Q268" s="4" t="b">
        <v>0</v>
      </c>
    </row>
    <row r="269" spans="5:17" x14ac:dyDescent="0.2">
      <c r="E269" s="93"/>
      <c r="F269" s="79"/>
      <c r="P269" s="4" t="b">
        <v>0</v>
      </c>
      <c r="Q269" s="4" t="b">
        <v>0</v>
      </c>
    </row>
    <row r="270" spans="5:17" x14ac:dyDescent="0.2">
      <c r="E270" s="93"/>
      <c r="F270" s="79"/>
      <c r="P270" s="4" t="b">
        <v>0</v>
      </c>
      <c r="Q270" s="4" t="b">
        <v>0</v>
      </c>
    </row>
    <row r="271" spans="5:17" x14ac:dyDescent="0.2">
      <c r="E271" s="93"/>
      <c r="F271" s="79"/>
      <c r="P271" s="4" t="b">
        <v>0</v>
      </c>
      <c r="Q271" s="4" t="b">
        <v>0</v>
      </c>
    </row>
    <row r="272" spans="5:17" x14ac:dyDescent="0.2">
      <c r="E272" s="93"/>
      <c r="F272" s="79"/>
      <c r="P272" s="4" t="b">
        <v>0</v>
      </c>
      <c r="Q272" s="4" t="b">
        <v>0</v>
      </c>
    </row>
    <row r="273" spans="5:17" x14ac:dyDescent="0.2">
      <c r="E273" s="93"/>
      <c r="F273" s="79"/>
      <c r="P273" s="4" t="b">
        <v>0</v>
      </c>
      <c r="Q273" s="4" t="b">
        <v>0</v>
      </c>
    </row>
    <row r="274" spans="5:17" x14ac:dyDescent="0.2">
      <c r="E274" s="93"/>
      <c r="F274" s="79"/>
      <c r="P274" s="4" t="b">
        <v>0</v>
      </c>
      <c r="Q274" s="4" t="b">
        <v>0</v>
      </c>
    </row>
    <row r="275" spans="5:17" x14ac:dyDescent="0.2">
      <c r="E275" s="93"/>
      <c r="F275" s="79"/>
      <c r="P275" s="4" t="b">
        <v>0</v>
      </c>
      <c r="Q275" s="4" t="b">
        <v>0</v>
      </c>
    </row>
    <row r="276" spans="5:17" x14ac:dyDescent="0.2">
      <c r="E276" s="93"/>
      <c r="F276" s="79"/>
      <c r="P276" s="4" t="b">
        <v>0</v>
      </c>
      <c r="Q276" s="4" t="b">
        <v>0</v>
      </c>
    </row>
    <row r="277" spans="5:17" x14ac:dyDescent="0.2">
      <c r="E277" s="93"/>
      <c r="F277" s="79"/>
      <c r="P277" s="4" t="b">
        <v>0</v>
      </c>
      <c r="Q277" s="4" t="b">
        <v>0</v>
      </c>
    </row>
    <row r="278" spans="5:17" x14ac:dyDescent="0.2">
      <c r="E278" s="93"/>
      <c r="F278" s="79"/>
      <c r="P278" s="4" t="b">
        <v>0</v>
      </c>
      <c r="Q278" s="4" t="b">
        <v>0</v>
      </c>
    </row>
    <row r="279" spans="5:17" x14ac:dyDescent="0.2">
      <c r="E279" s="93"/>
      <c r="F279" s="79"/>
      <c r="P279" s="4" t="b">
        <v>0</v>
      </c>
      <c r="Q279" s="4" t="b">
        <v>0</v>
      </c>
    </row>
    <row r="280" spans="5:17" x14ac:dyDescent="0.2">
      <c r="E280" s="93"/>
      <c r="F280" s="79"/>
      <c r="P280" s="4" t="b">
        <v>0</v>
      </c>
      <c r="Q280" s="4" t="b">
        <v>0</v>
      </c>
    </row>
    <row r="281" spans="5:17" x14ac:dyDescent="0.2">
      <c r="E281" s="93"/>
      <c r="F281" s="79"/>
      <c r="P281" s="4" t="b">
        <v>0</v>
      </c>
      <c r="Q281" s="4" t="b">
        <v>0</v>
      </c>
    </row>
    <row r="282" spans="5:17" x14ac:dyDescent="0.2">
      <c r="E282" s="93"/>
      <c r="F282" s="79"/>
      <c r="P282" s="4" t="b">
        <v>0</v>
      </c>
      <c r="Q282" s="4" t="b">
        <v>0</v>
      </c>
    </row>
    <row r="283" spans="5:17" x14ac:dyDescent="0.2">
      <c r="E283" s="93"/>
      <c r="F283" s="79"/>
      <c r="P283" s="4" t="b">
        <v>0</v>
      </c>
      <c r="Q283" s="4" t="b">
        <v>0</v>
      </c>
    </row>
    <row r="284" spans="5:17" x14ac:dyDescent="0.2">
      <c r="E284" s="93"/>
      <c r="F284" s="79"/>
      <c r="P284" s="4" t="b">
        <v>0</v>
      </c>
      <c r="Q284" s="4" t="b">
        <v>0</v>
      </c>
    </row>
    <row r="285" spans="5:17" x14ac:dyDescent="0.2">
      <c r="E285" s="93"/>
      <c r="F285" s="79"/>
      <c r="P285" s="4" t="b">
        <v>0</v>
      </c>
      <c r="Q285" s="4" t="b">
        <v>0</v>
      </c>
    </row>
    <row r="286" spans="5:17" x14ac:dyDescent="0.2">
      <c r="E286" s="93"/>
      <c r="F286" s="79"/>
      <c r="P286" s="4" t="b">
        <v>0</v>
      </c>
      <c r="Q286" s="4" t="b">
        <v>0</v>
      </c>
    </row>
    <row r="287" spans="5:17" x14ac:dyDescent="0.2">
      <c r="E287" s="93"/>
      <c r="F287" s="79"/>
      <c r="P287" s="4" t="b">
        <v>0</v>
      </c>
      <c r="Q287" s="4" t="b">
        <v>0</v>
      </c>
    </row>
    <row r="288" spans="5:17" x14ac:dyDescent="0.2">
      <c r="E288" s="93"/>
      <c r="F288" s="79"/>
      <c r="P288" s="4" t="b">
        <v>0</v>
      </c>
      <c r="Q288" s="4" t="b">
        <v>0</v>
      </c>
    </row>
    <row r="289" spans="5:17" x14ac:dyDescent="0.2">
      <c r="E289" s="93"/>
      <c r="F289" s="79"/>
      <c r="P289" s="4" t="b">
        <v>0</v>
      </c>
      <c r="Q289" s="4" t="b">
        <v>0</v>
      </c>
    </row>
    <row r="290" spans="5:17" x14ac:dyDescent="0.2">
      <c r="E290" s="93"/>
      <c r="F290" s="79"/>
      <c r="P290" s="4" t="b">
        <v>0</v>
      </c>
      <c r="Q290" s="4" t="b">
        <v>0</v>
      </c>
    </row>
    <row r="291" spans="5:17" x14ac:dyDescent="0.2">
      <c r="E291" s="93"/>
      <c r="F291" s="79"/>
      <c r="P291" s="4" t="b">
        <v>0</v>
      </c>
      <c r="Q291" s="4" t="b">
        <v>0</v>
      </c>
    </row>
    <row r="292" spans="5:17" x14ac:dyDescent="0.2">
      <c r="E292" s="93"/>
      <c r="F292" s="79"/>
      <c r="P292" s="4" t="b">
        <v>0</v>
      </c>
      <c r="Q292" s="4" t="b">
        <v>0</v>
      </c>
    </row>
    <row r="293" spans="5:17" x14ac:dyDescent="0.2">
      <c r="E293" s="93"/>
      <c r="F293" s="79"/>
      <c r="P293" s="4" t="b">
        <v>0</v>
      </c>
      <c r="Q293" s="4" t="b">
        <v>0</v>
      </c>
    </row>
    <row r="294" spans="5:17" x14ac:dyDescent="0.2">
      <c r="E294" s="93"/>
      <c r="F294" s="79"/>
      <c r="P294" s="4" t="b">
        <v>0</v>
      </c>
      <c r="Q294" s="4" t="b">
        <v>0</v>
      </c>
    </row>
    <row r="295" spans="5:17" x14ac:dyDescent="0.2">
      <c r="E295" s="93"/>
      <c r="F295" s="79"/>
      <c r="P295" s="4" t="b">
        <v>0</v>
      </c>
      <c r="Q295" s="4" t="b">
        <v>0</v>
      </c>
    </row>
    <row r="296" spans="5:17" x14ac:dyDescent="0.2">
      <c r="E296" s="93"/>
      <c r="F296" s="79"/>
      <c r="P296" s="4" t="b">
        <v>0</v>
      </c>
      <c r="Q296" s="4" t="b">
        <v>0</v>
      </c>
    </row>
    <row r="297" spans="5:17" x14ac:dyDescent="0.2">
      <c r="E297" s="93"/>
      <c r="F297" s="79"/>
      <c r="P297" s="4" t="b">
        <v>0</v>
      </c>
      <c r="Q297" s="4" t="b">
        <v>0</v>
      </c>
    </row>
    <row r="298" spans="5:17" x14ac:dyDescent="0.2">
      <c r="E298" s="93"/>
      <c r="F298" s="79"/>
      <c r="P298" s="4" t="b">
        <v>0</v>
      </c>
      <c r="Q298" s="4" t="b">
        <v>0</v>
      </c>
    </row>
    <row r="299" spans="5:17" x14ac:dyDescent="0.2">
      <c r="E299" s="93"/>
      <c r="F299" s="79"/>
      <c r="P299" s="4" t="b">
        <v>0</v>
      </c>
      <c r="Q299" s="4" t="b">
        <v>0</v>
      </c>
    </row>
    <row r="300" spans="5:17" x14ac:dyDescent="0.2">
      <c r="E300" s="93"/>
      <c r="F300" s="79"/>
      <c r="P300" s="4" t="b">
        <v>0</v>
      </c>
      <c r="Q300" s="4" t="b">
        <v>0</v>
      </c>
    </row>
    <row r="301" spans="5:17" x14ac:dyDescent="0.2">
      <c r="E301" s="93"/>
      <c r="F301" s="79"/>
      <c r="P301" s="4" t="b">
        <v>0</v>
      </c>
      <c r="Q301" s="4" t="b">
        <v>0</v>
      </c>
    </row>
    <row r="302" spans="5:17" x14ac:dyDescent="0.2">
      <c r="E302" s="93"/>
      <c r="F302" s="79"/>
      <c r="P302" s="4" t="b">
        <v>0</v>
      </c>
      <c r="Q302" s="4" t="b">
        <v>0</v>
      </c>
    </row>
    <row r="303" spans="5:17" x14ac:dyDescent="0.2">
      <c r="E303" s="93"/>
      <c r="F303" s="79"/>
      <c r="P303" s="4" t="b">
        <v>0</v>
      </c>
      <c r="Q303" s="4" t="b">
        <v>0</v>
      </c>
    </row>
    <row r="304" spans="5:17" x14ac:dyDescent="0.2">
      <c r="E304" s="93"/>
      <c r="F304" s="79"/>
      <c r="P304" s="4" t="b">
        <v>0</v>
      </c>
      <c r="Q304" s="4" t="b">
        <v>0</v>
      </c>
    </row>
    <row r="305" spans="5:17" x14ac:dyDescent="0.2">
      <c r="E305" s="93"/>
      <c r="F305" s="79"/>
      <c r="P305" s="4" t="b">
        <v>0</v>
      </c>
      <c r="Q305" s="4" t="b">
        <v>0</v>
      </c>
    </row>
    <row r="306" spans="5:17" x14ac:dyDescent="0.2">
      <c r="E306" s="93"/>
      <c r="F306" s="79"/>
      <c r="P306" s="4" t="b">
        <v>0</v>
      </c>
      <c r="Q306" s="4" t="b">
        <v>0</v>
      </c>
    </row>
    <row r="307" spans="5:17" x14ac:dyDescent="0.2">
      <c r="E307" s="93"/>
      <c r="F307" s="79"/>
      <c r="P307" s="4" t="b">
        <v>0</v>
      </c>
      <c r="Q307" s="4" t="b">
        <v>0</v>
      </c>
    </row>
    <row r="308" spans="5:17" x14ac:dyDescent="0.2">
      <c r="E308" s="93"/>
      <c r="F308" s="79"/>
      <c r="P308" s="4" t="b">
        <v>0</v>
      </c>
      <c r="Q308" s="4" t="b">
        <v>0</v>
      </c>
    </row>
    <row r="309" spans="5:17" x14ac:dyDescent="0.2">
      <c r="E309" s="93"/>
      <c r="F309" s="79"/>
      <c r="P309" s="4" t="b">
        <v>0</v>
      </c>
      <c r="Q309" s="4" t="b">
        <v>0</v>
      </c>
    </row>
    <row r="310" spans="5:17" x14ac:dyDescent="0.2">
      <c r="E310" s="93"/>
      <c r="F310" s="79"/>
      <c r="P310" s="4" t="b">
        <v>0</v>
      </c>
      <c r="Q310" s="4" t="b">
        <v>0</v>
      </c>
    </row>
    <row r="311" spans="5:17" x14ac:dyDescent="0.2">
      <c r="E311" s="93"/>
      <c r="F311" s="79"/>
      <c r="P311" s="4" t="b">
        <v>0</v>
      </c>
      <c r="Q311" s="4" t="b">
        <v>0</v>
      </c>
    </row>
    <row r="312" spans="5:17" x14ac:dyDescent="0.2">
      <c r="E312" s="93"/>
      <c r="F312" s="79"/>
      <c r="P312" s="4" t="b">
        <v>0</v>
      </c>
      <c r="Q312" s="4" t="b">
        <v>0</v>
      </c>
    </row>
    <row r="313" spans="5:17" x14ac:dyDescent="0.2">
      <c r="E313" s="93"/>
      <c r="F313" s="79"/>
      <c r="P313" s="4" t="b">
        <v>0</v>
      </c>
      <c r="Q313" s="4" t="b">
        <v>0</v>
      </c>
    </row>
    <row r="314" spans="5:17" x14ac:dyDescent="0.2">
      <c r="E314" s="93"/>
      <c r="F314" s="79"/>
      <c r="P314" s="4" t="b">
        <v>0</v>
      </c>
      <c r="Q314" s="4" t="b">
        <v>0</v>
      </c>
    </row>
    <row r="315" spans="5:17" x14ac:dyDescent="0.2">
      <c r="E315" s="93"/>
      <c r="F315" s="79"/>
      <c r="P315" s="4" t="b">
        <v>0</v>
      </c>
      <c r="Q315" s="4" t="b">
        <v>0</v>
      </c>
    </row>
    <row r="316" spans="5:17" x14ac:dyDescent="0.2">
      <c r="E316" s="93"/>
      <c r="F316" s="79"/>
      <c r="P316" s="4" t="b">
        <v>0</v>
      </c>
      <c r="Q316" s="4" t="b">
        <v>0</v>
      </c>
    </row>
    <row r="317" spans="5:17" x14ac:dyDescent="0.2">
      <c r="E317" s="93"/>
      <c r="F317" s="79"/>
      <c r="P317" s="4" t="b">
        <v>0</v>
      </c>
      <c r="Q317" s="4" t="b">
        <v>0</v>
      </c>
    </row>
    <row r="318" spans="5:17" x14ac:dyDescent="0.2">
      <c r="E318" s="93"/>
      <c r="F318" s="79"/>
      <c r="P318" s="4" t="b">
        <v>0</v>
      </c>
      <c r="Q318" s="4" t="b">
        <v>0</v>
      </c>
    </row>
    <row r="319" spans="5:17" x14ac:dyDescent="0.2">
      <c r="E319" s="93"/>
      <c r="F319" s="79"/>
      <c r="P319" s="4" t="b">
        <v>0</v>
      </c>
      <c r="Q319" s="4" t="b">
        <v>0</v>
      </c>
    </row>
    <row r="320" spans="5:17" x14ac:dyDescent="0.2">
      <c r="E320" s="93"/>
      <c r="F320" s="79"/>
      <c r="P320" s="4" t="b">
        <v>0</v>
      </c>
      <c r="Q320" s="4" t="b">
        <v>0</v>
      </c>
    </row>
    <row r="321" spans="5:17" x14ac:dyDescent="0.2">
      <c r="E321" s="93"/>
      <c r="F321" s="79"/>
      <c r="P321" s="4" t="b">
        <v>0</v>
      </c>
      <c r="Q321" s="4" t="b">
        <v>0</v>
      </c>
    </row>
    <row r="322" spans="5:17" x14ac:dyDescent="0.2">
      <c r="E322" s="93"/>
      <c r="F322" s="79"/>
      <c r="P322" s="4" t="b">
        <v>0</v>
      </c>
      <c r="Q322" s="4" t="b">
        <v>0</v>
      </c>
    </row>
    <row r="323" spans="5:17" x14ac:dyDescent="0.2">
      <c r="E323" s="93"/>
      <c r="F323" s="79"/>
      <c r="P323" s="4" t="b">
        <v>0</v>
      </c>
      <c r="Q323" s="4" t="b">
        <v>0</v>
      </c>
    </row>
    <row r="324" spans="5:17" x14ac:dyDescent="0.2">
      <c r="E324" s="93"/>
      <c r="F324" s="79"/>
      <c r="P324" s="4" t="b">
        <v>0</v>
      </c>
      <c r="Q324" s="4" t="b">
        <v>0</v>
      </c>
    </row>
    <row r="325" spans="5:17" x14ac:dyDescent="0.2">
      <c r="E325" s="93"/>
      <c r="F325" s="79"/>
      <c r="P325" s="4" t="b">
        <v>0</v>
      </c>
      <c r="Q325" s="4" t="b">
        <v>0</v>
      </c>
    </row>
    <row r="326" spans="5:17" x14ac:dyDescent="0.2">
      <c r="E326" s="93"/>
      <c r="F326" s="79"/>
      <c r="P326" s="4" t="b">
        <v>0</v>
      </c>
      <c r="Q326" s="4" t="b">
        <v>0</v>
      </c>
    </row>
    <row r="327" spans="5:17" x14ac:dyDescent="0.2">
      <c r="E327" s="93"/>
      <c r="F327" s="79"/>
      <c r="P327" s="4" t="b">
        <v>0</v>
      </c>
      <c r="Q327" s="4" t="b">
        <v>0</v>
      </c>
    </row>
    <row r="328" spans="5:17" x14ac:dyDescent="0.2">
      <c r="E328" s="93"/>
      <c r="F328" s="79"/>
      <c r="P328" s="4" t="b">
        <v>0</v>
      </c>
      <c r="Q328" s="4" t="b">
        <v>0</v>
      </c>
    </row>
    <row r="329" spans="5:17" x14ac:dyDescent="0.2">
      <c r="E329" s="93"/>
      <c r="F329" s="79"/>
      <c r="P329" s="4" t="b">
        <v>0</v>
      </c>
      <c r="Q329" s="4" t="b">
        <v>0</v>
      </c>
    </row>
    <row r="330" spans="5:17" x14ac:dyDescent="0.2">
      <c r="E330" s="93"/>
      <c r="F330" s="79"/>
      <c r="P330" s="4" t="b">
        <v>0</v>
      </c>
      <c r="Q330" s="4" t="b">
        <v>0</v>
      </c>
    </row>
    <row r="331" spans="5:17" x14ac:dyDescent="0.2">
      <c r="E331" s="93"/>
      <c r="F331" s="79"/>
      <c r="P331" s="4" t="b">
        <v>0</v>
      </c>
      <c r="Q331" s="4" t="b">
        <v>0</v>
      </c>
    </row>
    <row r="332" spans="5:17" x14ac:dyDescent="0.2">
      <c r="E332" s="93"/>
      <c r="F332" s="79"/>
      <c r="P332" s="4" t="b">
        <v>0</v>
      </c>
      <c r="Q332" s="4" t="b">
        <v>0</v>
      </c>
    </row>
    <row r="333" spans="5:17" x14ac:dyDescent="0.2">
      <c r="E333" s="93"/>
      <c r="F333" s="79"/>
      <c r="P333" s="4" t="b">
        <v>0</v>
      </c>
      <c r="Q333" s="4" t="b">
        <v>0</v>
      </c>
    </row>
    <row r="334" spans="5:17" x14ac:dyDescent="0.2">
      <c r="E334" s="93"/>
      <c r="F334" s="79"/>
      <c r="P334" s="4" t="b">
        <v>0</v>
      </c>
      <c r="Q334" s="4" t="b">
        <v>0</v>
      </c>
    </row>
    <row r="335" spans="5:17" x14ac:dyDescent="0.2">
      <c r="E335" s="93"/>
      <c r="F335" s="79"/>
      <c r="P335" s="4" t="b">
        <v>0</v>
      </c>
      <c r="Q335" s="4" t="b">
        <v>0</v>
      </c>
    </row>
    <row r="336" spans="5:17" x14ac:dyDescent="0.2">
      <c r="E336" s="93"/>
      <c r="F336" s="79"/>
      <c r="P336" s="4" t="b">
        <v>0</v>
      </c>
      <c r="Q336" s="4" t="b">
        <v>0</v>
      </c>
    </row>
    <row r="337" spans="5:17" x14ac:dyDescent="0.2">
      <c r="E337" s="93"/>
      <c r="F337" s="79"/>
      <c r="P337" s="4" t="b">
        <v>0</v>
      </c>
      <c r="Q337" s="4" t="b">
        <v>0</v>
      </c>
    </row>
    <row r="338" spans="5:17" x14ac:dyDescent="0.2">
      <c r="E338" s="93"/>
      <c r="F338" s="79"/>
      <c r="P338" s="4" t="b">
        <v>0</v>
      </c>
      <c r="Q338" s="4" t="b">
        <v>0</v>
      </c>
    </row>
    <row r="339" spans="5:17" x14ac:dyDescent="0.2">
      <c r="E339" s="93"/>
      <c r="F339" s="79"/>
      <c r="P339" s="4" t="b">
        <v>0</v>
      </c>
      <c r="Q339" s="4" t="b">
        <v>0</v>
      </c>
    </row>
    <row r="340" spans="5:17" x14ac:dyDescent="0.2">
      <c r="E340" s="93"/>
      <c r="F340" s="79"/>
      <c r="P340" s="4" t="b">
        <v>0</v>
      </c>
      <c r="Q340" s="4" t="b">
        <v>0</v>
      </c>
    </row>
    <row r="341" spans="5:17" x14ac:dyDescent="0.2">
      <c r="E341" s="93"/>
      <c r="F341" s="79"/>
      <c r="P341" s="4" t="b">
        <v>0</v>
      </c>
      <c r="Q341" s="4" t="b">
        <v>0</v>
      </c>
    </row>
    <row r="342" spans="5:17" x14ac:dyDescent="0.2">
      <c r="E342" s="93"/>
      <c r="F342" s="79"/>
      <c r="P342" s="4" t="b">
        <v>0</v>
      </c>
      <c r="Q342" s="4" t="b">
        <v>0</v>
      </c>
    </row>
    <row r="343" spans="5:17" x14ac:dyDescent="0.2">
      <c r="E343" s="93"/>
      <c r="F343" s="79"/>
      <c r="P343" s="4" t="b">
        <v>0</v>
      </c>
      <c r="Q343" s="4" t="b">
        <v>0</v>
      </c>
    </row>
    <row r="344" spans="5:17" x14ac:dyDescent="0.2">
      <c r="E344" s="93"/>
      <c r="F344" s="79"/>
      <c r="P344" s="4" t="b">
        <v>0</v>
      </c>
      <c r="Q344" s="4" t="b">
        <v>0</v>
      </c>
    </row>
    <row r="345" spans="5:17" x14ac:dyDescent="0.2">
      <c r="E345" s="93"/>
      <c r="F345" s="79"/>
      <c r="P345" s="4" t="b">
        <v>0</v>
      </c>
      <c r="Q345" s="4" t="b">
        <v>0</v>
      </c>
    </row>
    <row r="346" spans="5:17" x14ac:dyDescent="0.2">
      <c r="E346" s="93"/>
      <c r="F346" s="79"/>
      <c r="P346" s="4" t="b">
        <v>0</v>
      </c>
      <c r="Q346" s="4" t="b">
        <v>0</v>
      </c>
    </row>
    <row r="347" spans="5:17" x14ac:dyDescent="0.2">
      <c r="E347" s="93"/>
      <c r="F347" s="79"/>
      <c r="P347" s="4" t="b">
        <v>0</v>
      </c>
      <c r="Q347" s="4" t="b">
        <v>0</v>
      </c>
    </row>
    <row r="348" spans="5:17" x14ac:dyDescent="0.2">
      <c r="E348" s="93"/>
      <c r="F348" s="79"/>
      <c r="P348" s="4" t="b">
        <v>0</v>
      </c>
      <c r="Q348" s="4" t="b">
        <v>0</v>
      </c>
    </row>
    <row r="349" spans="5:17" x14ac:dyDescent="0.2">
      <c r="E349" s="93"/>
      <c r="F349" s="79"/>
      <c r="P349" s="4" t="b">
        <v>0</v>
      </c>
      <c r="Q349" s="4" t="b">
        <v>0</v>
      </c>
    </row>
    <row r="350" spans="5:17" x14ac:dyDescent="0.2">
      <c r="E350" s="93"/>
      <c r="F350" s="79"/>
      <c r="P350" s="4" t="b">
        <v>0</v>
      </c>
      <c r="Q350" s="4" t="b">
        <v>0</v>
      </c>
    </row>
    <row r="351" spans="5:17" x14ac:dyDescent="0.2">
      <c r="E351" s="93"/>
      <c r="F351" s="79"/>
      <c r="P351" s="4" t="b">
        <v>0</v>
      </c>
      <c r="Q351" s="4" t="b">
        <v>0</v>
      </c>
    </row>
    <row r="352" spans="5:17" x14ac:dyDescent="0.2">
      <c r="E352" s="93"/>
      <c r="F352" s="79"/>
      <c r="P352" s="4" t="b">
        <v>0</v>
      </c>
      <c r="Q352" s="4" t="b">
        <v>0</v>
      </c>
    </row>
    <row r="353" spans="5:17" x14ac:dyDescent="0.2">
      <c r="E353" s="93"/>
      <c r="F353" s="79"/>
      <c r="P353" s="4" t="b">
        <v>0</v>
      </c>
      <c r="Q353" s="4" t="b">
        <v>0</v>
      </c>
    </row>
    <row r="354" spans="5:17" x14ac:dyDescent="0.2">
      <c r="E354" s="93"/>
      <c r="F354" s="79"/>
      <c r="P354" s="4" t="b">
        <v>0</v>
      </c>
      <c r="Q354" s="4" t="b">
        <v>0</v>
      </c>
    </row>
    <row r="355" spans="5:17" x14ac:dyDescent="0.2">
      <c r="E355" s="93"/>
      <c r="F355" s="79"/>
      <c r="P355" s="4" t="b">
        <v>0</v>
      </c>
      <c r="Q355" s="4" t="b">
        <v>0</v>
      </c>
    </row>
    <row r="356" spans="5:17" x14ac:dyDescent="0.2">
      <c r="E356" s="93"/>
      <c r="F356" s="79"/>
      <c r="P356" s="4" t="b">
        <v>0</v>
      </c>
      <c r="Q356" s="4" t="b">
        <v>0</v>
      </c>
    </row>
    <row r="357" spans="5:17" x14ac:dyDescent="0.2">
      <c r="E357" s="93"/>
      <c r="F357" s="79"/>
      <c r="P357" s="4" t="b">
        <v>0</v>
      </c>
      <c r="Q357" s="4" t="b">
        <v>0</v>
      </c>
    </row>
    <row r="358" spans="5:17" x14ac:dyDescent="0.2">
      <c r="E358" s="93"/>
      <c r="F358" s="79"/>
      <c r="P358" s="4" t="b">
        <v>0</v>
      </c>
      <c r="Q358" s="4" t="b">
        <v>0</v>
      </c>
    </row>
    <row r="359" spans="5:17" x14ac:dyDescent="0.2">
      <c r="E359" s="93"/>
      <c r="F359" s="79"/>
      <c r="P359" s="4" t="b">
        <v>0</v>
      </c>
      <c r="Q359" s="4" t="b">
        <v>0</v>
      </c>
    </row>
    <row r="360" spans="5:17" x14ac:dyDescent="0.2">
      <c r="E360" s="93"/>
      <c r="F360" s="79"/>
      <c r="P360" s="4" t="b">
        <v>0</v>
      </c>
      <c r="Q360" s="4" t="b">
        <v>0</v>
      </c>
    </row>
    <row r="361" spans="5:17" x14ac:dyDescent="0.2">
      <c r="E361" s="93"/>
      <c r="F361" s="79"/>
      <c r="P361" s="4" t="b">
        <v>0</v>
      </c>
      <c r="Q361" s="4" t="b">
        <v>0</v>
      </c>
    </row>
    <row r="362" spans="5:17" x14ac:dyDescent="0.2">
      <c r="E362" s="93"/>
      <c r="F362" s="79"/>
      <c r="P362" s="4" t="b">
        <v>0</v>
      </c>
      <c r="Q362" s="4" t="b">
        <v>0</v>
      </c>
    </row>
    <row r="363" spans="5:17" x14ac:dyDescent="0.2">
      <c r="E363" s="93"/>
      <c r="F363" s="79"/>
      <c r="P363" s="4" t="b">
        <v>0</v>
      </c>
      <c r="Q363" s="4" t="b">
        <v>0</v>
      </c>
    </row>
    <row r="364" spans="5:17" x14ac:dyDescent="0.2">
      <c r="E364" s="93"/>
      <c r="F364" s="79"/>
      <c r="P364" s="4" t="b">
        <v>0</v>
      </c>
      <c r="Q364" s="4" t="b">
        <v>0</v>
      </c>
    </row>
    <row r="365" spans="5:17" x14ac:dyDescent="0.2">
      <c r="E365" s="93"/>
      <c r="F365" s="79"/>
      <c r="P365" s="4" t="b">
        <v>0</v>
      </c>
      <c r="Q365" s="4" t="b">
        <v>0</v>
      </c>
    </row>
    <row r="366" spans="5:17" x14ac:dyDescent="0.2">
      <c r="E366" s="93"/>
      <c r="F366" s="79"/>
      <c r="P366" s="4" t="b">
        <v>0</v>
      </c>
      <c r="Q366" s="4" t="b">
        <v>0</v>
      </c>
    </row>
    <row r="367" spans="5:17" x14ac:dyDescent="0.2">
      <c r="E367" s="93"/>
      <c r="F367" s="79"/>
      <c r="P367" s="4" t="b">
        <v>0</v>
      </c>
      <c r="Q367" s="4" t="b">
        <v>0</v>
      </c>
    </row>
    <row r="368" spans="5:17" x14ac:dyDescent="0.2">
      <c r="E368" s="93"/>
      <c r="F368" s="79"/>
      <c r="P368" s="4" t="b">
        <v>0</v>
      </c>
      <c r="Q368" s="4" t="b">
        <v>0</v>
      </c>
    </row>
    <row r="369" spans="5:17" x14ac:dyDescent="0.2">
      <c r="E369" s="93"/>
      <c r="F369" s="79"/>
      <c r="P369" s="4" t="b">
        <v>0</v>
      </c>
      <c r="Q369" s="4" t="b">
        <v>0</v>
      </c>
    </row>
    <row r="370" spans="5:17" x14ac:dyDescent="0.2">
      <c r="E370" s="93"/>
      <c r="F370" s="79"/>
      <c r="P370" s="4" t="b">
        <v>0</v>
      </c>
      <c r="Q370" s="4" t="b">
        <v>0</v>
      </c>
    </row>
    <row r="371" spans="5:17" x14ac:dyDescent="0.2">
      <c r="E371" s="93"/>
      <c r="F371" s="79"/>
      <c r="P371" s="4" t="b">
        <v>0</v>
      </c>
      <c r="Q371" s="4" t="b">
        <v>0</v>
      </c>
    </row>
    <row r="372" spans="5:17" x14ac:dyDescent="0.2">
      <c r="E372" s="93"/>
      <c r="F372" s="79"/>
      <c r="P372" s="4" t="b">
        <v>0</v>
      </c>
      <c r="Q372" s="4" t="b">
        <v>0</v>
      </c>
    </row>
    <row r="373" spans="5:17" x14ac:dyDescent="0.2">
      <c r="E373" s="93"/>
      <c r="F373" s="79"/>
      <c r="P373" s="4" t="b">
        <v>0</v>
      </c>
      <c r="Q373" s="4" t="b">
        <v>0</v>
      </c>
    </row>
    <row r="374" spans="5:17" x14ac:dyDescent="0.2">
      <c r="E374" s="93"/>
      <c r="F374" s="79"/>
      <c r="P374" s="4" t="b">
        <v>0</v>
      </c>
      <c r="Q374" s="4" t="b">
        <v>0</v>
      </c>
    </row>
    <row r="375" spans="5:17" x14ac:dyDescent="0.2">
      <c r="E375" s="93"/>
      <c r="F375" s="79"/>
      <c r="P375" s="4" t="b">
        <v>0</v>
      </c>
      <c r="Q375" s="4" t="b">
        <v>0</v>
      </c>
    </row>
    <row r="376" spans="5:17" x14ac:dyDescent="0.2">
      <c r="E376" s="93"/>
      <c r="F376" s="79"/>
      <c r="P376" s="4" t="b">
        <v>0</v>
      </c>
      <c r="Q376" s="4" t="b">
        <v>0</v>
      </c>
    </row>
    <row r="377" spans="5:17" x14ac:dyDescent="0.2">
      <c r="E377" s="93"/>
      <c r="F377" s="79"/>
      <c r="P377" s="4" t="b">
        <v>0</v>
      </c>
      <c r="Q377" s="4" t="b">
        <v>0</v>
      </c>
    </row>
    <row r="378" spans="5:17" x14ac:dyDescent="0.2">
      <c r="E378" s="93"/>
      <c r="F378" s="79"/>
      <c r="P378" s="4" t="b">
        <v>0</v>
      </c>
      <c r="Q378" s="4" t="b">
        <v>0</v>
      </c>
    </row>
    <row r="379" spans="5:17" x14ac:dyDescent="0.2">
      <c r="E379" s="93"/>
      <c r="F379" s="79"/>
      <c r="P379" s="4" t="b">
        <v>0</v>
      </c>
      <c r="Q379" s="4" t="b">
        <v>0</v>
      </c>
    </row>
    <row r="380" spans="5:17" x14ac:dyDescent="0.2">
      <c r="E380" s="93"/>
      <c r="F380" s="79"/>
      <c r="P380" s="4" t="b">
        <v>0</v>
      </c>
      <c r="Q380" s="4" t="b">
        <v>0</v>
      </c>
    </row>
    <row r="381" spans="5:17" x14ac:dyDescent="0.2">
      <c r="E381" s="93"/>
      <c r="F381" s="79"/>
      <c r="P381" s="4" t="b">
        <v>0</v>
      </c>
      <c r="Q381" s="4" t="b">
        <v>0</v>
      </c>
    </row>
    <row r="382" spans="5:17" x14ac:dyDescent="0.2">
      <c r="E382" s="93"/>
      <c r="F382" s="79"/>
      <c r="P382" s="4" t="b">
        <v>0</v>
      </c>
      <c r="Q382" s="4" t="b">
        <v>0</v>
      </c>
    </row>
    <row r="383" spans="5:17" x14ac:dyDescent="0.2">
      <c r="E383" s="93"/>
      <c r="F383" s="79"/>
      <c r="P383" s="4" t="b">
        <v>0</v>
      </c>
      <c r="Q383" s="4" t="b">
        <v>0</v>
      </c>
    </row>
    <row r="384" spans="5:17" x14ac:dyDescent="0.2">
      <c r="E384" s="93"/>
      <c r="F384" s="79"/>
      <c r="P384" s="4" t="b">
        <v>0</v>
      </c>
      <c r="Q384" s="4" t="b">
        <v>0</v>
      </c>
    </row>
    <row r="385" spans="5:17" x14ac:dyDescent="0.2">
      <c r="E385" s="93"/>
      <c r="F385" s="79"/>
      <c r="P385" s="4" t="b">
        <v>0</v>
      </c>
      <c r="Q385" s="4" t="b">
        <v>0</v>
      </c>
    </row>
    <row r="386" spans="5:17" x14ac:dyDescent="0.2">
      <c r="E386" s="93"/>
      <c r="F386" s="79"/>
      <c r="P386" s="4" t="b">
        <v>0</v>
      </c>
      <c r="Q386" s="4" t="b">
        <v>0</v>
      </c>
    </row>
    <row r="387" spans="5:17" x14ac:dyDescent="0.2">
      <c r="E387" s="93"/>
      <c r="F387" s="79"/>
      <c r="P387" s="4" t="b">
        <v>0</v>
      </c>
      <c r="Q387" s="4" t="b">
        <v>0</v>
      </c>
    </row>
    <row r="388" spans="5:17" x14ac:dyDescent="0.2">
      <c r="E388" s="93"/>
      <c r="F388" s="79"/>
      <c r="P388" s="4" t="b">
        <v>0</v>
      </c>
      <c r="Q388" s="4" t="b">
        <v>0</v>
      </c>
    </row>
    <row r="389" spans="5:17" x14ac:dyDescent="0.2">
      <c r="E389" s="93"/>
      <c r="F389" s="79"/>
      <c r="P389" s="4" t="b">
        <v>0</v>
      </c>
      <c r="Q389" s="4" t="b">
        <v>0</v>
      </c>
    </row>
    <row r="390" spans="5:17" x14ac:dyDescent="0.2">
      <c r="E390" s="93"/>
      <c r="F390" s="79"/>
      <c r="P390" s="4" t="b">
        <v>0</v>
      </c>
      <c r="Q390" s="4" t="b">
        <v>0</v>
      </c>
    </row>
    <row r="391" spans="5:17" x14ac:dyDescent="0.2">
      <c r="E391" s="93"/>
      <c r="F391" s="79"/>
      <c r="P391" s="4" t="b">
        <v>0</v>
      </c>
      <c r="Q391" s="4" t="b">
        <v>0</v>
      </c>
    </row>
    <row r="392" spans="5:17" x14ac:dyDescent="0.2">
      <c r="E392" s="93"/>
      <c r="F392" s="79"/>
      <c r="P392" s="4" t="b">
        <v>0</v>
      </c>
      <c r="Q392" s="4" t="b">
        <v>0</v>
      </c>
    </row>
    <row r="393" spans="5:17" x14ac:dyDescent="0.2">
      <c r="E393" s="93"/>
      <c r="F393" s="79"/>
      <c r="P393" s="4" t="b">
        <v>0</v>
      </c>
      <c r="Q393" s="4" t="b">
        <v>0</v>
      </c>
    </row>
    <row r="394" spans="5:17" x14ac:dyDescent="0.2">
      <c r="E394" s="93"/>
      <c r="F394" s="79"/>
      <c r="P394" s="4" t="b">
        <v>0</v>
      </c>
      <c r="Q394" s="4" t="b">
        <v>0</v>
      </c>
    </row>
    <row r="395" spans="5:17" x14ac:dyDescent="0.2">
      <c r="E395" s="93"/>
      <c r="F395" s="79"/>
      <c r="P395" s="4" t="b">
        <v>0</v>
      </c>
      <c r="Q395" s="4" t="b">
        <v>0</v>
      </c>
    </row>
    <row r="396" spans="5:17" x14ac:dyDescent="0.2">
      <c r="E396" s="93"/>
      <c r="F396" s="79"/>
      <c r="P396" s="4" t="b">
        <v>0</v>
      </c>
      <c r="Q396" s="4" t="b">
        <v>0</v>
      </c>
    </row>
    <row r="397" spans="5:17" x14ac:dyDescent="0.2">
      <c r="E397" s="93"/>
      <c r="F397" s="79"/>
      <c r="P397" s="4" t="b">
        <v>0</v>
      </c>
      <c r="Q397" s="4" t="b">
        <v>0</v>
      </c>
    </row>
    <row r="398" spans="5:17" x14ac:dyDescent="0.2">
      <c r="E398" s="93"/>
      <c r="F398" s="79"/>
      <c r="P398" s="4" t="b">
        <v>0</v>
      </c>
      <c r="Q398" s="4" t="b">
        <v>0</v>
      </c>
    </row>
    <row r="399" spans="5:17" x14ac:dyDescent="0.2">
      <c r="E399" s="93"/>
      <c r="F399" s="79"/>
      <c r="P399" s="4" t="b">
        <v>0</v>
      </c>
      <c r="Q399" s="4" t="b">
        <v>0</v>
      </c>
    </row>
    <row r="400" spans="5:17" x14ac:dyDescent="0.2">
      <c r="E400" s="93"/>
      <c r="F400" s="79"/>
      <c r="P400" s="4" t="b">
        <v>0</v>
      </c>
      <c r="Q400" s="4" t="b">
        <v>0</v>
      </c>
    </row>
    <row r="401" spans="5:17" x14ac:dyDescent="0.2">
      <c r="E401" s="93"/>
      <c r="F401" s="79"/>
      <c r="P401" s="4" t="b">
        <v>0</v>
      </c>
      <c r="Q401" s="4" t="b">
        <v>0</v>
      </c>
    </row>
    <row r="402" spans="5:17" x14ac:dyDescent="0.2">
      <c r="E402" s="93"/>
      <c r="F402" s="79"/>
      <c r="P402" s="4" t="b">
        <v>0</v>
      </c>
      <c r="Q402" s="4" t="b">
        <v>0</v>
      </c>
    </row>
    <row r="403" spans="5:17" x14ac:dyDescent="0.2">
      <c r="E403" s="93"/>
      <c r="F403" s="79"/>
      <c r="P403" s="4" t="b">
        <v>0</v>
      </c>
      <c r="Q403" s="4" t="b">
        <v>0</v>
      </c>
    </row>
    <row r="404" spans="5:17" x14ac:dyDescent="0.2">
      <c r="E404" s="93"/>
      <c r="F404" s="79"/>
      <c r="P404" s="4" t="b">
        <v>0</v>
      </c>
      <c r="Q404" s="4" t="b">
        <v>0</v>
      </c>
    </row>
    <row r="405" spans="5:17" x14ac:dyDescent="0.2">
      <c r="E405" s="93"/>
      <c r="F405" s="79"/>
      <c r="P405" s="4" t="b">
        <v>0</v>
      </c>
      <c r="Q405" s="4" t="b">
        <v>0</v>
      </c>
    </row>
    <row r="406" spans="5:17" x14ac:dyDescent="0.2">
      <c r="E406" s="93"/>
      <c r="F406" s="79"/>
      <c r="P406" s="4" t="b">
        <v>0</v>
      </c>
      <c r="Q406" s="4" t="b">
        <v>0</v>
      </c>
    </row>
    <row r="407" spans="5:17" x14ac:dyDescent="0.2">
      <c r="E407" s="93"/>
      <c r="F407" s="79"/>
      <c r="P407" s="4" t="b">
        <v>0</v>
      </c>
      <c r="Q407" s="4" t="b">
        <v>0</v>
      </c>
    </row>
    <row r="408" spans="5:17" x14ac:dyDescent="0.2">
      <c r="E408" s="93"/>
      <c r="F408" s="79"/>
      <c r="P408" s="4" t="b">
        <v>0</v>
      </c>
      <c r="Q408" s="4" t="b">
        <v>0</v>
      </c>
    </row>
    <row r="409" spans="5:17" x14ac:dyDescent="0.2">
      <c r="E409" s="93"/>
      <c r="F409" s="79"/>
      <c r="P409" s="4" t="b">
        <v>0</v>
      </c>
      <c r="Q409" s="4" t="b">
        <v>0</v>
      </c>
    </row>
    <row r="410" spans="5:17" x14ac:dyDescent="0.2">
      <c r="E410" s="93"/>
      <c r="F410" s="79"/>
      <c r="P410" s="4" t="b">
        <v>0</v>
      </c>
      <c r="Q410" s="4" t="b">
        <v>0</v>
      </c>
    </row>
    <row r="411" spans="5:17" x14ac:dyDescent="0.2">
      <c r="E411" s="93"/>
      <c r="F411" s="79"/>
      <c r="P411" s="4" t="b">
        <v>0</v>
      </c>
      <c r="Q411" s="4" t="b">
        <v>0</v>
      </c>
    </row>
    <row r="412" spans="5:17" x14ac:dyDescent="0.2">
      <c r="E412" s="93"/>
      <c r="F412" s="79"/>
      <c r="P412" s="4" t="b">
        <v>0</v>
      </c>
      <c r="Q412" s="4" t="b">
        <v>0</v>
      </c>
    </row>
    <row r="413" spans="5:17" x14ac:dyDescent="0.2">
      <c r="E413" s="93"/>
      <c r="F413" s="79"/>
      <c r="P413" s="4" t="b">
        <v>0</v>
      </c>
      <c r="Q413" s="4" t="b">
        <v>0</v>
      </c>
    </row>
    <row r="414" spans="5:17" x14ac:dyDescent="0.2">
      <c r="E414" s="93"/>
      <c r="F414" s="79"/>
      <c r="P414" s="4" t="b">
        <v>0</v>
      </c>
      <c r="Q414" s="4" t="b">
        <v>0</v>
      </c>
    </row>
    <row r="415" spans="5:17" x14ac:dyDescent="0.2">
      <c r="E415" s="93"/>
      <c r="F415" s="79"/>
      <c r="P415" s="4" t="b">
        <v>0</v>
      </c>
      <c r="Q415" s="4" t="b">
        <v>0</v>
      </c>
    </row>
    <row r="416" spans="5:17" x14ac:dyDescent="0.2">
      <c r="E416" s="93"/>
      <c r="F416" s="79"/>
      <c r="P416" s="4" t="b">
        <v>0</v>
      </c>
      <c r="Q416" s="4" t="b">
        <v>0</v>
      </c>
    </row>
    <row r="417" spans="5:17" x14ac:dyDescent="0.2">
      <c r="E417" s="93"/>
      <c r="F417" s="79"/>
      <c r="P417" s="4" t="b">
        <v>0</v>
      </c>
      <c r="Q417" s="4" t="b">
        <v>0</v>
      </c>
    </row>
    <row r="418" spans="5:17" x14ac:dyDescent="0.2">
      <c r="E418" s="93"/>
      <c r="F418" s="79"/>
      <c r="P418" s="4" t="b">
        <v>0</v>
      </c>
      <c r="Q418" s="4" t="b">
        <v>0</v>
      </c>
    </row>
    <row r="419" spans="5:17" x14ac:dyDescent="0.2">
      <c r="E419" s="93"/>
      <c r="F419" s="79"/>
      <c r="P419" s="4" t="b">
        <v>0</v>
      </c>
      <c r="Q419" s="4" t="b">
        <v>0</v>
      </c>
    </row>
    <row r="420" spans="5:17" x14ac:dyDescent="0.2">
      <c r="E420" s="93"/>
      <c r="F420" s="79"/>
      <c r="P420" s="4" t="b">
        <v>0</v>
      </c>
      <c r="Q420" s="4" t="b">
        <v>0</v>
      </c>
    </row>
    <row r="421" spans="5:17" x14ac:dyDescent="0.2">
      <c r="E421" s="93"/>
      <c r="F421" s="79"/>
      <c r="P421" s="4" t="b">
        <v>0</v>
      </c>
      <c r="Q421" s="4" t="b">
        <v>0</v>
      </c>
    </row>
    <row r="422" spans="5:17" x14ac:dyDescent="0.2">
      <c r="E422" s="93"/>
      <c r="F422" s="79"/>
      <c r="P422" s="4" t="b">
        <v>0</v>
      </c>
      <c r="Q422" s="4" t="b">
        <v>0</v>
      </c>
    </row>
    <row r="423" spans="5:17" x14ac:dyDescent="0.2">
      <c r="E423" s="93"/>
      <c r="F423" s="79"/>
      <c r="P423" s="4" t="b">
        <v>0</v>
      </c>
      <c r="Q423" s="4" t="b">
        <v>0</v>
      </c>
    </row>
    <row r="424" spans="5:17" x14ac:dyDescent="0.2">
      <c r="E424" s="93"/>
      <c r="F424" s="79"/>
      <c r="P424" s="4" t="b">
        <v>0</v>
      </c>
      <c r="Q424" s="4" t="b">
        <v>0</v>
      </c>
    </row>
    <row r="425" spans="5:17" x14ac:dyDescent="0.2">
      <c r="E425" s="93"/>
      <c r="F425" s="79"/>
      <c r="P425" s="4" t="b">
        <v>0</v>
      </c>
      <c r="Q425" s="4" t="b">
        <v>0</v>
      </c>
    </row>
    <row r="426" spans="5:17" x14ac:dyDescent="0.2">
      <c r="E426" s="93"/>
      <c r="F426" s="79"/>
      <c r="P426" s="4" t="b">
        <v>0</v>
      </c>
      <c r="Q426" s="4" t="b">
        <v>0</v>
      </c>
    </row>
    <row r="427" spans="5:17" x14ac:dyDescent="0.2">
      <c r="E427" s="93"/>
      <c r="F427" s="79"/>
      <c r="P427" s="4" t="b">
        <v>0</v>
      </c>
      <c r="Q427" s="4" t="b">
        <v>0</v>
      </c>
    </row>
    <row r="428" spans="5:17" x14ac:dyDescent="0.2">
      <c r="E428" s="93"/>
      <c r="F428" s="79"/>
      <c r="P428" s="4" t="b">
        <v>0</v>
      </c>
      <c r="Q428" s="4" t="b">
        <v>0</v>
      </c>
    </row>
    <row r="429" spans="5:17" x14ac:dyDescent="0.2">
      <c r="E429" s="93"/>
      <c r="F429" s="79"/>
      <c r="P429" s="4" t="b">
        <v>0</v>
      </c>
      <c r="Q429" s="4" t="b">
        <v>0</v>
      </c>
    </row>
    <row r="430" spans="5:17" x14ac:dyDescent="0.2">
      <c r="E430" s="93"/>
      <c r="F430" s="79"/>
      <c r="P430" s="4" t="b">
        <v>0</v>
      </c>
      <c r="Q430" s="4" t="b">
        <v>0</v>
      </c>
    </row>
    <row r="431" spans="5:17" x14ac:dyDescent="0.2">
      <c r="E431" s="93"/>
      <c r="F431" s="79"/>
      <c r="P431" s="4" t="b">
        <v>0</v>
      </c>
      <c r="Q431" s="4" t="b">
        <v>0</v>
      </c>
    </row>
    <row r="432" spans="5:17" x14ac:dyDescent="0.2">
      <c r="E432" s="93"/>
      <c r="F432" s="79"/>
      <c r="P432" s="4" t="b">
        <v>0</v>
      </c>
      <c r="Q432" s="4" t="b">
        <v>0</v>
      </c>
    </row>
    <row r="433" spans="5:17" x14ac:dyDescent="0.2">
      <c r="E433" s="93"/>
      <c r="F433" s="79"/>
      <c r="P433" s="4" t="b">
        <v>0</v>
      </c>
      <c r="Q433" s="4" t="b">
        <v>0</v>
      </c>
    </row>
    <row r="434" spans="5:17" x14ac:dyDescent="0.2">
      <c r="E434" s="93"/>
      <c r="F434" s="79"/>
      <c r="P434" s="4" t="b">
        <v>0</v>
      </c>
      <c r="Q434" s="4" t="b">
        <v>0</v>
      </c>
    </row>
    <row r="435" spans="5:17" x14ac:dyDescent="0.2">
      <c r="E435" s="93"/>
      <c r="F435" s="79"/>
      <c r="P435" s="4" t="b">
        <v>0</v>
      </c>
      <c r="Q435" s="4" t="b">
        <v>0</v>
      </c>
    </row>
    <row r="436" spans="5:17" x14ac:dyDescent="0.2">
      <c r="E436" s="93"/>
      <c r="F436" s="79"/>
      <c r="P436" s="4" t="b">
        <v>0</v>
      </c>
      <c r="Q436" s="4" t="b">
        <v>0</v>
      </c>
    </row>
    <row r="437" spans="5:17" x14ac:dyDescent="0.2">
      <c r="E437" s="93"/>
      <c r="F437" s="79"/>
      <c r="P437" s="4" t="b">
        <v>0</v>
      </c>
      <c r="Q437" s="4" t="b">
        <v>0</v>
      </c>
    </row>
    <row r="438" spans="5:17" x14ac:dyDescent="0.2">
      <c r="E438" s="93"/>
      <c r="F438" s="79"/>
      <c r="P438" s="4" t="b">
        <v>0</v>
      </c>
      <c r="Q438" s="4" t="b">
        <v>0</v>
      </c>
    </row>
    <row r="439" spans="5:17" x14ac:dyDescent="0.2">
      <c r="E439" s="93"/>
      <c r="F439" s="79"/>
      <c r="P439" s="4" t="b">
        <v>0</v>
      </c>
      <c r="Q439" s="4" t="b">
        <v>0</v>
      </c>
    </row>
    <row r="440" spans="5:17" x14ac:dyDescent="0.2">
      <c r="E440" s="93"/>
      <c r="F440" s="79"/>
      <c r="P440" s="4" t="b">
        <v>0</v>
      </c>
      <c r="Q440" s="4" t="b">
        <v>0</v>
      </c>
    </row>
    <row r="441" spans="5:17" x14ac:dyDescent="0.2">
      <c r="E441" s="93"/>
      <c r="F441" s="79"/>
      <c r="P441" s="4" t="b">
        <v>0</v>
      </c>
      <c r="Q441" s="4" t="b">
        <v>0</v>
      </c>
    </row>
    <row r="442" spans="5:17" x14ac:dyDescent="0.2">
      <c r="E442" s="93"/>
      <c r="F442" s="79"/>
      <c r="P442" s="4" t="b">
        <v>0</v>
      </c>
      <c r="Q442" s="4" t="b">
        <v>0</v>
      </c>
    </row>
    <row r="443" spans="5:17" x14ac:dyDescent="0.2">
      <c r="E443" s="93"/>
      <c r="F443" s="79"/>
      <c r="P443" s="4" t="b">
        <v>0</v>
      </c>
      <c r="Q443" s="4" t="b">
        <v>0</v>
      </c>
    </row>
    <row r="444" spans="5:17" x14ac:dyDescent="0.2">
      <c r="E444" s="93"/>
      <c r="F444" s="79"/>
      <c r="P444" s="4" t="b">
        <v>0</v>
      </c>
      <c r="Q444" s="4" t="b">
        <v>0</v>
      </c>
    </row>
    <row r="445" spans="5:17" x14ac:dyDescent="0.2">
      <c r="E445" s="93"/>
      <c r="F445" s="79"/>
      <c r="P445" s="4" t="b">
        <v>0</v>
      </c>
      <c r="Q445" s="4" t="b">
        <v>0</v>
      </c>
    </row>
    <row r="446" spans="5:17" x14ac:dyDescent="0.2">
      <c r="E446" s="93"/>
      <c r="F446" s="79"/>
      <c r="P446" s="4" t="b">
        <v>0</v>
      </c>
      <c r="Q446" s="4" t="b">
        <v>0</v>
      </c>
    </row>
    <row r="447" spans="5:17" x14ac:dyDescent="0.2">
      <c r="E447" s="93"/>
      <c r="F447" s="79"/>
      <c r="P447" s="4" t="b">
        <v>0</v>
      </c>
      <c r="Q447" s="4" t="b">
        <v>0</v>
      </c>
    </row>
    <row r="448" spans="5:17" x14ac:dyDescent="0.2">
      <c r="E448" s="93"/>
      <c r="F448" s="79"/>
      <c r="P448" s="4" t="b">
        <v>0</v>
      </c>
      <c r="Q448" s="4" t="b">
        <v>0</v>
      </c>
    </row>
    <row r="449" spans="5:17" x14ac:dyDescent="0.2">
      <c r="E449" s="93"/>
      <c r="F449" s="79"/>
      <c r="P449" s="4" t="b">
        <v>0</v>
      </c>
      <c r="Q449" s="4" t="b">
        <v>0</v>
      </c>
    </row>
    <row r="450" spans="5:17" x14ac:dyDescent="0.2">
      <c r="E450" s="93"/>
      <c r="F450" s="79"/>
      <c r="P450" s="4" t="b">
        <v>0</v>
      </c>
      <c r="Q450" s="4" t="b">
        <v>0</v>
      </c>
    </row>
    <row r="451" spans="5:17" x14ac:dyDescent="0.2">
      <c r="E451" s="93"/>
      <c r="F451" s="79"/>
      <c r="P451" s="4" t="b">
        <v>0</v>
      </c>
      <c r="Q451" s="4" t="b">
        <v>0</v>
      </c>
    </row>
    <row r="452" spans="5:17" x14ac:dyDescent="0.2">
      <c r="E452" s="93"/>
      <c r="F452" s="79"/>
      <c r="P452" s="4" t="b">
        <v>0</v>
      </c>
      <c r="Q452" s="4" t="b">
        <v>0</v>
      </c>
    </row>
    <row r="453" spans="5:17" x14ac:dyDescent="0.2">
      <c r="E453" s="93"/>
      <c r="F453" s="79"/>
      <c r="P453" s="4" t="b">
        <v>0</v>
      </c>
      <c r="Q453" s="4" t="b">
        <v>0</v>
      </c>
    </row>
    <row r="454" spans="5:17" x14ac:dyDescent="0.2">
      <c r="E454" s="93"/>
      <c r="F454" s="79"/>
      <c r="P454" s="4" t="b">
        <v>0</v>
      </c>
      <c r="Q454" s="4" t="b">
        <v>0</v>
      </c>
    </row>
    <row r="455" spans="5:17" x14ac:dyDescent="0.2">
      <c r="E455" s="93"/>
      <c r="F455" s="79"/>
      <c r="P455" s="4" t="b">
        <v>0</v>
      </c>
      <c r="Q455" s="4" t="b">
        <v>0</v>
      </c>
    </row>
    <row r="456" spans="5:17" x14ac:dyDescent="0.2">
      <c r="E456" s="93"/>
      <c r="F456" s="79"/>
      <c r="P456" s="4" t="b">
        <v>0</v>
      </c>
      <c r="Q456" s="4" t="b">
        <v>0</v>
      </c>
    </row>
    <row r="457" spans="5:17" x14ac:dyDescent="0.2">
      <c r="E457" s="93"/>
      <c r="F457" s="79"/>
      <c r="P457" s="4" t="b">
        <v>0</v>
      </c>
      <c r="Q457" s="4" t="b">
        <v>0</v>
      </c>
    </row>
    <row r="458" spans="5:17" x14ac:dyDescent="0.2">
      <c r="E458" s="93"/>
      <c r="F458" s="79"/>
      <c r="P458" s="4" t="b">
        <v>0</v>
      </c>
      <c r="Q458" s="4" t="b">
        <v>0</v>
      </c>
    </row>
    <row r="459" spans="5:17" x14ac:dyDescent="0.2">
      <c r="E459" s="93"/>
      <c r="F459" s="79"/>
      <c r="P459" s="4" t="b">
        <v>0</v>
      </c>
      <c r="Q459" s="4" t="b">
        <v>0</v>
      </c>
    </row>
    <row r="460" spans="5:17" x14ac:dyDescent="0.2">
      <c r="E460" s="93"/>
      <c r="F460" s="79"/>
      <c r="P460" s="4" t="b">
        <v>0</v>
      </c>
      <c r="Q460" s="4" t="b">
        <v>0</v>
      </c>
    </row>
    <row r="461" spans="5:17" x14ac:dyDescent="0.2">
      <c r="E461" s="93"/>
      <c r="F461" s="79"/>
      <c r="P461" s="4" t="b">
        <v>0</v>
      </c>
      <c r="Q461" s="4" t="b">
        <v>0</v>
      </c>
    </row>
    <row r="462" spans="5:17" x14ac:dyDescent="0.2">
      <c r="E462" s="93"/>
      <c r="F462" s="79"/>
      <c r="P462" s="4" t="b">
        <v>0</v>
      </c>
      <c r="Q462" s="4" t="b">
        <v>0</v>
      </c>
    </row>
    <row r="463" spans="5:17" x14ac:dyDescent="0.2">
      <c r="E463" s="93"/>
      <c r="F463" s="79"/>
      <c r="P463" s="4" t="b">
        <v>0</v>
      </c>
      <c r="Q463" s="4" t="b">
        <v>0</v>
      </c>
    </row>
    <row r="464" spans="5:17" x14ac:dyDescent="0.2">
      <c r="E464" s="93"/>
      <c r="F464" s="79"/>
      <c r="P464" s="4" t="b">
        <v>0</v>
      </c>
      <c r="Q464" s="4" t="b">
        <v>0</v>
      </c>
    </row>
    <row r="465" spans="5:17" x14ac:dyDescent="0.2">
      <c r="E465" s="93"/>
      <c r="F465" s="79"/>
      <c r="P465" s="4" t="b">
        <v>0</v>
      </c>
      <c r="Q465" s="4" t="b">
        <v>0</v>
      </c>
    </row>
    <row r="466" spans="5:17" x14ac:dyDescent="0.2">
      <c r="E466" s="93"/>
      <c r="F466" s="79"/>
      <c r="P466" s="4" t="b">
        <v>0</v>
      </c>
      <c r="Q466" s="4" t="b">
        <v>0</v>
      </c>
    </row>
    <row r="467" spans="5:17" x14ac:dyDescent="0.2">
      <c r="E467" s="93"/>
      <c r="F467" s="79"/>
      <c r="P467" s="4" t="b">
        <v>0</v>
      </c>
      <c r="Q467" s="4" t="b">
        <v>0</v>
      </c>
    </row>
    <row r="468" spans="5:17" x14ac:dyDescent="0.2">
      <c r="E468" s="93"/>
      <c r="F468" s="79"/>
      <c r="P468" s="4" t="b">
        <v>0</v>
      </c>
      <c r="Q468" s="4" t="b">
        <v>0</v>
      </c>
    </row>
    <row r="469" spans="5:17" x14ac:dyDescent="0.2">
      <c r="E469" s="93"/>
      <c r="F469" s="79"/>
      <c r="P469" s="4" t="b">
        <v>0</v>
      </c>
      <c r="Q469" s="4" t="b">
        <v>0</v>
      </c>
    </row>
    <row r="470" spans="5:17" x14ac:dyDescent="0.2">
      <c r="E470" s="93"/>
      <c r="F470" s="79"/>
      <c r="P470" s="4" t="b">
        <v>0</v>
      </c>
      <c r="Q470" s="4" t="b">
        <v>0</v>
      </c>
    </row>
    <row r="471" spans="5:17" x14ac:dyDescent="0.2">
      <c r="E471" s="93"/>
      <c r="F471" s="79"/>
      <c r="P471" s="4" t="b">
        <v>0</v>
      </c>
      <c r="Q471" s="4" t="b">
        <v>0</v>
      </c>
    </row>
    <row r="472" spans="5:17" x14ac:dyDescent="0.2">
      <c r="E472" s="93"/>
      <c r="F472" s="79"/>
      <c r="P472" s="4" t="b">
        <v>0</v>
      </c>
      <c r="Q472" s="4" t="b">
        <v>0</v>
      </c>
    </row>
    <row r="473" spans="5:17" x14ac:dyDescent="0.2">
      <c r="E473" s="93"/>
      <c r="F473" s="79"/>
      <c r="P473" s="4" t="b">
        <v>0</v>
      </c>
      <c r="Q473" s="4" t="b">
        <v>0</v>
      </c>
    </row>
    <row r="474" spans="5:17" x14ac:dyDescent="0.2">
      <c r="E474" s="93"/>
      <c r="F474" s="79"/>
      <c r="P474" s="4" t="b">
        <v>0</v>
      </c>
      <c r="Q474" s="4" t="b">
        <v>0</v>
      </c>
    </row>
    <row r="475" spans="5:17" x14ac:dyDescent="0.2">
      <c r="E475" s="93"/>
      <c r="F475" s="79"/>
      <c r="P475" s="4" t="b">
        <v>0</v>
      </c>
      <c r="Q475" s="4" t="b">
        <v>0</v>
      </c>
    </row>
    <row r="476" spans="5:17" x14ac:dyDescent="0.2">
      <c r="E476" s="93"/>
      <c r="F476" s="79"/>
      <c r="P476" s="4" t="b">
        <v>0</v>
      </c>
      <c r="Q476" s="4" t="b">
        <v>0</v>
      </c>
    </row>
    <row r="477" spans="5:17" x14ac:dyDescent="0.2">
      <c r="E477" s="93"/>
      <c r="F477" s="79"/>
      <c r="P477" s="4" t="b">
        <v>0</v>
      </c>
      <c r="Q477" s="4" t="b">
        <v>0</v>
      </c>
    </row>
    <row r="478" spans="5:17" x14ac:dyDescent="0.2">
      <c r="E478" s="93"/>
      <c r="F478" s="79"/>
      <c r="P478" s="4" t="b">
        <v>0</v>
      </c>
      <c r="Q478" s="4" t="b">
        <v>0</v>
      </c>
    </row>
    <row r="479" spans="5:17" x14ac:dyDescent="0.2">
      <c r="E479" s="93"/>
      <c r="F479" s="79"/>
      <c r="P479" s="4" t="b">
        <v>0</v>
      </c>
      <c r="Q479" s="4" t="b">
        <v>0</v>
      </c>
    </row>
    <row r="480" spans="5:17" x14ac:dyDescent="0.2">
      <c r="E480" s="93"/>
      <c r="F480" s="79"/>
      <c r="P480" s="4" t="b">
        <v>0</v>
      </c>
      <c r="Q480" s="4" t="b">
        <v>0</v>
      </c>
    </row>
    <row r="481" spans="5:17" x14ac:dyDescent="0.2">
      <c r="E481" s="93"/>
      <c r="F481" s="79"/>
      <c r="P481" s="4" t="b">
        <v>0</v>
      </c>
      <c r="Q481" s="4" t="b">
        <v>0</v>
      </c>
    </row>
    <row r="482" spans="5:17" x14ac:dyDescent="0.2">
      <c r="E482" s="93"/>
      <c r="F482" s="79"/>
      <c r="P482" s="4" t="b">
        <v>0</v>
      </c>
      <c r="Q482" s="4" t="b">
        <v>0</v>
      </c>
    </row>
    <row r="483" spans="5:17" x14ac:dyDescent="0.2">
      <c r="E483" s="93"/>
      <c r="F483" s="79"/>
      <c r="P483" s="4" t="b">
        <v>0</v>
      </c>
      <c r="Q483" s="4" t="b">
        <v>0</v>
      </c>
    </row>
    <row r="484" spans="5:17" x14ac:dyDescent="0.2">
      <c r="E484" s="93"/>
      <c r="F484" s="79"/>
      <c r="P484" s="4" t="b">
        <v>0</v>
      </c>
      <c r="Q484" s="4" t="b">
        <v>0</v>
      </c>
    </row>
    <row r="485" spans="5:17" x14ac:dyDescent="0.2">
      <c r="E485" s="93"/>
      <c r="F485" s="79"/>
      <c r="P485" s="4" t="b">
        <v>0</v>
      </c>
      <c r="Q485" s="4" t="b">
        <v>0</v>
      </c>
    </row>
    <row r="486" spans="5:17" x14ac:dyDescent="0.2">
      <c r="E486" s="93"/>
      <c r="F486" s="79"/>
      <c r="P486" s="4" t="b">
        <v>0</v>
      </c>
      <c r="Q486" s="4" t="b">
        <v>0</v>
      </c>
    </row>
    <row r="487" spans="5:17" x14ac:dyDescent="0.2">
      <c r="E487" s="93"/>
      <c r="F487" s="79"/>
      <c r="P487" s="4" t="b">
        <v>0</v>
      </c>
      <c r="Q487" s="4" t="b">
        <v>0</v>
      </c>
    </row>
    <row r="488" spans="5:17" x14ac:dyDescent="0.2">
      <c r="E488" s="93"/>
      <c r="F488" s="79"/>
      <c r="P488" s="4" t="b">
        <v>0</v>
      </c>
      <c r="Q488" s="4" t="b">
        <v>0</v>
      </c>
    </row>
    <row r="489" spans="5:17" x14ac:dyDescent="0.2">
      <c r="E489" s="93"/>
      <c r="F489" s="79"/>
      <c r="P489" s="4" t="b">
        <v>0</v>
      </c>
      <c r="Q489" s="4" t="b">
        <v>0</v>
      </c>
    </row>
    <row r="490" spans="5:17" x14ac:dyDescent="0.2">
      <c r="E490" s="93"/>
      <c r="F490" s="79"/>
      <c r="P490" s="4" t="b">
        <v>0</v>
      </c>
      <c r="Q490" s="4" t="b">
        <v>0</v>
      </c>
    </row>
    <row r="491" spans="5:17" x14ac:dyDescent="0.2">
      <c r="E491" s="93"/>
      <c r="F491" s="79"/>
      <c r="P491" s="4" t="b">
        <v>0</v>
      </c>
      <c r="Q491" s="4" t="b">
        <v>0</v>
      </c>
    </row>
    <row r="492" spans="5:17" x14ac:dyDescent="0.2">
      <c r="E492" s="93"/>
      <c r="F492" s="79"/>
      <c r="P492" s="4" t="b">
        <v>0</v>
      </c>
      <c r="Q492" s="4" t="b">
        <v>0</v>
      </c>
    </row>
    <row r="493" spans="5:17" x14ac:dyDescent="0.2">
      <c r="E493" s="93"/>
      <c r="F493" s="79"/>
      <c r="P493" s="4" t="b">
        <v>0</v>
      </c>
      <c r="Q493" s="4" t="b">
        <v>0</v>
      </c>
    </row>
    <row r="494" spans="5:17" x14ac:dyDescent="0.2">
      <c r="E494" s="93"/>
      <c r="F494" s="79"/>
      <c r="P494" s="4" t="b">
        <v>0</v>
      </c>
      <c r="Q494" s="4" t="b">
        <v>0</v>
      </c>
    </row>
    <row r="495" spans="5:17" x14ac:dyDescent="0.2">
      <c r="E495" s="93"/>
      <c r="F495" s="79"/>
      <c r="P495" s="4" t="b">
        <v>0</v>
      </c>
      <c r="Q495" s="4" t="b">
        <v>0</v>
      </c>
    </row>
    <row r="496" spans="5:17" x14ac:dyDescent="0.2">
      <c r="E496" s="93"/>
      <c r="F496" s="79"/>
      <c r="P496" s="4" t="b">
        <v>0</v>
      </c>
      <c r="Q496" s="4" t="b">
        <v>0</v>
      </c>
    </row>
    <row r="497" spans="5:17" x14ac:dyDescent="0.2">
      <c r="E497" s="93"/>
      <c r="F497" s="79"/>
      <c r="P497" s="4" t="b">
        <v>0</v>
      </c>
      <c r="Q497" s="4" t="b">
        <v>0</v>
      </c>
    </row>
    <row r="498" spans="5:17" x14ac:dyDescent="0.2">
      <c r="E498" s="93"/>
      <c r="F498" s="79"/>
      <c r="P498" s="4" t="b">
        <v>0</v>
      </c>
      <c r="Q498" s="4" t="b">
        <v>0</v>
      </c>
    </row>
    <row r="499" spans="5:17" x14ac:dyDescent="0.2">
      <c r="E499" s="93"/>
      <c r="F499" s="79"/>
      <c r="P499" s="4" t="b">
        <v>0</v>
      </c>
      <c r="Q499" s="4" t="b">
        <v>0</v>
      </c>
    </row>
    <row r="500" spans="5:17" x14ac:dyDescent="0.2">
      <c r="E500" s="93"/>
      <c r="F500" s="79"/>
      <c r="P500" s="4" t="b">
        <v>0</v>
      </c>
      <c r="Q500" s="4" t="b">
        <v>0</v>
      </c>
    </row>
    <row r="501" spans="5:17" x14ac:dyDescent="0.2">
      <c r="E501" s="93"/>
      <c r="F501" s="79"/>
      <c r="P501" s="4" t="b">
        <v>0</v>
      </c>
      <c r="Q501" s="4" t="b">
        <v>0</v>
      </c>
    </row>
    <row r="502" spans="5:17" x14ac:dyDescent="0.2">
      <c r="E502" s="93"/>
      <c r="F502" s="79"/>
      <c r="P502" s="4" t="b">
        <v>0</v>
      </c>
      <c r="Q502" s="4" t="b">
        <v>0</v>
      </c>
    </row>
    <row r="503" spans="5:17" x14ac:dyDescent="0.2">
      <c r="E503" s="93"/>
      <c r="F503" s="79"/>
      <c r="P503" s="4" t="b">
        <v>0</v>
      </c>
      <c r="Q503" s="4" t="b">
        <v>0</v>
      </c>
    </row>
    <row r="504" spans="5:17" x14ac:dyDescent="0.2">
      <c r="E504" s="93"/>
      <c r="F504" s="79"/>
      <c r="P504" s="4" t="b">
        <v>0</v>
      </c>
      <c r="Q504" s="4" t="b">
        <v>0</v>
      </c>
    </row>
    <row r="505" spans="5:17" x14ac:dyDescent="0.2">
      <c r="E505" s="93"/>
      <c r="F505" s="79"/>
      <c r="P505" s="4" t="b">
        <v>0</v>
      </c>
      <c r="Q505" s="4" t="b">
        <v>0</v>
      </c>
    </row>
    <row r="506" spans="5:17" x14ac:dyDescent="0.2">
      <c r="E506" s="93"/>
      <c r="F506" s="79"/>
      <c r="P506" s="4" t="b">
        <v>0</v>
      </c>
      <c r="Q506" s="4" t="b">
        <v>0</v>
      </c>
    </row>
    <row r="507" spans="5:17" x14ac:dyDescent="0.2">
      <c r="E507" s="93"/>
      <c r="F507" s="79"/>
      <c r="P507" s="4" t="b">
        <v>0</v>
      </c>
      <c r="Q507" s="4" t="b">
        <v>0</v>
      </c>
    </row>
    <row r="508" spans="5:17" x14ac:dyDescent="0.2">
      <c r="E508" s="93"/>
      <c r="F508" s="79"/>
      <c r="P508" s="4" t="b">
        <v>0</v>
      </c>
      <c r="Q508" s="4" t="b">
        <v>0</v>
      </c>
    </row>
    <row r="509" spans="5:17" x14ac:dyDescent="0.2">
      <c r="E509" s="93"/>
      <c r="F509" s="79"/>
      <c r="P509" s="4" t="b">
        <v>0</v>
      </c>
      <c r="Q509" s="4" t="b">
        <v>0</v>
      </c>
    </row>
    <row r="510" spans="5:17" x14ac:dyDescent="0.2">
      <c r="E510" s="93"/>
      <c r="F510" s="79"/>
      <c r="P510" s="4" t="b">
        <v>0</v>
      </c>
      <c r="Q510" s="4" t="b">
        <v>0</v>
      </c>
    </row>
    <row r="511" spans="5:17" x14ac:dyDescent="0.2">
      <c r="E511" s="93"/>
      <c r="F511" s="79"/>
      <c r="P511" s="4" t="b">
        <v>0</v>
      </c>
      <c r="Q511" s="4" t="b">
        <v>0</v>
      </c>
    </row>
    <row r="512" spans="5:17" x14ac:dyDescent="0.2">
      <c r="E512" s="93"/>
      <c r="F512" s="79"/>
      <c r="P512" s="4" t="b">
        <v>0</v>
      </c>
      <c r="Q512" s="4" t="b">
        <v>0</v>
      </c>
    </row>
    <row r="513" spans="5:17" x14ac:dyDescent="0.2">
      <c r="E513" s="93"/>
      <c r="F513" s="79"/>
      <c r="P513" s="4" t="b">
        <v>0</v>
      </c>
      <c r="Q513" s="4" t="b">
        <v>0</v>
      </c>
    </row>
    <row r="514" spans="5:17" x14ac:dyDescent="0.2">
      <c r="E514" s="93"/>
      <c r="F514" s="79"/>
      <c r="P514" s="4" t="b">
        <v>0</v>
      </c>
      <c r="Q514" s="4" t="b">
        <v>0</v>
      </c>
    </row>
    <row r="515" spans="5:17" x14ac:dyDescent="0.2">
      <c r="E515" s="93"/>
      <c r="F515" s="79"/>
      <c r="P515" s="4" t="b">
        <v>0</v>
      </c>
      <c r="Q515" s="4" t="b">
        <v>0</v>
      </c>
    </row>
    <row r="516" spans="5:17" x14ac:dyDescent="0.2">
      <c r="E516" s="93"/>
      <c r="F516" s="79"/>
      <c r="P516" s="4" t="b">
        <v>0</v>
      </c>
      <c r="Q516" s="4" t="b">
        <v>0</v>
      </c>
    </row>
    <row r="517" spans="5:17" x14ac:dyDescent="0.2">
      <c r="E517" s="93"/>
      <c r="F517" s="79"/>
      <c r="P517" s="4" t="b">
        <v>0</v>
      </c>
      <c r="Q517" s="4" t="b">
        <v>0</v>
      </c>
    </row>
    <row r="518" spans="5:17" x14ac:dyDescent="0.2">
      <c r="E518" s="93"/>
      <c r="F518" s="79"/>
      <c r="P518" s="4" t="b">
        <v>0</v>
      </c>
      <c r="Q518" s="4" t="b">
        <v>0</v>
      </c>
    </row>
    <row r="519" spans="5:17" x14ac:dyDescent="0.2">
      <c r="E519" s="93"/>
      <c r="F519" s="79"/>
      <c r="P519" s="4" t="b">
        <v>0</v>
      </c>
      <c r="Q519" s="4" t="b">
        <v>0</v>
      </c>
    </row>
    <row r="520" spans="5:17" x14ac:dyDescent="0.2">
      <c r="E520" s="93"/>
      <c r="F520" s="79"/>
      <c r="P520" s="4" t="b">
        <v>0</v>
      </c>
      <c r="Q520" s="4" t="b">
        <v>0</v>
      </c>
    </row>
    <row r="521" spans="5:17" x14ac:dyDescent="0.2">
      <c r="E521" s="93"/>
      <c r="F521" s="79"/>
      <c r="P521" s="4" t="b">
        <v>0</v>
      </c>
      <c r="Q521" s="4" t="b">
        <v>0</v>
      </c>
    </row>
    <row r="522" spans="5:17" x14ac:dyDescent="0.2">
      <c r="E522" s="93"/>
      <c r="F522" s="79"/>
      <c r="P522" s="4" t="b">
        <v>0</v>
      </c>
      <c r="Q522" s="4" t="b">
        <v>0</v>
      </c>
    </row>
    <row r="523" spans="5:17" x14ac:dyDescent="0.2">
      <c r="E523" s="93"/>
      <c r="F523" s="79"/>
      <c r="P523" s="4" t="b">
        <v>0</v>
      </c>
      <c r="Q523" s="4" t="b">
        <v>0</v>
      </c>
    </row>
    <row r="524" spans="5:17" x14ac:dyDescent="0.2">
      <c r="E524" s="93"/>
      <c r="F524" s="79"/>
      <c r="P524" s="4" t="b">
        <v>0</v>
      </c>
      <c r="Q524" s="4" t="b">
        <v>0</v>
      </c>
    </row>
    <row r="525" spans="5:17" x14ac:dyDescent="0.2">
      <c r="E525" s="93"/>
      <c r="F525" s="79"/>
      <c r="P525" s="4" t="b">
        <v>0</v>
      </c>
      <c r="Q525" s="4" t="b">
        <v>0</v>
      </c>
    </row>
    <row r="526" spans="5:17" x14ac:dyDescent="0.2">
      <c r="E526" s="93"/>
      <c r="F526" s="79"/>
      <c r="P526" s="4" t="b">
        <v>0</v>
      </c>
      <c r="Q526" s="4" t="b">
        <v>0</v>
      </c>
    </row>
    <row r="527" spans="5:17" x14ac:dyDescent="0.2">
      <c r="E527" s="93"/>
      <c r="F527" s="79"/>
      <c r="P527" s="4" t="b">
        <v>0</v>
      </c>
      <c r="Q527" s="4" t="b">
        <v>0</v>
      </c>
    </row>
    <row r="528" spans="5:17" x14ac:dyDescent="0.2">
      <c r="E528" s="93"/>
      <c r="F528" s="79"/>
      <c r="P528" s="4" t="b">
        <v>0</v>
      </c>
      <c r="Q528" s="4" t="b">
        <v>0</v>
      </c>
    </row>
    <row r="529" spans="5:17" x14ac:dyDescent="0.2">
      <c r="E529" s="93"/>
      <c r="F529" s="79"/>
      <c r="P529" s="4" t="b">
        <v>0</v>
      </c>
      <c r="Q529" s="4" t="b">
        <v>0</v>
      </c>
    </row>
    <row r="530" spans="5:17" x14ac:dyDescent="0.2">
      <c r="E530" s="93"/>
      <c r="F530" s="79"/>
      <c r="P530" s="4" t="b">
        <v>0</v>
      </c>
      <c r="Q530" s="4" t="b">
        <v>0</v>
      </c>
    </row>
    <row r="531" spans="5:17" x14ac:dyDescent="0.2">
      <c r="E531" s="93"/>
      <c r="F531" s="79"/>
      <c r="P531" s="4" t="b">
        <v>0</v>
      </c>
      <c r="Q531" s="4" t="b">
        <v>0</v>
      </c>
    </row>
    <row r="532" spans="5:17" x14ac:dyDescent="0.2">
      <c r="E532" s="93"/>
      <c r="F532" s="79"/>
      <c r="P532" s="4" t="b">
        <v>0</v>
      </c>
      <c r="Q532" s="4" t="b">
        <v>0</v>
      </c>
    </row>
    <row r="533" spans="5:17" x14ac:dyDescent="0.2">
      <c r="E533" s="93"/>
      <c r="F533" s="79"/>
      <c r="P533" s="4" t="b">
        <v>0</v>
      </c>
      <c r="Q533" s="4" t="b">
        <v>0</v>
      </c>
    </row>
    <row r="534" spans="5:17" x14ac:dyDescent="0.2">
      <c r="E534" s="93"/>
      <c r="F534" s="79"/>
      <c r="P534" s="4" t="b">
        <v>0</v>
      </c>
      <c r="Q534" s="4" t="b">
        <v>0</v>
      </c>
    </row>
    <row r="535" spans="5:17" x14ac:dyDescent="0.2">
      <c r="E535" s="93"/>
      <c r="F535" s="79"/>
      <c r="P535" s="4" t="b">
        <v>0</v>
      </c>
      <c r="Q535" s="4" t="b">
        <v>0</v>
      </c>
    </row>
    <row r="536" spans="5:17" x14ac:dyDescent="0.2">
      <c r="E536" s="93"/>
      <c r="F536" s="79"/>
      <c r="P536" s="4" t="b">
        <v>0</v>
      </c>
      <c r="Q536" s="4" t="b">
        <v>0</v>
      </c>
    </row>
    <row r="537" spans="5:17" x14ac:dyDescent="0.2">
      <c r="E537" s="93"/>
      <c r="F537" s="79"/>
      <c r="P537" s="4" t="b">
        <v>0</v>
      </c>
      <c r="Q537" s="4" t="b">
        <v>0</v>
      </c>
    </row>
    <row r="538" spans="5:17" x14ac:dyDescent="0.2">
      <c r="E538" s="93"/>
      <c r="F538" s="79"/>
      <c r="P538" s="4" t="b">
        <v>0</v>
      </c>
      <c r="Q538" s="4" t="b">
        <v>0</v>
      </c>
    </row>
    <row r="539" spans="5:17" x14ac:dyDescent="0.2">
      <c r="E539" s="93"/>
      <c r="F539" s="79"/>
      <c r="P539" s="4" t="b">
        <v>0</v>
      </c>
      <c r="Q539" s="4" t="b">
        <v>0</v>
      </c>
    </row>
    <row r="540" spans="5:17" x14ac:dyDescent="0.2">
      <c r="E540" s="93"/>
      <c r="F540" s="79"/>
      <c r="P540" s="4" t="b">
        <v>0</v>
      </c>
      <c r="Q540" s="4" t="b">
        <v>0</v>
      </c>
    </row>
    <row r="541" spans="5:17" x14ac:dyDescent="0.2">
      <c r="E541" s="93"/>
      <c r="F541" s="79"/>
      <c r="P541" s="4" t="b">
        <v>0</v>
      </c>
      <c r="Q541" s="4" t="b">
        <v>0</v>
      </c>
    </row>
    <row r="542" spans="5:17" x14ac:dyDescent="0.2">
      <c r="E542" s="93"/>
      <c r="F542" s="79"/>
      <c r="P542" s="4" t="b">
        <v>0</v>
      </c>
      <c r="Q542" s="4" t="b">
        <v>0</v>
      </c>
    </row>
    <row r="543" spans="5:17" x14ac:dyDescent="0.2">
      <c r="E543" s="93"/>
      <c r="F543" s="79"/>
      <c r="P543" s="4" t="b">
        <v>0</v>
      </c>
      <c r="Q543" s="4" t="b">
        <v>0</v>
      </c>
    </row>
    <row r="544" spans="5:17" x14ac:dyDescent="0.2">
      <c r="E544" s="93"/>
      <c r="F544" s="79"/>
      <c r="P544" s="4" t="b">
        <v>0</v>
      </c>
      <c r="Q544" s="4" t="b">
        <v>0</v>
      </c>
    </row>
    <row r="545" spans="5:17" x14ac:dyDescent="0.2">
      <c r="E545" s="93"/>
      <c r="F545" s="79"/>
      <c r="P545" s="4" t="b">
        <v>0</v>
      </c>
      <c r="Q545" s="4" t="b">
        <v>0</v>
      </c>
    </row>
    <row r="546" spans="5:17" x14ac:dyDescent="0.2">
      <c r="E546" s="93"/>
      <c r="F546" s="79"/>
      <c r="P546" s="4" t="b">
        <v>0</v>
      </c>
      <c r="Q546" s="4" t="b">
        <v>0</v>
      </c>
    </row>
    <row r="547" spans="5:17" x14ac:dyDescent="0.2">
      <c r="E547" s="93"/>
      <c r="F547" s="79"/>
      <c r="P547" s="4" t="b">
        <v>0</v>
      </c>
      <c r="Q547" s="4" t="b">
        <v>0</v>
      </c>
    </row>
    <row r="548" spans="5:17" x14ac:dyDescent="0.2">
      <c r="E548" s="93"/>
      <c r="F548" s="79"/>
      <c r="P548" s="4" t="b">
        <v>0</v>
      </c>
      <c r="Q548" s="4" t="b">
        <v>0</v>
      </c>
    </row>
    <row r="549" spans="5:17" x14ac:dyDescent="0.2">
      <c r="E549" s="93"/>
      <c r="F549" s="79"/>
      <c r="P549" s="4" t="b">
        <v>0</v>
      </c>
      <c r="Q549" s="4" t="b">
        <v>0</v>
      </c>
    </row>
    <row r="550" spans="5:17" x14ac:dyDescent="0.2">
      <c r="E550" s="93"/>
      <c r="F550" s="79"/>
      <c r="P550" s="4" t="b">
        <v>0</v>
      </c>
      <c r="Q550" s="4" t="b">
        <v>0</v>
      </c>
    </row>
    <row r="551" spans="5:17" x14ac:dyDescent="0.2">
      <c r="E551" s="93"/>
      <c r="F551" s="79"/>
      <c r="P551" s="4" t="b">
        <v>0</v>
      </c>
      <c r="Q551" s="4" t="b">
        <v>0</v>
      </c>
    </row>
    <row r="552" spans="5:17" x14ac:dyDescent="0.2">
      <c r="E552" s="93"/>
      <c r="F552" s="79"/>
      <c r="P552" s="4" t="b">
        <v>0</v>
      </c>
      <c r="Q552" s="4" t="b">
        <v>0</v>
      </c>
    </row>
    <row r="553" spans="5:17" x14ac:dyDescent="0.2">
      <c r="E553" s="93"/>
      <c r="F553" s="79"/>
      <c r="P553" s="4" t="b">
        <v>0</v>
      </c>
      <c r="Q553" s="4" t="b">
        <v>0</v>
      </c>
    </row>
    <row r="554" spans="5:17" x14ac:dyDescent="0.2">
      <c r="E554" s="93"/>
      <c r="F554" s="79"/>
      <c r="P554" s="4" t="b">
        <v>0</v>
      </c>
      <c r="Q554" s="4" t="b">
        <v>0</v>
      </c>
    </row>
    <row r="555" spans="5:17" x14ac:dyDescent="0.2">
      <c r="E555" s="93"/>
      <c r="F555" s="79"/>
      <c r="P555" s="4" t="b">
        <v>0</v>
      </c>
      <c r="Q555" s="4" t="b">
        <v>0</v>
      </c>
    </row>
    <row r="556" spans="5:17" x14ac:dyDescent="0.2">
      <c r="E556" s="93"/>
      <c r="F556" s="79"/>
      <c r="P556" s="4" t="b">
        <v>0</v>
      </c>
      <c r="Q556" s="4" t="b">
        <v>0</v>
      </c>
    </row>
    <row r="557" spans="5:17" x14ac:dyDescent="0.2">
      <c r="E557" s="93"/>
      <c r="F557" s="79"/>
      <c r="P557" s="4" t="b">
        <v>0</v>
      </c>
      <c r="Q557" s="4" t="b">
        <v>0</v>
      </c>
    </row>
    <row r="558" spans="5:17" x14ac:dyDescent="0.2">
      <c r="E558" s="93"/>
      <c r="F558" s="79"/>
      <c r="P558" s="4" t="b">
        <v>0</v>
      </c>
      <c r="Q558" s="4" t="b">
        <v>0</v>
      </c>
    </row>
    <row r="559" spans="5:17" x14ac:dyDescent="0.2">
      <c r="E559" s="93"/>
      <c r="F559" s="79"/>
      <c r="P559" s="4" t="b">
        <v>0</v>
      </c>
      <c r="Q559" s="4" t="b">
        <v>0</v>
      </c>
    </row>
    <row r="560" spans="5:17" x14ac:dyDescent="0.2">
      <c r="E560" s="93"/>
      <c r="F560" s="79"/>
      <c r="P560" s="4" t="b">
        <v>0</v>
      </c>
      <c r="Q560" s="4" t="b">
        <v>0</v>
      </c>
    </row>
    <row r="561" spans="5:17" x14ac:dyDescent="0.2">
      <c r="E561" s="93"/>
      <c r="F561" s="79"/>
      <c r="P561" s="4" t="b">
        <v>0</v>
      </c>
      <c r="Q561" s="4" t="b">
        <v>0</v>
      </c>
    </row>
    <row r="562" spans="5:17" x14ac:dyDescent="0.2">
      <c r="E562" s="93"/>
      <c r="F562" s="79"/>
      <c r="P562" s="4" t="b">
        <v>0</v>
      </c>
      <c r="Q562" s="4" t="b">
        <v>0</v>
      </c>
    </row>
    <row r="563" spans="5:17" x14ac:dyDescent="0.2">
      <c r="E563" s="93"/>
      <c r="F563" s="79"/>
      <c r="P563" s="4" t="b">
        <v>0</v>
      </c>
      <c r="Q563" s="4" t="b">
        <v>0</v>
      </c>
    </row>
    <row r="564" spans="5:17" x14ac:dyDescent="0.2">
      <c r="E564" s="93"/>
      <c r="F564" s="79"/>
      <c r="P564" s="4" t="b">
        <v>0</v>
      </c>
      <c r="Q564" s="4" t="b">
        <v>0</v>
      </c>
    </row>
    <row r="565" spans="5:17" x14ac:dyDescent="0.2">
      <c r="E565" s="93"/>
      <c r="F565" s="79"/>
      <c r="P565" s="4" t="b">
        <v>0</v>
      </c>
      <c r="Q565" s="4" t="b">
        <v>0</v>
      </c>
    </row>
    <row r="566" spans="5:17" x14ac:dyDescent="0.2">
      <c r="E566" s="93"/>
      <c r="F566" s="79"/>
      <c r="P566" s="4" t="b">
        <v>0</v>
      </c>
      <c r="Q566" s="4" t="b">
        <v>0</v>
      </c>
    </row>
    <row r="567" spans="5:17" x14ac:dyDescent="0.2">
      <c r="E567" s="93"/>
      <c r="F567" s="79"/>
      <c r="P567" s="4" t="b">
        <v>0</v>
      </c>
      <c r="Q567" s="4" t="b">
        <v>0</v>
      </c>
    </row>
    <row r="568" spans="5:17" x14ac:dyDescent="0.2">
      <c r="E568" s="93"/>
      <c r="F568" s="79"/>
      <c r="P568" s="4" t="b">
        <v>0</v>
      </c>
      <c r="Q568" s="4" t="b">
        <v>0</v>
      </c>
    </row>
    <row r="569" spans="5:17" x14ac:dyDescent="0.2">
      <c r="E569" s="93"/>
      <c r="F569" s="79"/>
      <c r="P569" s="4" t="b">
        <v>0</v>
      </c>
      <c r="Q569" s="4" t="b">
        <v>0</v>
      </c>
    </row>
    <row r="570" spans="5:17" x14ac:dyDescent="0.2">
      <c r="E570" s="93"/>
      <c r="F570" s="79"/>
      <c r="P570" s="4" t="b">
        <v>0</v>
      </c>
      <c r="Q570" s="4" t="b">
        <v>0</v>
      </c>
    </row>
    <row r="571" spans="5:17" x14ac:dyDescent="0.2">
      <c r="E571" s="93"/>
      <c r="F571" s="79"/>
      <c r="P571" s="4" t="b">
        <v>0</v>
      </c>
      <c r="Q571" s="4" t="b">
        <v>0</v>
      </c>
    </row>
    <row r="572" spans="5:17" x14ac:dyDescent="0.2">
      <c r="E572" s="93"/>
      <c r="F572" s="79"/>
      <c r="P572" s="4" t="b">
        <v>0</v>
      </c>
      <c r="Q572" s="4" t="b">
        <v>0</v>
      </c>
    </row>
    <row r="573" spans="5:17" x14ac:dyDescent="0.2">
      <c r="E573" s="93"/>
      <c r="F573" s="79"/>
      <c r="P573" s="4" t="b">
        <v>0</v>
      </c>
      <c r="Q573" s="4" t="b">
        <v>0</v>
      </c>
    </row>
    <row r="574" spans="5:17" x14ac:dyDescent="0.2">
      <c r="E574" s="93"/>
      <c r="F574" s="79"/>
      <c r="P574" s="4" t="b">
        <v>0</v>
      </c>
      <c r="Q574" s="4" t="b">
        <v>0</v>
      </c>
    </row>
    <row r="575" spans="5:17" x14ac:dyDescent="0.2">
      <c r="E575" s="93"/>
      <c r="F575" s="79"/>
      <c r="P575" s="4" t="b">
        <v>0</v>
      </c>
      <c r="Q575" s="4" t="b">
        <v>0</v>
      </c>
    </row>
    <row r="576" spans="5:17" x14ac:dyDescent="0.2">
      <c r="E576" s="93"/>
      <c r="F576" s="79"/>
      <c r="P576" s="4" t="b">
        <v>0</v>
      </c>
      <c r="Q576" s="4" t="b">
        <v>0</v>
      </c>
    </row>
    <row r="577" spans="5:17" x14ac:dyDescent="0.2">
      <c r="E577" s="93"/>
      <c r="F577" s="79"/>
      <c r="P577" s="4" t="b">
        <v>0</v>
      </c>
      <c r="Q577" s="4" t="b">
        <v>0</v>
      </c>
    </row>
    <row r="578" spans="5:17" x14ac:dyDescent="0.2">
      <c r="E578" s="93"/>
      <c r="F578" s="79"/>
      <c r="P578" s="4" t="b">
        <v>0</v>
      </c>
      <c r="Q578" s="4" t="b">
        <v>0</v>
      </c>
    </row>
    <row r="579" spans="5:17" x14ac:dyDescent="0.2">
      <c r="E579" s="93"/>
      <c r="F579" s="79"/>
      <c r="P579" s="4" t="b">
        <v>0</v>
      </c>
      <c r="Q579" s="4" t="b">
        <v>0</v>
      </c>
    </row>
    <row r="580" spans="5:17" x14ac:dyDescent="0.2">
      <c r="E580" s="93"/>
      <c r="F580" s="79"/>
      <c r="P580" s="4" t="b">
        <v>0</v>
      </c>
      <c r="Q580" s="4" t="b">
        <v>0</v>
      </c>
    </row>
    <row r="581" spans="5:17" x14ac:dyDescent="0.2">
      <c r="E581" s="93"/>
      <c r="F581" s="79"/>
      <c r="P581" s="4" t="b">
        <v>0</v>
      </c>
      <c r="Q581" s="4" t="b">
        <v>0</v>
      </c>
    </row>
    <row r="582" spans="5:17" x14ac:dyDescent="0.2">
      <c r="E582" s="93"/>
      <c r="F582" s="79"/>
      <c r="P582" s="4" t="b">
        <v>0</v>
      </c>
      <c r="Q582" s="4" t="b">
        <v>0</v>
      </c>
    </row>
    <row r="583" spans="5:17" x14ac:dyDescent="0.2">
      <c r="E583" s="93"/>
      <c r="F583" s="79"/>
      <c r="P583" s="4" t="b">
        <v>0</v>
      </c>
      <c r="Q583" s="4" t="b">
        <v>0</v>
      </c>
    </row>
    <row r="584" spans="5:17" x14ac:dyDescent="0.2">
      <c r="E584" s="93"/>
      <c r="F584" s="79"/>
      <c r="P584" s="4" t="b">
        <v>0</v>
      </c>
      <c r="Q584" s="4" t="b">
        <v>0</v>
      </c>
    </row>
    <row r="585" spans="5:17" x14ac:dyDescent="0.2">
      <c r="E585" s="93"/>
      <c r="F585" s="79"/>
      <c r="P585" s="4" t="b">
        <v>0</v>
      </c>
      <c r="Q585" s="4" t="b">
        <v>0</v>
      </c>
    </row>
    <row r="586" spans="5:17" x14ac:dyDescent="0.2">
      <c r="E586" s="93"/>
      <c r="F586" s="79"/>
      <c r="P586" s="4" t="b">
        <v>0</v>
      </c>
      <c r="Q586" s="4" t="b">
        <v>0</v>
      </c>
    </row>
    <row r="587" spans="5:17" x14ac:dyDescent="0.2">
      <c r="E587" s="93"/>
      <c r="F587" s="79"/>
      <c r="P587" s="4" t="b">
        <v>0</v>
      </c>
      <c r="Q587" s="4" t="b">
        <v>0</v>
      </c>
    </row>
    <row r="588" spans="5:17" x14ac:dyDescent="0.2">
      <c r="E588" s="93"/>
      <c r="F588" s="79"/>
      <c r="P588" s="4" t="b">
        <v>0</v>
      </c>
      <c r="Q588" s="4" t="b">
        <v>0</v>
      </c>
    </row>
    <row r="589" spans="5:17" x14ac:dyDescent="0.2">
      <c r="E589" s="93"/>
      <c r="F589" s="79"/>
      <c r="P589" s="4" t="b">
        <v>0</v>
      </c>
      <c r="Q589" s="4" t="b">
        <v>0</v>
      </c>
    </row>
    <row r="590" spans="5:17" x14ac:dyDescent="0.2">
      <c r="E590" s="93"/>
      <c r="F590" s="79"/>
      <c r="P590" s="4" t="b">
        <v>0</v>
      </c>
      <c r="Q590" s="4" t="b">
        <v>0</v>
      </c>
    </row>
    <row r="591" spans="5:17" x14ac:dyDescent="0.2">
      <c r="E591" s="93"/>
      <c r="F591" s="79"/>
      <c r="P591" s="4" t="b">
        <v>0</v>
      </c>
      <c r="Q591" s="4" t="b">
        <v>0</v>
      </c>
    </row>
    <row r="592" spans="5:17" x14ac:dyDescent="0.2">
      <c r="E592" s="93"/>
      <c r="F592" s="79"/>
      <c r="P592" s="4" t="b">
        <v>0</v>
      </c>
      <c r="Q592" s="4" t="b">
        <v>0</v>
      </c>
    </row>
    <row r="593" spans="5:17" x14ac:dyDescent="0.2">
      <c r="E593" s="93"/>
      <c r="F593" s="79"/>
      <c r="P593" s="4" t="b">
        <v>0</v>
      </c>
      <c r="Q593" s="4" t="b">
        <v>0</v>
      </c>
    </row>
    <row r="594" spans="5:17" x14ac:dyDescent="0.2">
      <c r="E594" s="93"/>
      <c r="F594" s="79"/>
      <c r="P594" s="4" t="b">
        <v>0</v>
      </c>
      <c r="Q594" s="4" t="b">
        <v>0</v>
      </c>
    </row>
    <row r="595" spans="5:17" x14ac:dyDescent="0.2">
      <c r="E595" s="93"/>
      <c r="F595" s="79"/>
      <c r="P595" s="4" t="b">
        <v>0</v>
      </c>
      <c r="Q595" s="4" t="b">
        <v>0</v>
      </c>
    </row>
    <row r="596" spans="5:17" x14ac:dyDescent="0.2">
      <c r="E596" s="93"/>
      <c r="F596" s="79"/>
      <c r="P596" s="4" t="b">
        <v>0</v>
      </c>
      <c r="Q596" s="4" t="b">
        <v>0</v>
      </c>
    </row>
    <row r="597" spans="5:17" x14ac:dyDescent="0.2">
      <c r="E597" s="93"/>
      <c r="F597" s="79"/>
      <c r="P597" s="4" t="b">
        <v>0</v>
      </c>
      <c r="Q597" s="4" t="b">
        <v>0</v>
      </c>
    </row>
    <row r="598" spans="5:17" x14ac:dyDescent="0.2">
      <c r="E598" s="93"/>
      <c r="F598" s="79"/>
      <c r="P598" s="4" t="b">
        <v>0</v>
      </c>
      <c r="Q598" s="4" t="b">
        <v>0</v>
      </c>
    </row>
    <row r="599" spans="5:17" x14ac:dyDescent="0.2">
      <c r="E599" s="93"/>
      <c r="F599" s="79"/>
      <c r="P599" s="4" t="b">
        <v>0</v>
      </c>
      <c r="Q599" s="4" t="b">
        <v>0</v>
      </c>
    </row>
    <row r="600" spans="5:17" x14ac:dyDescent="0.2">
      <c r="E600" s="93"/>
      <c r="F600" s="79"/>
      <c r="P600" s="4" t="b">
        <v>0</v>
      </c>
      <c r="Q600" s="4" t="b">
        <v>0</v>
      </c>
    </row>
    <row r="601" spans="5:17" x14ac:dyDescent="0.2">
      <c r="E601" s="93"/>
      <c r="F601" s="79"/>
      <c r="P601" s="4" t="b">
        <v>0</v>
      </c>
      <c r="Q601" s="4" t="b">
        <v>0</v>
      </c>
    </row>
    <row r="602" spans="5:17" x14ac:dyDescent="0.2">
      <c r="E602" s="93"/>
      <c r="F602" s="79"/>
      <c r="P602" s="4" t="b">
        <v>0</v>
      </c>
      <c r="Q602" s="4" t="b">
        <v>0</v>
      </c>
    </row>
    <row r="603" spans="5:17" x14ac:dyDescent="0.2">
      <c r="E603" s="93"/>
      <c r="F603" s="79"/>
      <c r="P603" s="4" t="b">
        <v>0</v>
      </c>
      <c r="Q603" s="4" t="b">
        <v>0</v>
      </c>
    </row>
    <row r="604" spans="5:17" x14ac:dyDescent="0.2">
      <c r="E604" s="93"/>
      <c r="F604" s="79"/>
      <c r="P604" s="4" t="b">
        <v>0</v>
      </c>
      <c r="Q604" s="4" t="b">
        <v>0</v>
      </c>
    </row>
    <row r="605" spans="5:17" x14ac:dyDescent="0.2">
      <c r="E605" s="93"/>
      <c r="F605" s="79"/>
      <c r="P605" s="4" t="b">
        <v>0</v>
      </c>
      <c r="Q605" s="4" t="b">
        <v>0</v>
      </c>
    </row>
    <row r="606" spans="5:17" x14ac:dyDescent="0.2">
      <c r="E606" s="93"/>
      <c r="F606" s="79"/>
      <c r="P606" s="4" t="b">
        <v>0</v>
      </c>
      <c r="Q606" s="4" t="b">
        <v>0</v>
      </c>
    </row>
    <row r="607" spans="5:17" x14ac:dyDescent="0.2">
      <c r="E607" s="93"/>
      <c r="F607" s="79"/>
      <c r="P607" s="4" t="b">
        <v>0</v>
      </c>
      <c r="Q607" s="4" t="b">
        <v>0</v>
      </c>
    </row>
    <row r="608" spans="5:17" x14ac:dyDescent="0.2">
      <c r="E608" s="93"/>
      <c r="F608" s="79"/>
      <c r="P608" s="4" t="b">
        <v>0</v>
      </c>
      <c r="Q608" s="4" t="b">
        <v>0</v>
      </c>
    </row>
    <row r="609" spans="5:17" x14ac:dyDescent="0.2">
      <c r="E609" s="93"/>
      <c r="F609" s="79"/>
      <c r="P609" s="4" t="b">
        <v>0</v>
      </c>
      <c r="Q609" s="4" t="b">
        <v>0</v>
      </c>
    </row>
    <row r="610" spans="5:17" x14ac:dyDescent="0.2">
      <c r="E610" s="93"/>
      <c r="F610" s="79"/>
      <c r="P610" s="4" t="b">
        <v>0</v>
      </c>
      <c r="Q610" s="4" t="b">
        <v>0</v>
      </c>
    </row>
    <row r="611" spans="5:17" x14ac:dyDescent="0.2">
      <c r="E611" s="93"/>
      <c r="F611" s="79"/>
      <c r="P611" s="4" t="b">
        <v>0</v>
      </c>
      <c r="Q611" s="4" t="b">
        <v>0</v>
      </c>
    </row>
    <row r="612" spans="5:17" x14ac:dyDescent="0.2">
      <c r="E612" s="93"/>
      <c r="F612" s="79"/>
      <c r="P612" s="4" t="b">
        <v>0</v>
      </c>
      <c r="Q612" s="4" t="b">
        <v>0</v>
      </c>
    </row>
    <row r="613" spans="5:17" x14ac:dyDescent="0.2">
      <c r="E613" s="93"/>
      <c r="F613" s="79"/>
      <c r="P613" s="4" t="b">
        <v>0</v>
      </c>
      <c r="Q613" s="4" t="b">
        <v>0</v>
      </c>
    </row>
    <row r="614" spans="5:17" x14ac:dyDescent="0.2">
      <c r="E614" s="93"/>
      <c r="F614" s="79"/>
      <c r="P614" s="4" t="b">
        <v>0</v>
      </c>
      <c r="Q614" s="4" t="b">
        <v>0</v>
      </c>
    </row>
    <row r="615" spans="5:17" x14ac:dyDescent="0.2">
      <c r="E615" s="93"/>
      <c r="F615" s="79"/>
      <c r="P615" s="4" t="b">
        <v>0</v>
      </c>
      <c r="Q615" s="4" t="b">
        <v>0</v>
      </c>
    </row>
    <row r="616" spans="5:17" x14ac:dyDescent="0.2">
      <c r="E616" s="93"/>
      <c r="F616" s="79"/>
      <c r="P616" s="4" t="b">
        <v>0</v>
      </c>
      <c r="Q616" s="4" t="b">
        <v>0</v>
      </c>
    </row>
    <row r="617" spans="5:17" x14ac:dyDescent="0.2">
      <c r="E617" s="93"/>
      <c r="F617" s="79"/>
      <c r="P617" s="4" t="b">
        <v>0</v>
      </c>
      <c r="Q617" s="4" t="b">
        <v>0</v>
      </c>
    </row>
    <row r="618" spans="5:17" x14ac:dyDescent="0.2">
      <c r="E618" s="93"/>
      <c r="F618" s="79"/>
      <c r="P618" s="4" t="b">
        <v>0</v>
      </c>
      <c r="Q618" s="4" t="b">
        <v>0</v>
      </c>
    </row>
    <row r="619" spans="5:17" x14ac:dyDescent="0.2">
      <c r="E619" s="93"/>
      <c r="F619" s="79"/>
      <c r="P619" s="4" t="b">
        <v>0</v>
      </c>
      <c r="Q619" s="4" t="b">
        <v>0</v>
      </c>
    </row>
    <row r="620" spans="5:17" x14ac:dyDescent="0.2">
      <c r="E620" s="93"/>
      <c r="F620" s="79"/>
      <c r="P620" s="4" t="b">
        <v>0</v>
      </c>
      <c r="Q620" s="4" t="b">
        <v>0</v>
      </c>
    </row>
    <row r="621" spans="5:17" x14ac:dyDescent="0.2">
      <c r="E621" s="93"/>
      <c r="F621" s="79"/>
      <c r="P621" s="4" t="b">
        <v>0</v>
      </c>
      <c r="Q621" s="4" t="b">
        <v>0</v>
      </c>
    </row>
    <row r="622" spans="5:17" x14ac:dyDescent="0.2">
      <c r="E622" s="93"/>
      <c r="F622" s="79"/>
      <c r="P622" s="4" t="b">
        <v>0</v>
      </c>
      <c r="Q622" s="4" t="b">
        <v>0</v>
      </c>
    </row>
    <row r="623" spans="5:17" x14ac:dyDescent="0.2">
      <c r="E623" s="93"/>
      <c r="F623" s="79"/>
      <c r="P623" s="4" t="b">
        <v>0</v>
      </c>
      <c r="Q623" s="4" t="b">
        <v>0</v>
      </c>
    </row>
    <row r="624" spans="5:17" x14ac:dyDescent="0.2">
      <c r="E624" s="93"/>
      <c r="F624" s="79"/>
      <c r="P624" s="4" t="b">
        <v>0</v>
      </c>
      <c r="Q624" s="4" t="b">
        <v>0</v>
      </c>
    </row>
    <row r="625" spans="5:17" x14ac:dyDescent="0.2">
      <c r="E625" s="93"/>
      <c r="F625" s="79"/>
      <c r="P625" s="4" t="b">
        <v>0</v>
      </c>
      <c r="Q625" s="4" t="b">
        <v>0</v>
      </c>
    </row>
    <row r="626" spans="5:17" x14ac:dyDescent="0.2">
      <c r="E626" s="93"/>
      <c r="F626" s="79"/>
      <c r="P626" s="4" t="b">
        <v>0</v>
      </c>
      <c r="Q626" s="4" t="b">
        <v>0</v>
      </c>
    </row>
    <row r="627" spans="5:17" x14ac:dyDescent="0.2">
      <c r="E627" s="93"/>
      <c r="F627" s="79"/>
      <c r="P627" s="4" t="b">
        <v>0</v>
      </c>
      <c r="Q627" s="4" t="b">
        <v>0</v>
      </c>
    </row>
    <row r="628" spans="5:17" x14ac:dyDescent="0.2">
      <c r="E628" s="93"/>
      <c r="F628" s="79"/>
      <c r="P628" s="4" t="b">
        <v>0</v>
      </c>
      <c r="Q628" s="4" t="b">
        <v>0</v>
      </c>
    </row>
    <row r="629" spans="5:17" x14ac:dyDescent="0.2">
      <c r="E629" s="93"/>
      <c r="F629" s="79"/>
      <c r="P629" s="4" t="b">
        <v>0</v>
      </c>
      <c r="Q629" s="4" t="b">
        <v>0</v>
      </c>
    </row>
    <row r="630" spans="5:17" x14ac:dyDescent="0.2">
      <c r="E630" s="93"/>
      <c r="F630" s="79"/>
      <c r="P630" s="4" t="b">
        <v>0</v>
      </c>
      <c r="Q630" s="4" t="b">
        <v>0</v>
      </c>
    </row>
    <row r="631" spans="5:17" x14ac:dyDescent="0.2">
      <c r="E631" s="93"/>
      <c r="F631" s="79"/>
      <c r="P631" s="4" t="b">
        <v>0</v>
      </c>
      <c r="Q631" s="4" t="b">
        <v>0</v>
      </c>
    </row>
    <row r="632" spans="5:17" x14ac:dyDescent="0.2">
      <c r="E632" s="93"/>
      <c r="F632" s="79"/>
      <c r="P632" s="4" t="b">
        <v>0</v>
      </c>
      <c r="Q632" s="4" t="b">
        <v>0</v>
      </c>
    </row>
    <row r="633" spans="5:17" x14ac:dyDescent="0.2">
      <c r="E633" s="93"/>
      <c r="F633" s="79"/>
      <c r="P633" s="4" t="b">
        <v>0</v>
      </c>
      <c r="Q633" s="4" t="b">
        <v>0</v>
      </c>
    </row>
    <row r="634" spans="5:17" x14ac:dyDescent="0.2">
      <c r="E634" s="93"/>
      <c r="F634" s="79"/>
      <c r="P634" s="4" t="b">
        <v>0</v>
      </c>
      <c r="Q634" s="4" t="b">
        <v>0</v>
      </c>
    </row>
    <row r="635" spans="5:17" x14ac:dyDescent="0.2">
      <c r="E635" s="93"/>
      <c r="F635" s="79"/>
      <c r="P635" s="4" t="b">
        <v>0</v>
      </c>
      <c r="Q635" s="4" t="b">
        <v>0</v>
      </c>
    </row>
    <row r="636" spans="5:17" x14ac:dyDescent="0.2">
      <c r="E636" s="93"/>
      <c r="F636" s="79"/>
      <c r="P636" s="4" t="b">
        <v>0</v>
      </c>
      <c r="Q636" s="4" t="b">
        <v>0</v>
      </c>
    </row>
    <row r="637" spans="5:17" x14ac:dyDescent="0.2">
      <c r="E637" s="93"/>
      <c r="F637" s="79"/>
      <c r="P637" s="4" t="b">
        <v>0</v>
      </c>
      <c r="Q637" s="4" t="b">
        <v>0</v>
      </c>
    </row>
    <row r="638" spans="5:17" x14ac:dyDescent="0.2">
      <c r="E638" s="93"/>
      <c r="F638" s="79"/>
      <c r="P638" s="4" t="b">
        <v>0</v>
      </c>
      <c r="Q638" s="4" t="b">
        <v>0</v>
      </c>
    </row>
    <row r="639" spans="5:17" x14ac:dyDescent="0.2">
      <c r="E639" s="93"/>
      <c r="F639" s="79"/>
      <c r="P639" s="4" t="b">
        <v>0</v>
      </c>
      <c r="Q639" s="4" t="b">
        <v>0</v>
      </c>
    </row>
    <row r="640" spans="5:17" x14ac:dyDescent="0.2">
      <c r="E640" s="93"/>
      <c r="F640" s="79"/>
      <c r="P640" s="4" t="b">
        <v>0</v>
      </c>
      <c r="Q640" s="4" t="b">
        <v>0</v>
      </c>
    </row>
    <row r="641" spans="5:17" x14ac:dyDescent="0.2">
      <c r="E641" s="93"/>
      <c r="F641" s="79"/>
      <c r="P641" s="4" t="b">
        <v>0</v>
      </c>
      <c r="Q641" s="4" t="b">
        <v>0</v>
      </c>
    </row>
    <row r="642" spans="5:17" x14ac:dyDescent="0.2">
      <c r="E642" s="93"/>
      <c r="F642" s="79"/>
      <c r="P642" s="4" t="b">
        <v>0</v>
      </c>
      <c r="Q642" s="4" t="b">
        <v>0</v>
      </c>
    </row>
    <row r="643" spans="5:17" x14ac:dyDescent="0.2">
      <c r="E643" s="93"/>
      <c r="F643" s="79"/>
      <c r="P643" s="4" t="b">
        <v>0</v>
      </c>
      <c r="Q643" s="4" t="b">
        <v>0</v>
      </c>
    </row>
    <row r="644" spans="5:17" x14ac:dyDescent="0.2">
      <c r="E644" s="93"/>
      <c r="F644" s="79"/>
      <c r="P644" s="4" t="b">
        <v>0</v>
      </c>
      <c r="Q644" s="4" t="b">
        <v>0</v>
      </c>
    </row>
    <row r="645" spans="5:17" x14ac:dyDescent="0.2">
      <c r="E645" s="93"/>
      <c r="F645" s="79"/>
      <c r="P645" s="4" t="b">
        <v>0</v>
      </c>
      <c r="Q645" s="4" t="b">
        <v>0</v>
      </c>
    </row>
    <row r="646" spans="5:17" x14ac:dyDescent="0.2">
      <c r="E646" s="93"/>
      <c r="F646" s="79"/>
      <c r="P646" s="4" t="b">
        <v>0</v>
      </c>
      <c r="Q646" s="4" t="b">
        <v>0</v>
      </c>
    </row>
    <row r="647" spans="5:17" x14ac:dyDescent="0.2">
      <c r="E647" s="93"/>
      <c r="F647" s="79"/>
      <c r="P647" s="4" t="b">
        <v>0</v>
      </c>
      <c r="Q647" s="4" t="b">
        <v>0</v>
      </c>
    </row>
    <row r="648" spans="5:17" x14ac:dyDescent="0.2">
      <c r="E648" s="93"/>
      <c r="F648" s="79"/>
      <c r="P648" s="4" t="b">
        <v>0</v>
      </c>
      <c r="Q648" s="4" t="b">
        <v>0</v>
      </c>
    </row>
    <row r="649" spans="5:17" x14ac:dyDescent="0.2">
      <c r="E649" s="93"/>
      <c r="F649" s="79"/>
      <c r="P649" s="4" t="b">
        <v>0</v>
      </c>
      <c r="Q649" s="4" t="b">
        <v>0</v>
      </c>
    </row>
    <row r="650" spans="5:17" x14ac:dyDescent="0.2">
      <c r="E650" s="93"/>
      <c r="F650" s="79"/>
      <c r="P650" s="4" t="b">
        <v>0</v>
      </c>
      <c r="Q650" s="4" t="b">
        <v>0</v>
      </c>
    </row>
    <row r="651" spans="5:17" x14ac:dyDescent="0.2">
      <c r="E651" s="93"/>
      <c r="F651" s="79"/>
      <c r="P651" s="4" t="b">
        <v>0</v>
      </c>
      <c r="Q651" s="4" t="b">
        <v>0</v>
      </c>
    </row>
    <row r="652" spans="5:17" x14ac:dyDescent="0.2">
      <c r="E652" s="93"/>
      <c r="F652" s="79"/>
      <c r="P652" s="4" t="b">
        <v>0</v>
      </c>
      <c r="Q652" s="4" t="b">
        <v>0</v>
      </c>
    </row>
    <row r="653" spans="5:17" x14ac:dyDescent="0.2">
      <c r="E653" s="93"/>
      <c r="F653" s="79"/>
      <c r="P653" s="4" t="b">
        <v>0</v>
      </c>
      <c r="Q653" s="4" t="b">
        <v>0</v>
      </c>
    </row>
    <row r="654" spans="5:17" x14ac:dyDescent="0.2">
      <c r="E654" s="93"/>
      <c r="F654" s="79"/>
      <c r="P654" s="4" t="b">
        <v>0</v>
      </c>
      <c r="Q654" s="4" t="b">
        <v>0</v>
      </c>
    </row>
    <row r="655" spans="5:17" x14ac:dyDescent="0.2">
      <c r="E655" s="93"/>
      <c r="F655" s="79"/>
      <c r="P655" s="4" t="b">
        <v>0</v>
      </c>
      <c r="Q655" s="4" t="b">
        <v>0</v>
      </c>
    </row>
    <row r="656" spans="5:17" x14ac:dyDescent="0.2">
      <c r="E656" s="93"/>
      <c r="F656" s="79"/>
      <c r="P656" s="4" t="b">
        <v>0</v>
      </c>
      <c r="Q656" s="4" t="b">
        <v>0</v>
      </c>
    </row>
    <row r="657" spans="5:17" x14ac:dyDescent="0.2">
      <c r="E657" s="93"/>
      <c r="F657" s="79"/>
      <c r="P657" s="4" t="b">
        <v>0</v>
      </c>
      <c r="Q657" s="4" t="b">
        <v>0</v>
      </c>
    </row>
    <row r="658" spans="5:17" x14ac:dyDescent="0.2">
      <c r="E658" s="93"/>
      <c r="F658" s="79"/>
      <c r="P658" s="4" t="b">
        <v>0</v>
      </c>
      <c r="Q658" s="4" t="b">
        <v>0</v>
      </c>
    </row>
    <row r="659" spans="5:17" x14ac:dyDescent="0.2">
      <c r="E659" s="93"/>
      <c r="F659" s="79"/>
      <c r="P659" s="4" t="b">
        <v>0</v>
      </c>
      <c r="Q659" s="4" t="b">
        <v>0</v>
      </c>
    </row>
    <row r="660" spans="5:17" x14ac:dyDescent="0.2">
      <c r="E660" s="93"/>
      <c r="F660" s="79"/>
      <c r="P660" s="4" t="b">
        <v>0</v>
      </c>
      <c r="Q660" s="4" t="b">
        <v>0</v>
      </c>
    </row>
    <row r="661" spans="5:17" x14ac:dyDescent="0.2">
      <c r="E661" s="93"/>
      <c r="F661" s="79"/>
      <c r="P661" s="4" t="b">
        <v>0</v>
      </c>
      <c r="Q661" s="4" t="b">
        <v>0</v>
      </c>
    </row>
    <row r="662" spans="5:17" x14ac:dyDescent="0.2">
      <c r="E662" s="93"/>
      <c r="F662" s="79"/>
      <c r="P662" s="4" t="b">
        <v>0</v>
      </c>
      <c r="Q662" s="4" t="b">
        <v>0</v>
      </c>
    </row>
    <row r="663" spans="5:17" x14ac:dyDescent="0.2">
      <c r="E663" s="93"/>
      <c r="F663" s="79"/>
      <c r="P663" s="4" t="b">
        <v>0</v>
      </c>
      <c r="Q663" s="4" t="b">
        <v>0</v>
      </c>
    </row>
    <row r="664" spans="5:17" x14ac:dyDescent="0.2">
      <c r="E664" s="93"/>
      <c r="F664" s="79"/>
      <c r="P664" s="4" t="b">
        <v>0</v>
      </c>
      <c r="Q664" s="4" t="b">
        <v>0</v>
      </c>
    </row>
    <row r="665" spans="5:17" x14ac:dyDescent="0.2">
      <c r="E665" s="93"/>
      <c r="F665" s="79"/>
      <c r="P665" s="4" t="b">
        <v>0</v>
      </c>
      <c r="Q665" s="4" t="b">
        <v>0</v>
      </c>
    </row>
    <row r="666" spans="5:17" x14ac:dyDescent="0.2">
      <c r="E666" s="93"/>
      <c r="F666" s="79"/>
      <c r="P666" s="4" t="b">
        <v>0</v>
      </c>
      <c r="Q666" s="4" t="b">
        <v>0</v>
      </c>
    </row>
    <row r="667" spans="5:17" x14ac:dyDescent="0.2">
      <c r="E667" s="93"/>
      <c r="F667" s="79"/>
      <c r="P667" s="4" t="b">
        <v>0</v>
      </c>
      <c r="Q667" s="4" t="b">
        <v>0</v>
      </c>
    </row>
    <row r="668" spans="5:17" x14ac:dyDescent="0.2">
      <c r="E668" s="93"/>
      <c r="F668" s="79"/>
      <c r="P668" s="4" t="b">
        <v>0</v>
      </c>
      <c r="Q668" s="4" t="b">
        <v>0</v>
      </c>
    </row>
    <row r="669" spans="5:17" x14ac:dyDescent="0.2">
      <c r="E669" s="93"/>
      <c r="F669" s="79"/>
      <c r="P669" s="4" t="b">
        <v>0</v>
      </c>
      <c r="Q669" s="4" t="b">
        <v>0</v>
      </c>
    </row>
    <row r="670" spans="5:17" x14ac:dyDescent="0.2">
      <c r="E670" s="93"/>
      <c r="F670" s="79"/>
      <c r="P670" s="4" t="b">
        <v>0</v>
      </c>
      <c r="Q670" s="4" t="b">
        <v>0</v>
      </c>
    </row>
    <row r="671" spans="5:17" x14ac:dyDescent="0.2">
      <c r="E671" s="93"/>
      <c r="F671" s="79"/>
      <c r="P671" s="4" t="b">
        <v>0</v>
      </c>
      <c r="Q671" s="4" t="b">
        <v>0</v>
      </c>
    </row>
    <row r="672" spans="5:17" x14ac:dyDescent="0.2">
      <c r="E672" s="93"/>
      <c r="F672" s="79"/>
      <c r="P672" s="4" t="b">
        <v>0</v>
      </c>
      <c r="Q672" s="4" t="b">
        <v>0</v>
      </c>
    </row>
    <row r="673" spans="5:17" x14ac:dyDescent="0.2">
      <c r="E673" s="93"/>
      <c r="F673" s="79"/>
      <c r="P673" s="4" t="b">
        <v>0</v>
      </c>
      <c r="Q673" s="4" t="b">
        <v>0</v>
      </c>
    </row>
    <row r="674" spans="5:17" x14ac:dyDescent="0.2">
      <c r="E674" s="93"/>
      <c r="F674" s="79"/>
      <c r="P674" s="4" t="b">
        <v>0</v>
      </c>
      <c r="Q674" s="4" t="b">
        <v>0</v>
      </c>
    </row>
    <row r="675" spans="5:17" x14ac:dyDescent="0.2">
      <c r="E675" s="93"/>
      <c r="F675" s="79"/>
      <c r="P675" s="4" t="b">
        <v>0</v>
      </c>
      <c r="Q675" s="4" t="b">
        <v>0</v>
      </c>
    </row>
    <row r="676" spans="5:17" x14ac:dyDescent="0.2">
      <c r="E676" s="93"/>
      <c r="F676" s="79"/>
      <c r="P676" s="4" t="b">
        <v>0</v>
      </c>
      <c r="Q676" s="4" t="b">
        <v>0</v>
      </c>
    </row>
    <row r="677" spans="5:17" x14ac:dyDescent="0.2">
      <c r="E677" s="93"/>
      <c r="F677" s="79"/>
      <c r="P677" s="4" t="b">
        <v>0</v>
      </c>
      <c r="Q677" s="4" t="b">
        <v>0</v>
      </c>
    </row>
    <row r="678" spans="5:17" x14ac:dyDescent="0.2">
      <c r="E678" s="93"/>
      <c r="F678" s="79"/>
      <c r="P678" s="4" t="b">
        <v>0</v>
      </c>
      <c r="Q678" s="4" t="b">
        <v>0</v>
      </c>
    </row>
    <row r="679" spans="5:17" x14ac:dyDescent="0.2">
      <c r="E679" s="93"/>
      <c r="F679" s="79"/>
      <c r="P679" s="4" t="b">
        <v>0</v>
      </c>
      <c r="Q679" s="4" t="b">
        <v>0</v>
      </c>
    </row>
    <row r="680" spans="5:17" x14ac:dyDescent="0.2">
      <c r="E680" s="93"/>
      <c r="F680" s="79"/>
      <c r="P680" s="4" t="b">
        <v>0</v>
      </c>
      <c r="Q680" s="4" t="b">
        <v>0</v>
      </c>
    </row>
    <row r="681" spans="5:17" x14ac:dyDescent="0.2">
      <c r="E681" s="93"/>
      <c r="F681" s="79"/>
      <c r="P681" s="4" t="b">
        <v>0</v>
      </c>
      <c r="Q681" s="4" t="b">
        <v>0</v>
      </c>
    </row>
    <row r="682" spans="5:17" x14ac:dyDescent="0.2">
      <c r="E682" s="93"/>
      <c r="F682" s="79"/>
      <c r="P682" s="4" t="b">
        <v>0</v>
      </c>
      <c r="Q682" s="4" t="b">
        <v>0</v>
      </c>
    </row>
    <row r="683" spans="5:17" x14ac:dyDescent="0.2">
      <c r="E683" s="93"/>
      <c r="F683" s="79"/>
      <c r="P683" s="4" t="b">
        <v>0</v>
      </c>
      <c r="Q683" s="4" t="b">
        <v>0</v>
      </c>
    </row>
    <row r="684" spans="5:17" x14ac:dyDescent="0.2">
      <c r="E684" s="93"/>
      <c r="F684" s="79"/>
      <c r="P684" s="4" t="b">
        <v>0</v>
      </c>
      <c r="Q684" s="4" t="b">
        <v>0</v>
      </c>
    </row>
    <row r="685" spans="5:17" x14ac:dyDescent="0.2">
      <c r="E685" s="93"/>
      <c r="F685" s="79"/>
      <c r="P685" s="4" t="b">
        <v>0</v>
      </c>
      <c r="Q685" s="4" t="b">
        <v>0</v>
      </c>
    </row>
    <row r="686" spans="5:17" x14ac:dyDescent="0.2">
      <c r="E686" s="93"/>
      <c r="F686" s="79"/>
      <c r="P686" s="4" t="b">
        <v>0</v>
      </c>
      <c r="Q686" s="4" t="b">
        <v>0</v>
      </c>
    </row>
    <row r="687" spans="5:17" x14ac:dyDescent="0.2">
      <c r="E687" s="93"/>
      <c r="F687" s="79"/>
      <c r="P687" s="4" t="b">
        <v>0</v>
      </c>
      <c r="Q687" s="4" t="b">
        <v>0</v>
      </c>
    </row>
    <row r="688" spans="5:17" x14ac:dyDescent="0.2">
      <c r="E688" s="93"/>
      <c r="F688" s="79"/>
      <c r="P688" s="4" t="b">
        <v>0</v>
      </c>
      <c r="Q688" s="4" t="b">
        <v>0</v>
      </c>
    </row>
    <row r="689" spans="5:17" x14ac:dyDescent="0.2">
      <c r="E689" s="93"/>
      <c r="F689" s="79"/>
      <c r="P689" s="4" t="b">
        <v>0</v>
      </c>
      <c r="Q689" s="4" t="b">
        <v>0</v>
      </c>
    </row>
    <row r="690" spans="5:17" x14ac:dyDescent="0.2">
      <c r="E690" s="93"/>
      <c r="F690" s="79"/>
      <c r="P690" s="4" t="b">
        <v>0</v>
      </c>
      <c r="Q690" s="4" t="b">
        <v>0</v>
      </c>
    </row>
    <row r="691" spans="5:17" x14ac:dyDescent="0.2">
      <c r="E691" s="93"/>
      <c r="F691" s="79"/>
      <c r="P691" s="4" t="b">
        <v>0</v>
      </c>
      <c r="Q691" s="4" t="b">
        <v>0</v>
      </c>
    </row>
    <row r="692" spans="5:17" x14ac:dyDescent="0.2">
      <c r="E692" s="93"/>
      <c r="F692" s="79"/>
      <c r="P692" s="4" t="b">
        <v>0</v>
      </c>
      <c r="Q692" s="4" t="b">
        <v>0</v>
      </c>
    </row>
    <row r="693" spans="5:17" x14ac:dyDescent="0.2">
      <c r="E693" s="93"/>
      <c r="F693" s="79"/>
      <c r="P693" s="4" t="b">
        <v>0</v>
      </c>
      <c r="Q693" s="4" t="b">
        <v>0</v>
      </c>
    </row>
    <row r="694" spans="5:17" x14ac:dyDescent="0.2">
      <c r="E694" s="93"/>
      <c r="F694" s="79"/>
      <c r="P694" s="4" t="b">
        <v>0</v>
      </c>
      <c r="Q694" s="4" t="b">
        <v>0</v>
      </c>
    </row>
    <row r="695" spans="5:17" x14ac:dyDescent="0.2">
      <c r="E695" s="93"/>
      <c r="F695" s="79"/>
      <c r="P695" s="4" t="b">
        <v>0</v>
      </c>
      <c r="Q695" s="4" t="b">
        <v>0</v>
      </c>
    </row>
    <row r="696" spans="5:17" x14ac:dyDescent="0.2">
      <c r="E696" s="93"/>
      <c r="F696" s="79"/>
      <c r="P696" s="4" t="b">
        <v>0</v>
      </c>
      <c r="Q696" s="4" t="b">
        <v>0</v>
      </c>
    </row>
    <row r="697" spans="5:17" x14ac:dyDescent="0.2">
      <c r="E697" s="93"/>
      <c r="F697" s="79"/>
      <c r="P697" s="4" t="b">
        <v>0</v>
      </c>
      <c r="Q697" s="4" t="b">
        <v>0</v>
      </c>
    </row>
    <row r="698" spans="5:17" x14ac:dyDescent="0.2">
      <c r="E698" s="93"/>
      <c r="F698" s="79"/>
      <c r="P698" s="4" t="b">
        <v>0</v>
      </c>
      <c r="Q698" s="4" t="b">
        <v>0</v>
      </c>
    </row>
    <row r="699" spans="5:17" x14ac:dyDescent="0.2">
      <c r="E699" s="93"/>
      <c r="F699" s="79"/>
      <c r="P699" s="4" t="b">
        <v>0</v>
      </c>
      <c r="Q699" s="4" t="b">
        <v>0</v>
      </c>
    </row>
    <row r="700" spans="5:17" x14ac:dyDescent="0.2">
      <c r="E700" s="93"/>
      <c r="F700" s="79"/>
      <c r="P700" s="4" t="b">
        <v>0</v>
      </c>
      <c r="Q700" s="4" t="b">
        <v>0</v>
      </c>
    </row>
    <row r="701" spans="5:17" x14ac:dyDescent="0.2">
      <c r="E701" s="93"/>
      <c r="F701" s="79"/>
      <c r="P701" s="4" t="b">
        <v>0</v>
      </c>
      <c r="Q701" s="4" t="b">
        <v>0</v>
      </c>
    </row>
    <row r="702" spans="5:17" x14ac:dyDescent="0.2">
      <c r="E702" s="93"/>
      <c r="F702" s="79"/>
      <c r="P702" s="4" t="b">
        <v>0</v>
      </c>
      <c r="Q702" s="4" t="b">
        <v>0</v>
      </c>
    </row>
    <row r="703" spans="5:17" x14ac:dyDescent="0.2">
      <c r="E703" s="93"/>
      <c r="F703" s="79"/>
      <c r="P703" s="4" t="b">
        <v>0</v>
      </c>
      <c r="Q703" s="4" t="b">
        <v>0</v>
      </c>
    </row>
    <row r="704" spans="5:17" x14ac:dyDescent="0.2">
      <c r="E704" s="93"/>
      <c r="F704" s="79"/>
      <c r="P704" s="4" t="b">
        <v>0</v>
      </c>
      <c r="Q704" s="4" t="b">
        <v>0</v>
      </c>
    </row>
    <row r="705" spans="5:17" x14ac:dyDescent="0.2">
      <c r="E705" s="93"/>
      <c r="F705" s="79"/>
      <c r="P705" s="4" t="b">
        <v>0</v>
      </c>
      <c r="Q705" s="4" t="b">
        <v>0</v>
      </c>
    </row>
    <row r="706" spans="5:17" x14ac:dyDescent="0.2">
      <c r="E706" s="93"/>
      <c r="F706" s="79"/>
      <c r="P706" s="4" t="b">
        <v>0</v>
      </c>
      <c r="Q706" s="4" t="b">
        <v>0</v>
      </c>
    </row>
    <row r="707" spans="5:17" x14ac:dyDescent="0.2">
      <c r="E707" s="93"/>
      <c r="F707" s="79"/>
      <c r="P707" s="4" t="b">
        <v>0</v>
      </c>
      <c r="Q707" s="4" t="b">
        <v>0</v>
      </c>
    </row>
    <row r="708" spans="5:17" x14ac:dyDescent="0.2">
      <c r="E708" s="93"/>
      <c r="F708" s="79"/>
      <c r="P708" s="4" t="b">
        <v>0</v>
      </c>
      <c r="Q708" s="4" t="b">
        <v>0</v>
      </c>
    </row>
    <row r="709" spans="5:17" x14ac:dyDescent="0.2">
      <c r="E709" s="93"/>
      <c r="F709" s="79"/>
      <c r="P709" s="4" t="b">
        <v>0</v>
      </c>
      <c r="Q709" s="4" t="b">
        <v>0</v>
      </c>
    </row>
    <row r="710" spans="5:17" x14ac:dyDescent="0.2">
      <c r="E710" s="93"/>
      <c r="F710" s="79"/>
      <c r="P710" s="4" t="b">
        <v>0</v>
      </c>
      <c r="Q710" s="4" t="b">
        <v>0</v>
      </c>
    </row>
    <row r="711" spans="5:17" x14ac:dyDescent="0.2">
      <c r="E711" s="93"/>
      <c r="F711" s="79"/>
      <c r="P711" s="4" t="b">
        <v>0</v>
      </c>
      <c r="Q711" s="4" t="b">
        <v>0</v>
      </c>
    </row>
    <row r="712" spans="5:17" x14ac:dyDescent="0.2">
      <c r="E712" s="93"/>
      <c r="F712" s="79"/>
      <c r="P712" s="4" t="b">
        <v>0</v>
      </c>
      <c r="Q712" s="4" t="b">
        <v>0</v>
      </c>
    </row>
    <row r="713" spans="5:17" x14ac:dyDescent="0.2">
      <c r="E713" s="93"/>
      <c r="F713" s="79"/>
      <c r="P713" s="4" t="b">
        <v>0</v>
      </c>
      <c r="Q713" s="4" t="b">
        <v>0</v>
      </c>
    </row>
    <row r="714" spans="5:17" x14ac:dyDescent="0.2">
      <c r="E714" s="93"/>
      <c r="F714" s="79"/>
      <c r="P714" s="4" t="b">
        <v>0</v>
      </c>
      <c r="Q714" s="4" t="b">
        <v>0</v>
      </c>
    </row>
    <row r="715" spans="5:17" x14ac:dyDescent="0.2">
      <c r="E715" s="93"/>
      <c r="F715" s="79"/>
      <c r="P715" s="4" t="b">
        <v>0</v>
      </c>
      <c r="Q715" s="4" t="b">
        <v>0</v>
      </c>
    </row>
    <row r="716" spans="5:17" x14ac:dyDescent="0.2">
      <c r="E716" s="93"/>
      <c r="F716" s="79"/>
      <c r="P716" s="4" t="b">
        <v>0</v>
      </c>
      <c r="Q716" s="4" t="b">
        <v>0</v>
      </c>
    </row>
    <row r="717" spans="5:17" x14ac:dyDescent="0.2">
      <c r="E717" s="93"/>
      <c r="F717" s="79"/>
      <c r="P717" s="4" t="b">
        <v>0</v>
      </c>
      <c r="Q717" s="4" t="b">
        <v>0</v>
      </c>
    </row>
    <row r="718" spans="5:17" x14ac:dyDescent="0.2">
      <c r="E718" s="93"/>
      <c r="F718" s="79"/>
      <c r="P718" s="4" t="b">
        <v>0</v>
      </c>
      <c r="Q718" s="4" t="b">
        <v>0</v>
      </c>
    </row>
    <row r="719" spans="5:17" x14ac:dyDescent="0.2">
      <c r="E719" s="93"/>
      <c r="F719" s="79"/>
      <c r="P719" s="4" t="b">
        <v>0</v>
      </c>
      <c r="Q719" s="4" t="b">
        <v>0</v>
      </c>
    </row>
    <row r="720" spans="5:17" x14ac:dyDescent="0.2">
      <c r="E720" s="93"/>
      <c r="F720" s="79"/>
      <c r="P720" s="4" t="b">
        <v>0</v>
      </c>
      <c r="Q720" s="4" t="b">
        <v>0</v>
      </c>
    </row>
    <row r="721" spans="5:17" x14ac:dyDescent="0.2">
      <c r="E721" s="93"/>
      <c r="F721" s="79"/>
      <c r="P721" s="4" t="b">
        <v>0</v>
      </c>
      <c r="Q721" s="4" t="b">
        <v>0</v>
      </c>
    </row>
    <row r="722" spans="5:17" x14ac:dyDescent="0.2">
      <c r="E722" s="93"/>
      <c r="F722" s="79"/>
      <c r="P722" s="4" t="b">
        <v>0</v>
      </c>
      <c r="Q722" s="4" t="b">
        <v>0</v>
      </c>
    </row>
    <row r="723" spans="5:17" x14ac:dyDescent="0.2">
      <c r="E723" s="93"/>
      <c r="F723" s="79"/>
      <c r="P723" s="4" t="b">
        <v>0</v>
      </c>
      <c r="Q723" s="4" t="b">
        <v>0</v>
      </c>
    </row>
    <row r="724" spans="5:17" x14ac:dyDescent="0.2">
      <c r="E724" s="93"/>
      <c r="F724" s="79"/>
      <c r="P724" s="4" t="b">
        <v>0</v>
      </c>
      <c r="Q724" s="4" t="b">
        <v>0</v>
      </c>
    </row>
    <row r="725" spans="5:17" x14ac:dyDescent="0.2">
      <c r="E725" s="93"/>
      <c r="F725" s="79"/>
      <c r="P725" s="4" t="b">
        <v>0</v>
      </c>
      <c r="Q725" s="4" t="b">
        <v>0</v>
      </c>
    </row>
    <row r="726" spans="5:17" x14ac:dyDescent="0.2">
      <c r="E726" s="93"/>
      <c r="F726" s="79"/>
      <c r="P726" s="4" t="b">
        <v>0</v>
      </c>
      <c r="Q726" s="4" t="b">
        <v>0</v>
      </c>
    </row>
    <row r="727" spans="5:17" x14ac:dyDescent="0.2">
      <c r="E727" s="93"/>
      <c r="F727" s="79"/>
      <c r="P727" s="4" t="b">
        <v>0</v>
      </c>
      <c r="Q727" s="4" t="b">
        <v>0</v>
      </c>
    </row>
    <row r="728" spans="5:17" x14ac:dyDescent="0.2">
      <c r="E728" s="93"/>
      <c r="F728" s="79"/>
      <c r="P728" s="4" t="b">
        <v>0</v>
      </c>
      <c r="Q728" s="4" t="b">
        <v>0</v>
      </c>
    </row>
    <row r="729" spans="5:17" x14ac:dyDescent="0.2">
      <c r="E729" s="93"/>
      <c r="F729" s="79"/>
      <c r="P729" s="4" t="b">
        <v>0</v>
      </c>
      <c r="Q729" s="4" t="b">
        <v>0</v>
      </c>
    </row>
    <row r="730" spans="5:17" x14ac:dyDescent="0.2">
      <c r="E730" s="93"/>
      <c r="F730" s="79"/>
      <c r="P730" s="4" t="b">
        <v>0</v>
      </c>
      <c r="Q730" s="4" t="b">
        <v>0</v>
      </c>
    </row>
    <row r="731" spans="5:17" x14ac:dyDescent="0.2">
      <c r="E731" s="93"/>
      <c r="F731" s="79"/>
      <c r="P731" s="4" t="b">
        <v>0</v>
      </c>
      <c r="Q731" s="4" t="b">
        <v>0</v>
      </c>
    </row>
    <row r="732" spans="5:17" x14ac:dyDescent="0.2">
      <c r="E732" s="93"/>
      <c r="F732" s="79"/>
      <c r="P732" s="4" t="b">
        <v>0</v>
      </c>
      <c r="Q732" s="4" t="b">
        <v>0</v>
      </c>
    </row>
    <row r="733" spans="5:17" x14ac:dyDescent="0.2">
      <c r="E733" s="93"/>
      <c r="F733" s="79"/>
      <c r="P733" s="4" t="b">
        <v>0</v>
      </c>
      <c r="Q733" s="4" t="b">
        <v>0</v>
      </c>
    </row>
    <row r="734" spans="5:17" x14ac:dyDescent="0.2">
      <c r="E734" s="93"/>
      <c r="F734" s="79"/>
      <c r="P734" s="4" t="b">
        <v>0</v>
      </c>
      <c r="Q734" s="4" t="b">
        <v>0</v>
      </c>
    </row>
    <row r="735" spans="5:17" x14ac:dyDescent="0.2">
      <c r="E735" s="93"/>
      <c r="F735" s="79"/>
      <c r="P735" s="4" t="b">
        <v>0</v>
      </c>
      <c r="Q735" s="4" t="b">
        <v>0</v>
      </c>
    </row>
    <row r="736" spans="5:17" x14ac:dyDescent="0.2">
      <c r="E736" s="93"/>
      <c r="F736" s="79"/>
      <c r="P736" s="4" t="b">
        <v>0</v>
      </c>
      <c r="Q736" s="4" t="b">
        <v>0</v>
      </c>
    </row>
    <row r="737" spans="5:17" x14ac:dyDescent="0.2">
      <c r="E737" s="93"/>
      <c r="F737" s="79"/>
      <c r="P737" s="4" t="b">
        <v>0</v>
      </c>
      <c r="Q737" s="4" t="b">
        <v>0</v>
      </c>
    </row>
    <row r="738" spans="5:17" x14ac:dyDescent="0.2">
      <c r="E738" s="93"/>
      <c r="F738" s="79"/>
      <c r="P738" s="4" t="b">
        <v>0</v>
      </c>
      <c r="Q738" s="4" t="b">
        <v>0</v>
      </c>
    </row>
    <row r="739" spans="5:17" x14ac:dyDescent="0.2">
      <c r="E739" s="93"/>
      <c r="F739" s="79"/>
      <c r="P739" s="4" t="b">
        <v>0</v>
      </c>
      <c r="Q739" s="4" t="b">
        <v>0</v>
      </c>
    </row>
    <row r="740" spans="5:17" x14ac:dyDescent="0.2">
      <c r="E740" s="93"/>
      <c r="F740" s="79"/>
      <c r="P740" s="4" t="b">
        <v>0</v>
      </c>
      <c r="Q740" s="4" t="b">
        <v>0</v>
      </c>
    </row>
    <row r="741" spans="5:17" x14ac:dyDescent="0.2">
      <c r="E741" s="93"/>
      <c r="F741" s="79"/>
      <c r="P741" s="4" t="b">
        <v>0</v>
      </c>
      <c r="Q741" s="4" t="b">
        <v>0</v>
      </c>
    </row>
    <row r="742" spans="5:17" x14ac:dyDescent="0.2">
      <c r="E742" s="93"/>
      <c r="F742" s="79"/>
      <c r="P742" s="4" t="b">
        <v>0</v>
      </c>
      <c r="Q742" s="4" t="b">
        <v>0</v>
      </c>
    </row>
    <row r="743" spans="5:17" x14ac:dyDescent="0.2">
      <c r="E743" s="93"/>
      <c r="F743" s="79"/>
      <c r="P743" s="4" t="b">
        <v>0</v>
      </c>
      <c r="Q743" s="4" t="b">
        <v>0</v>
      </c>
    </row>
    <row r="744" spans="5:17" x14ac:dyDescent="0.2">
      <c r="E744" s="93"/>
      <c r="F744" s="79"/>
      <c r="P744" s="4" t="b">
        <v>0</v>
      </c>
      <c r="Q744" s="4" t="b">
        <v>0</v>
      </c>
    </row>
    <row r="745" spans="5:17" x14ac:dyDescent="0.2">
      <c r="E745" s="93"/>
      <c r="F745" s="79"/>
      <c r="P745" s="4" t="b">
        <v>0</v>
      </c>
      <c r="Q745" s="4" t="b">
        <v>0</v>
      </c>
    </row>
    <row r="746" spans="5:17" x14ac:dyDescent="0.2">
      <c r="E746" s="93"/>
      <c r="F746" s="79"/>
      <c r="P746" s="4" t="b">
        <v>0</v>
      </c>
      <c r="Q746" s="4" t="b">
        <v>0</v>
      </c>
    </row>
    <row r="747" spans="5:17" x14ac:dyDescent="0.2">
      <c r="E747" s="93"/>
      <c r="F747" s="79"/>
      <c r="P747" s="4" t="b">
        <v>0</v>
      </c>
      <c r="Q747" s="4" t="b">
        <v>0</v>
      </c>
    </row>
    <row r="748" spans="5:17" x14ac:dyDescent="0.2">
      <c r="E748" s="93"/>
      <c r="F748" s="79"/>
      <c r="P748" s="4" t="b">
        <v>0</v>
      </c>
      <c r="Q748" s="4" t="b">
        <v>0</v>
      </c>
    </row>
    <row r="749" spans="5:17" x14ac:dyDescent="0.2">
      <c r="E749" s="93"/>
      <c r="F749" s="79"/>
      <c r="P749" s="4" t="b">
        <v>0</v>
      </c>
      <c r="Q749" s="4" t="b">
        <v>0</v>
      </c>
    </row>
    <row r="750" spans="5:17" x14ac:dyDescent="0.2">
      <c r="E750" s="93"/>
      <c r="F750" s="79"/>
      <c r="P750" s="4" t="b">
        <v>0</v>
      </c>
      <c r="Q750" s="4" t="b">
        <v>0</v>
      </c>
    </row>
    <row r="751" spans="5:17" x14ac:dyDescent="0.2">
      <c r="E751" s="93"/>
      <c r="F751" s="79"/>
      <c r="P751" s="4" t="b">
        <v>0</v>
      </c>
      <c r="Q751" s="4" t="b">
        <v>0</v>
      </c>
    </row>
    <row r="752" spans="5:17" x14ac:dyDescent="0.2">
      <c r="E752" s="93"/>
      <c r="F752" s="79"/>
      <c r="P752" s="4" t="b">
        <v>0</v>
      </c>
      <c r="Q752" s="4" t="b">
        <v>0</v>
      </c>
    </row>
    <row r="753" spans="5:17" x14ac:dyDescent="0.2">
      <c r="E753" s="93"/>
      <c r="F753" s="79"/>
      <c r="P753" s="4" t="b">
        <v>0</v>
      </c>
      <c r="Q753" s="4" t="b">
        <v>0</v>
      </c>
    </row>
    <row r="754" spans="5:17" x14ac:dyDescent="0.2">
      <c r="E754" s="93"/>
      <c r="F754" s="79"/>
      <c r="P754" s="4" t="b">
        <v>0</v>
      </c>
      <c r="Q754" s="4" t="b">
        <v>0</v>
      </c>
    </row>
    <row r="755" spans="5:17" x14ac:dyDescent="0.2">
      <c r="E755" s="93"/>
      <c r="F755" s="79"/>
      <c r="P755" s="4" t="b">
        <v>0</v>
      </c>
      <c r="Q755" s="4" t="b">
        <v>0</v>
      </c>
    </row>
    <row r="756" spans="5:17" x14ac:dyDescent="0.2">
      <c r="E756" s="93"/>
      <c r="F756" s="79"/>
      <c r="P756" s="4" t="b">
        <v>0</v>
      </c>
      <c r="Q756" s="4" t="b">
        <v>0</v>
      </c>
    </row>
    <row r="757" spans="5:17" x14ac:dyDescent="0.2">
      <c r="E757" s="93"/>
      <c r="F757" s="79"/>
      <c r="P757" s="4" t="b">
        <v>0</v>
      </c>
      <c r="Q757" s="4" t="b">
        <v>0</v>
      </c>
    </row>
    <row r="758" spans="5:17" x14ac:dyDescent="0.2">
      <c r="E758" s="93"/>
      <c r="F758" s="79"/>
      <c r="P758" s="4" t="b">
        <v>0</v>
      </c>
      <c r="Q758" s="4" t="b">
        <v>0</v>
      </c>
    </row>
    <row r="759" spans="5:17" x14ac:dyDescent="0.2">
      <c r="E759" s="93"/>
      <c r="F759" s="79"/>
      <c r="P759" s="4" t="b">
        <v>0</v>
      </c>
      <c r="Q759" s="4" t="b">
        <v>0</v>
      </c>
    </row>
    <row r="760" spans="5:17" x14ac:dyDescent="0.2">
      <c r="E760" s="93"/>
      <c r="F760" s="79"/>
      <c r="P760" s="4" t="b">
        <v>0</v>
      </c>
      <c r="Q760" s="4" t="b">
        <v>0</v>
      </c>
    </row>
    <row r="761" spans="5:17" x14ac:dyDescent="0.2">
      <c r="E761" s="93"/>
      <c r="F761" s="79"/>
      <c r="P761" s="4" t="b">
        <v>0</v>
      </c>
      <c r="Q761" s="4" t="b">
        <v>0</v>
      </c>
    </row>
    <row r="762" spans="5:17" x14ac:dyDescent="0.2">
      <c r="E762" s="93"/>
      <c r="F762" s="79"/>
      <c r="P762" s="4" t="b">
        <v>0</v>
      </c>
      <c r="Q762" s="4" t="b">
        <v>0</v>
      </c>
    </row>
    <row r="763" spans="5:17" x14ac:dyDescent="0.2">
      <c r="E763" s="93"/>
      <c r="F763" s="79"/>
      <c r="P763" s="4" t="b">
        <v>0</v>
      </c>
      <c r="Q763" s="4" t="b">
        <v>0</v>
      </c>
    </row>
    <row r="764" spans="5:17" x14ac:dyDescent="0.2">
      <c r="E764" s="93"/>
      <c r="F764" s="79"/>
      <c r="P764" s="4" t="b">
        <v>0</v>
      </c>
      <c r="Q764" s="4" t="b">
        <v>0</v>
      </c>
    </row>
    <row r="765" spans="5:17" x14ac:dyDescent="0.2">
      <c r="E765" s="93"/>
      <c r="F765" s="79"/>
      <c r="P765" s="4" t="b">
        <v>0</v>
      </c>
      <c r="Q765" s="4" t="b">
        <v>0</v>
      </c>
    </row>
    <row r="766" spans="5:17" x14ac:dyDescent="0.2">
      <c r="E766" s="93"/>
      <c r="F766" s="79"/>
      <c r="P766" s="4" t="b">
        <v>0</v>
      </c>
      <c r="Q766" s="4" t="b">
        <v>0</v>
      </c>
    </row>
    <row r="767" spans="5:17" x14ac:dyDescent="0.2">
      <c r="E767" s="93"/>
      <c r="F767" s="79"/>
      <c r="P767" s="4" t="b">
        <v>0</v>
      </c>
      <c r="Q767" s="4" t="b">
        <v>0</v>
      </c>
    </row>
    <row r="768" spans="5:17" x14ac:dyDescent="0.2">
      <c r="E768" s="93"/>
      <c r="F768" s="79"/>
      <c r="P768" s="4" t="b">
        <v>0</v>
      </c>
      <c r="Q768" s="4" t="b">
        <v>0</v>
      </c>
    </row>
    <row r="769" spans="5:17" x14ac:dyDescent="0.2">
      <c r="E769" s="93"/>
      <c r="F769" s="79"/>
      <c r="P769" s="4" t="b">
        <v>0</v>
      </c>
      <c r="Q769" s="4" t="b">
        <v>0</v>
      </c>
    </row>
    <row r="770" spans="5:17" x14ac:dyDescent="0.2">
      <c r="E770" s="93"/>
      <c r="F770" s="79"/>
      <c r="P770" s="4" t="b">
        <v>0</v>
      </c>
      <c r="Q770" s="4" t="b">
        <v>0</v>
      </c>
    </row>
    <row r="771" spans="5:17" x14ac:dyDescent="0.2">
      <c r="E771" s="93"/>
      <c r="F771" s="79"/>
      <c r="P771" s="4" t="b">
        <v>0</v>
      </c>
      <c r="Q771" s="4" t="b">
        <v>0</v>
      </c>
    </row>
    <row r="772" spans="5:17" x14ac:dyDescent="0.2">
      <c r="E772" s="93"/>
      <c r="F772" s="79"/>
      <c r="P772" s="4" t="b">
        <v>0</v>
      </c>
      <c r="Q772" s="4" t="b">
        <v>0</v>
      </c>
    </row>
    <row r="773" spans="5:17" x14ac:dyDescent="0.2">
      <c r="E773" s="93"/>
      <c r="F773" s="79"/>
      <c r="P773" s="4" t="b">
        <v>0</v>
      </c>
      <c r="Q773" s="4" t="b">
        <v>0</v>
      </c>
    </row>
    <row r="774" spans="5:17" x14ac:dyDescent="0.2">
      <c r="E774" s="93"/>
      <c r="F774" s="79"/>
      <c r="P774" s="4" t="b">
        <v>0</v>
      </c>
      <c r="Q774" s="4" t="b">
        <v>0</v>
      </c>
    </row>
    <row r="775" spans="5:17" x14ac:dyDescent="0.2">
      <c r="E775" s="93"/>
      <c r="F775" s="79"/>
      <c r="P775" s="4" t="b">
        <v>0</v>
      </c>
      <c r="Q775" s="4" t="b">
        <v>0</v>
      </c>
    </row>
    <row r="776" spans="5:17" x14ac:dyDescent="0.2">
      <c r="E776" s="93"/>
      <c r="F776" s="79"/>
      <c r="P776" s="4" t="b">
        <v>0</v>
      </c>
      <c r="Q776" s="4" t="b">
        <v>0</v>
      </c>
    </row>
    <row r="777" spans="5:17" x14ac:dyDescent="0.2">
      <c r="E777" s="93"/>
      <c r="F777" s="79"/>
      <c r="P777" s="4" t="b">
        <v>0</v>
      </c>
      <c r="Q777" s="4" t="b">
        <v>0</v>
      </c>
    </row>
    <row r="778" spans="5:17" x14ac:dyDescent="0.2">
      <c r="E778" s="93"/>
      <c r="F778" s="79"/>
      <c r="P778" s="4" t="b">
        <v>0</v>
      </c>
      <c r="Q778" s="4" t="b">
        <v>0</v>
      </c>
    </row>
    <row r="779" spans="5:17" x14ac:dyDescent="0.2">
      <c r="E779" s="93"/>
      <c r="F779" s="79"/>
      <c r="P779" s="4" t="b">
        <v>0</v>
      </c>
      <c r="Q779" s="4" t="b">
        <v>0</v>
      </c>
    </row>
    <row r="780" spans="5:17" x14ac:dyDescent="0.2">
      <c r="E780" s="93"/>
      <c r="F780" s="79"/>
      <c r="P780" s="4" t="b">
        <v>0</v>
      </c>
      <c r="Q780" s="4" t="b">
        <v>0</v>
      </c>
    </row>
    <row r="781" spans="5:17" x14ac:dyDescent="0.2">
      <c r="E781" s="93"/>
      <c r="F781" s="79"/>
      <c r="P781" s="4" t="b">
        <v>0</v>
      </c>
      <c r="Q781" s="4" t="b">
        <v>0</v>
      </c>
    </row>
    <row r="782" spans="5:17" x14ac:dyDescent="0.2">
      <c r="E782" s="93"/>
      <c r="F782" s="79"/>
      <c r="P782" s="4" t="b">
        <v>0</v>
      </c>
      <c r="Q782" s="4" t="b">
        <v>0</v>
      </c>
    </row>
    <row r="783" spans="5:17" x14ac:dyDescent="0.2">
      <c r="E783" s="93"/>
      <c r="F783" s="79"/>
      <c r="P783" s="4" t="b">
        <v>0</v>
      </c>
      <c r="Q783" s="4" t="b">
        <v>0</v>
      </c>
    </row>
    <row r="784" spans="5:17" x14ac:dyDescent="0.2">
      <c r="E784" s="93"/>
      <c r="F784" s="79"/>
      <c r="P784" s="4" t="b">
        <v>0</v>
      </c>
      <c r="Q784" s="4" t="b">
        <v>0</v>
      </c>
    </row>
    <row r="785" spans="5:17" x14ac:dyDescent="0.2">
      <c r="E785" s="93"/>
      <c r="F785" s="79"/>
      <c r="P785" s="4" t="b">
        <v>0</v>
      </c>
      <c r="Q785" s="4" t="b">
        <v>0</v>
      </c>
    </row>
    <row r="786" spans="5:17" x14ac:dyDescent="0.2">
      <c r="E786" s="93"/>
      <c r="F786" s="79"/>
      <c r="P786" s="4" t="b">
        <v>0</v>
      </c>
      <c r="Q786" s="4" t="b">
        <v>0</v>
      </c>
    </row>
    <row r="787" spans="5:17" x14ac:dyDescent="0.2">
      <c r="E787" s="93"/>
      <c r="F787" s="79"/>
      <c r="P787" s="4" t="b">
        <v>0</v>
      </c>
      <c r="Q787" s="4" t="b">
        <v>0</v>
      </c>
    </row>
    <row r="788" spans="5:17" x14ac:dyDescent="0.2">
      <c r="E788" s="93"/>
      <c r="F788" s="79"/>
      <c r="P788" s="4" t="b">
        <v>0</v>
      </c>
      <c r="Q788" s="4" t="b">
        <v>0</v>
      </c>
    </row>
    <row r="789" spans="5:17" x14ac:dyDescent="0.2">
      <c r="E789" s="93"/>
      <c r="F789" s="79"/>
      <c r="P789" s="4" t="b">
        <v>0</v>
      </c>
      <c r="Q789" s="4" t="b">
        <v>0</v>
      </c>
    </row>
    <row r="790" spans="5:17" x14ac:dyDescent="0.2">
      <c r="E790" s="93"/>
      <c r="F790" s="79"/>
      <c r="P790" s="4" t="b">
        <v>0</v>
      </c>
      <c r="Q790" s="4" t="b">
        <v>0</v>
      </c>
    </row>
    <row r="791" spans="5:17" x14ac:dyDescent="0.2">
      <c r="E791" s="93"/>
      <c r="F791" s="79"/>
      <c r="P791" s="4" t="b">
        <v>0</v>
      </c>
      <c r="Q791" s="4" t="b">
        <v>0</v>
      </c>
    </row>
    <row r="792" spans="5:17" x14ac:dyDescent="0.2">
      <c r="E792" s="93"/>
      <c r="F792" s="79"/>
      <c r="P792" s="4" t="b">
        <v>0</v>
      </c>
      <c r="Q792" s="4" t="b">
        <v>0</v>
      </c>
    </row>
    <row r="793" spans="5:17" x14ac:dyDescent="0.2">
      <c r="E793" s="93"/>
      <c r="F793" s="79"/>
      <c r="P793" s="4" t="b">
        <v>0</v>
      </c>
      <c r="Q793" s="4" t="b">
        <v>0</v>
      </c>
    </row>
    <row r="794" spans="5:17" x14ac:dyDescent="0.2">
      <c r="E794" s="93"/>
      <c r="F794" s="79"/>
      <c r="P794" s="4" t="b">
        <v>0</v>
      </c>
      <c r="Q794" s="4" t="b">
        <v>0</v>
      </c>
    </row>
    <row r="795" spans="5:17" x14ac:dyDescent="0.2">
      <c r="E795" s="93"/>
      <c r="F795" s="79"/>
      <c r="P795" s="4" t="b">
        <v>0</v>
      </c>
      <c r="Q795" s="4" t="b">
        <v>0</v>
      </c>
    </row>
    <row r="796" spans="5:17" x14ac:dyDescent="0.2">
      <c r="E796" s="93"/>
      <c r="F796" s="79"/>
      <c r="P796" s="4" t="b">
        <v>0</v>
      </c>
      <c r="Q796" s="4" t="b">
        <v>0</v>
      </c>
    </row>
    <row r="797" spans="5:17" x14ac:dyDescent="0.2">
      <c r="E797" s="93"/>
      <c r="F797" s="79"/>
      <c r="P797" s="4" t="b">
        <v>0</v>
      </c>
      <c r="Q797" s="4" t="b">
        <v>0</v>
      </c>
    </row>
    <row r="798" spans="5:17" x14ac:dyDescent="0.2">
      <c r="E798" s="93"/>
      <c r="F798" s="79"/>
      <c r="P798" s="4" t="b">
        <v>0</v>
      </c>
      <c r="Q798" s="4" t="b">
        <v>0</v>
      </c>
    </row>
    <row r="799" spans="5:17" x14ac:dyDescent="0.2">
      <c r="E799" s="93"/>
      <c r="F799" s="79"/>
      <c r="P799" s="4" t="b">
        <v>0</v>
      </c>
      <c r="Q799" s="4" t="b">
        <v>0</v>
      </c>
    </row>
    <row r="800" spans="5:17" x14ac:dyDescent="0.2">
      <c r="E800" s="93"/>
      <c r="F800" s="79"/>
      <c r="P800" s="4" t="b">
        <v>0</v>
      </c>
      <c r="Q800" s="4" t="b">
        <v>0</v>
      </c>
    </row>
    <row r="801" spans="5:17" x14ac:dyDescent="0.2">
      <c r="E801" s="93"/>
      <c r="F801" s="79"/>
      <c r="P801" s="4" t="b">
        <v>0</v>
      </c>
      <c r="Q801" s="4" t="b">
        <v>0</v>
      </c>
    </row>
    <row r="802" spans="5:17" x14ac:dyDescent="0.2">
      <c r="E802" s="93"/>
      <c r="F802" s="79"/>
      <c r="P802" s="4" t="b">
        <v>0</v>
      </c>
      <c r="Q802" s="4" t="b">
        <v>0</v>
      </c>
    </row>
    <row r="803" spans="5:17" x14ac:dyDescent="0.2">
      <c r="E803" s="93"/>
      <c r="F803" s="79"/>
      <c r="P803" s="4" t="b">
        <v>0</v>
      </c>
      <c r="Q803" s="4" t="b">
        <v>0</v>
      </c>
    </row>
    <row r="804" spans="5:17" x14ac:dyDescent="0.2">
      <c r="E804" s="93"/>
      <c r="F804" s="79"/>
      <c r="P804" s="4" t="b">
        <v>0</v>
      </c>
      <c r="Q804" s="4" t="b">
        <v>0</v>
      </c>
    </row>
    <row r="805" spans="5:17" x14ac:dyDescent="0.2">
      <c r="E805" s="93"/>
      <c r="F805" s="79"/>
      <c r="P805" s="4" t="b">
        <v>0</v>
      </c>
      <c r="Q805" s="4" t="b">
        <v>0</v>
      </c>
    </row>
    <row r="806" spans="5:17" x14ac:dyDescent="0.2">
      <c r="E806" s="93"/>
      <c r="F806" s="79"/>
      <c r="P806" s="4" t="b">
        <v>0</v>
      </c>
      <c r="Q806" s="4" t="b">
        <v>0</v>
      </c>
    </row>
    <row r="807" spans="5:17" x14ac:dyDescent="0.2">
      <c r="E807" s="93"/>
      <c r="F807" s="79"/>
      <c r="P807" s="4" t="b">
        <v>0</v>
      </c>
      <c r="Q807" s="4" t="b">
        <v>0</v>
      </c>
    </row>
    <row r="808" spans="5:17" x14ac:dyDescent="0.2">
      <c r="E808" s="93"/>
      <c r="F808" s="79"/>
      <c r="P808" s="4" t="b">
        <v>0</v>
      </c>
      <c r="Q808" s="4" t="b">
        <v>0</v>
      </c>
    </row>
    <row r="809" spans="5:17" x14ac:dyDescent="0.2">
      <c r="E809" s="93"/>
      <c r="F809" s="79"/>
      <c r="P809" s="4" t="b">
        <v>0</v>
      </c>
      <c r="Q809" s="4" t="b">
        <v>0</v>
      </c>
    </row>
    <row r="810" spans="5:17" x14ac:dyDescent="0.2">
      <c r="E810" s="93"/>
      <c r="F810" s="79"/>
      <c r="P810" s="4" t="b">
        <v>0</v>
      </c>
      <c r="Q810" s="4" t="b">
        <v>0</v>
      </c>
    </row>
    <row r="811" spans="5:17" x14ac:dyDescent="0.2">
      <c r="E811" s="93"/>
      <c r="F811" s="79"/>
      <c r="P811" s="4" t="b">
        <v>0</v>
      </c>
      <c r="Q811" s="4" t="b">
        <v>0</v>
      </c>
    </row>
    <row r="812" spans="5:17" x14ac:dyDescent="0.2">
      <c r="E812" s="93"/>
      <c r="F812" s="79"/>
      <c r="P812" s="4" t="b">
        <v>0</v>
      </c>
      <c r="Q812" s="4" t="b">
        <v>0</v>
      </c>
    </row>
    <row r="813" spans="5:17" x14ac:dyDescent="0.2">
      <c r="E813" s="93"/>
      <c r="F813" s="79"/>
      <c r="P813" s="4" t="b">
        <v>0</v>
      </c>
      <c r="Q813" s="4" t="b">
        <v>0</v>
      </c>
    </row>
    <row r="814" spans="5:17" x14ac:dyDescent="0.2">
      <c r="E814" s="93"/>
      <c r="F814" s="79"/>
      <c r="P814" s="4" t="b">
        <v>0</v>
      </c>
      <c r="Q814" s="4" t="b">
        <v>0</v>
      </c>
    </row>
    <row r="815" spans="5:17" x14ac:dyDescent="0.2">
      <c r="E815" s="93"/>
      <c r="F815" s="79"/>
      <c r="P815" s="4" t="b">
        <v>0</v>
      </c>
      <c r="Q815" s="4" t="b">
        <v>0</v>
      </c>
    </row>
    <row r="816" spans="5:17" x14ac:dyDescent="0.2">
      <c r="E816" s="93"/>
      <c r="F816" s="79"/>
      <c r="P816" s="4" t="b">
        <v>0</v>
      </c>
      <c r="Q816" s="4" t="b">
        <v>0</v>
      </c>
    </row>
    <row r="817" spans="5:17" x14ac:dyDescent="0.2">
      <c r="E817" s="93"/>
      <c r="F817" s="79"/>
      <c r="P817" s="4" t="b">
        <v>0</v>
      </c>
      <c r="Q817" s="4" t="b">
        <v>0</v>
      </c>
    </row>
    <row r="818" spans="5:17" x14ac:dyDescent="0.2">
      <c r="E818" s="93"/>
      <c r="F818" s="79"/>
      <c r="P818" s="4" t="b">
        <v>0</v>
      </c>
      <c r="Q818" s="4" t="b">
        <v>0</v>
      </c>
    </row>
    <row r="819" spans="5:17" x14ac:dyDescent="0.2">
      <c r="E819" s="93"/>
      <c r="F819" s="79"/>
      <c r="P819" s="4" t="b">
        <v>0</v>
      </c>
      <c r="Q819" s="4" t="b">
        <v>0</v>
      </c>
    </row>
    <row r="820" spans="5:17" x14ac:dyDescent="0.2">
      <c r="E820" s="93"/>
      <c r="F820" s="79"/>
      <c r="P820" s="4" t="b">
        <v>0</v>
      </c>
      <c r="Q820" s="4" t="b">
        <v>0</v>
      </c>
    </row>
    <row r="821" spans="5:17" x14ac:dyDescent="0.2">
      <c r="E821" s="93"/>
      <c r="F821" s="79"/>
      <c r="P821" s="4" t="b">
        <v>0</v>
      </c>
      <c r="Q821" s="4" t="b">
        <v>0</v>
      </c>
    </row>
    <row r="822" spans="5:17" x14ac:dyDescent="0.2">
      <c r="E822" s="93"/>
      <c r="F822" s="79"/>
      <c r="P822" s="4" t="b">
        <v>0</v>
      </c>
      <c r="Q822" s="4" t="b">
        <v>0</v>
      </c>
    </row>
    <row r="823" spans="5:17" x14ac:dyDescent="0.2">
      <c r="E823" s="93"/>
      <c r="F823" s="79"/>
      <c r="P823" s="4" t="b">
        <v>0</v>
      </c>
      <c r="Q823" s="4" t="b">
        <v>0</v>
      </c>
    </row>
    <row r="824" spans="5:17" x14ac:dyDescent="0.2">
      <c r="E824" s="93"/>
      <c r="F824" s="79"/>
      <c r="P824" s="4" t="b">
        <v>0</v>
      </c>
      <c r="Q824" s="4" t="b">
        <v>0</v>
      </c>
    </row>
    <row r="825" spans="5:17" x14ac:dyDescent="0.2">
      <c r="E825" s="93"/>
      <c r="F825" s="79"/>
      <c r="P825" s="4" t="b">
        <v>0</v>
      </c>
      <c r="Q825" s="4" t="b">
        <v>0</v>
      </c>
    </row>
    <row r="826" spans="5:17" x14ac:dyDescent="0.2">
      <c r="E826" s="93"/>
      <c r="F826" s="79"/>
      <c r="P826" s="4" t="b">
        <v>0</v>
      </c>
      <c r="Q826" s="4" t="b">
        <v>0</v>
      </c>
    </row>
    <row r="827" spans="5:17" x14ac:dyDescent="0.2">
      <c r="E827" s="93"/>
      <c r="F827" s="79"/>
      <c r="P827" s="4" t="b">
        <v>0</v>
      </c>
      <c r="Q827" s="4" t="b">
        <v>0</v>
      </c>
    </row>
    <row r="828" spans="5:17" x14ac:dyDescent="0.2">
      <c r="E828" s="93"/>
      <c r="F828" s="79"/>
      <c r="P828" s="4" t="b">
        <v>0</v>
      </c>
      <c r="Q828" s="4" t="b">
        <v>0</v>
      </c>
    </row>
    <row r="829" spans="5:17" x14ac:dyDescent="0.2">
      <c r="E829" s="93"/>
      <c r="F829" s="79"/>
      <c r="P829" s="4" t="b">
        <v>0</v>
      </c>
      <c r="Q829" s="4" t="b">
        <v>0</v>
      </c>
    </row>
    <row r="830" spans="5:17" x14ac:dyDescent="0.2">
      <c r="E830" s="93"/>
      <c r="F830" s="79"/>
      <c r="P830" s="4" t="b">
        <v>0</v>
      </c>
      <c r="Q830" s="4" t="b">
        <v>0</v>
      </c>
    </row>
    <row r="831" spans="5:17" x14ac:dyDescent="0.2">
      <c r="E831" s="93"/>
      <c r="F831" s="79"/>
      <c r="P831" s="4" t="b">
        <v>0</v>
      </c>
      <c r="Q831" s="4" t="b">
        <v>0</v>
      </c>
    </row>
    <row r="832" spans="5:17" x14ac:dyDescent="0.2">
      <c r="E832" s="93"/>
      <c r="F832" s="79"/>
      <c r="P832" s="4" t="b">
        <v>0</v>
      </c>
      <c r="Q832" s="4" t="b">
        <v>0</v>
      </c>
    </row>
    <row r="833" spans="5:17" x14ac:dyDescent="0.2">
      <c r="E833" s="93"/>
      <c r="F833" s="79"/>
      <c r="P833" s="4" t="b">
        <v>0</v>
      </c>
      <c r="Q833" s="4" t="b">
        <v>0</v>
      </c>
    </row>
    <row r="834" spans="5:17" x14ac:dyDescent="0.2">
      <c r="E834" s="93"/>
      <c r="F834" s="79"/>
      <c r="P834" s="4" t="b">
        <v>0</v>
      </c>
      <c r="Q834" s="4" t="b">
        <v>0</v>
      </c>
    </row>
    <row r="835" spans="5:17" x14ac:dyDescent="0.2">
      <c r="E835" s="93"/>
      <c r="F835" s="79"/>
      <c r="P835" s="4" t="b">
        <v>0</v>
      </c>
      <c r="Q835" s="4" t="b">
        <v>0</v>
      </c>
    </row>
    <row r="836" spans="5:17" x14ac:dyDescent="0.2">
      <c r="E836" s="93"/>
      <c r="F836" s="79"/>
      <c r="P836" s="4" t="b">
        <v>0</v>
      </c>
      <c r="Q836" s="4" t="b">
        <v>0</v>
      </c>
    </row>
    <row r="837" spans="5:17" x14ac:dyDescent="0.2">
      <c r="E837" s="93"/>
      <c r="F837" s="79"/>
      <c r="P837" s="4" t="b">
        <v>0</v>
      </c>
      <c r="Q837" s="4" t="b">
        <v>0</v>
      </c>
    </row>
    <row r="838" spans="5:17" x14ac:dyDescent="0.2">
      <c r="E838" s="93"/>
      <c r="F838" s="79"/>
      <c r="P838" s="4" t="b">
        <v>0</v>
      </c>
      <c r="Q838" s="4" t="b">
        <v>0</v>
      </c>
    </row>
    <row r="839" spans="5:17" x14ac:dyDescent="0.2">
      <c r="E839" s="93"/>
      <c r="F839" s="79"/>
      <c r="P839" s="4" t="b">
        <v>0</v>
      </c>
      <c r="Q839" s="4" t="b">
        <v>0</v>
      </c>
    </row>
    <row r="840" spans="5:17" x14ac:dyDescent="0.2">
      <c r="E840" s="93"/>
      <c r="F840" s="79"/>
      <c r="P840" s="4" t="b">
        <v>0</v>
      </c>
      <c r="Q840" s="4" t="b">
        <v>0</v>
      </c>
    </row>
    <row r="841" spans="5:17" x14ac:dyDescent="0.2">
      <c r="E841" s="93"/>
      <c r="F841" s="79"/>
      <c r="P841" s="4" t="b">
        <v>0</v>
      </c>
      <c r="Q841" s="4" t="b">
        <v>0</v>
      </c>
    </row>
    <row r="842" spans="5:17" x14ac:dyDescent="0.2">
      <c r="E842" s="93"/>
      <c r="F842" s="79"/>
      <c r="P842" s="4" t="b">
        <v>0</v>
      </c>
      <c r="Q842" s="4" t="b">
        <v>0</v>
      </c>
    </row>
    <row r="843" spans="5:17" x14ac:dyDescent="0.2">
      <c r="E843" s="93"/>
      <c r="F843" s="79"/>
      <c r="P843" s="4" t="b">
        <v>0</v>
      </c>
      <c r="Q843" s="4" t="b">
        <v>0</v>
      </c>
    </row>
    <row r="844" spans="5:17" x14ac:dyDescent="0.2">
      <c r="E844" s="93"/>
      <c r="F844" s="79"/>
      <c r="P844" s="4" t="b">
        <v>0</v>
      </c>
      <c r="Q844" s="4" t="b">
        <v>0</v>
      </c>
    </row>
    <row r="845" spans="5:17" x14ac:dyDescent="0.2">
      <c r="E845" s="93"/>
      <c r="F845" s="79"/>
      <c r="P845" s="4" t="b">
        <v>0</v>
      </c>
      <c r="Q845" s="4" t="b">
        <v>0</v>
      </c>
    </row>
    <row r="846" spans="5:17" x14ac:dyDescent="0.2">
      <c r="E846" s="93"/>
      <c r="F846" s="79"/>
      <c r="P846" s="4" t="b">
        <v>0</v>
      </c>
      <c r="Q846" s="4" t="b">
        <v>0</v>
      </c>
    </row>
    <row r="847" spans="5:17" x14ac:dyDescent="0.2">
      <c r="E847" s="93"/>
      <c r="F847" s="79"/>
      <c r="P847" s="4" t="b">
        <v>0</v>
      </c>
      <c r="Q847" s="4" t="b">
        <v>0</v>
      </c>
    </row>
    <row r="848" spans="5:17" x14ac:dyDescent="0.2">
      <c r="E848" s="93"/>
      <c r="F848" s="79"/>
      <c r="P848" s="4" t="b">
        <v>0</v>
      </c>
      <c r="Q848" s="4" t="b">
        <v>0</v>
      </c>
    </row>
    <row r="849" spans="5:17" x14ac:dyDescent="0.2">
      <c r="E849" s="93"/>
      <c r="F849" s="79"/>
      <c r="P849" s="4" t="b">
        <v>0</v>
      </c>
      <c r="Q849" s="4" t="b">
        <v>0</v>
      </c>
    </row>
    <row r="850" spans="5:17" x14ac:dyDescent="0.2">
      <c r="E850" s="93"/>
      <c r="F850" s="79"/>
      <c r="P850" s="4" t="b">
        <v>0</v>
      </c>
      <c r="Q850" s="4" t="b">
        <v>0</v>
      </c>
    </row>
    <row r="851" spans="5:17" x14ac:dyDescent="0.2">
      <c r="E851" s="93"/>
      <c r="F851" s="79"/>
      <c r="P851" s="4" t="b">
        <v>0</v>
      </c>
      <c r="Q851" s="4" t="b">
        <v>0</v>
      </c>
    </row>
    <row r="852" spans="5:17" x14ac:dyDescent="0.2">
      <c r="E852" s="93"/>
      <c r="F852" s="79"/>
      <c r="P852" s="4" t="b">
        <v>0</v>
      </c>
      <c r="Q852" s="4" t="b">
        <v>0</v>
      </c>
    </row>
    <row r="853" spans="5:17" x14ac:dyDescent="0.2">
      <c r="E853" s="93"/>
      <c r="F853" s="79"/>
      <c r="P853" s="4" t="b">
        <v>0</v>
      </c>
      <c r="Q853" s="4" t="b">
        <v>0</v>
      </c>
    </row>
    <row r="854" spans="5:17" x14ac:dyDescent="0.2">
      <c r="E854" s="93"/>
      <c r="F854" s="79"/>
      <c r="P854" s="4" t="b">
        <v>0</v>
      </c>
      <c r="Q854" s="4" t="b">
        <v>0</v>
      </c>
    </row>
    <row r="855" spans="5:17" x14ac:dyDescent="0.2">
      <c r="E855" s="93"/>
      <c r="F855" s="79"/>
      <c r="P855" s="4" t="b">
        <v>0</v>
      </c>
      <c r="Q855" s="4" t="b">
        <v>0</v>
      </c>
    </row>
    <row r="856" spans="5:17" x14ac:dyDescent="0.2">
      <c r="E856" s="93"/>
      <c r="F856" s="79"/>
      <c r="P856" s="4" t="b">
        <v>0</v>
      </c>
      <c r="Q856" s="4" t="b">
        <v>0</v>
      </c>
    </row>
    <row r="857" spans="5:17" x14ac:dyDescent="0.2">
      <c r="E857" s="93"/>
      <c r="F857" s="79"/>
      <c r="P857" s="4" t="b">
        <v>0</v>
      </c>
      <c r="Q857" s="4" t="b">
        <v>0</v>
      </c>
    </row>
    <row r="858" spans="5:17" x14ac:dyDescent="0.2">
      <c r="E858" s="93"/>
      <c r="F858" s="79"/>
      <c r="P858" s="4" t="b">
        <v>0</v>
      </c>
      <c r="Q858" s="4" t="b">
        <v>0</v>
      </c>
    </row>
    <row r="859" spans="5:17" x14ac:dyDescent="0.2">
      <c r="E859" s="93"/>
      <c r="F859" s="79"/>
      <c r="P859" s="4" t="b">
        <v>0</v>
      </c>
      <c r="Q859" s="4" t="b">
        <v>0</v>
      </c>
    </row>
    <row r="860" spans="5:17" x14ac:dyDescent="0.2">
      <c r="E860" s="93"/>
      <c r="F860" s="79"/>
      <c r="P860" s="4" t="b">
        <v>0</v>
      </c>
      <c r="Q860" s="4" t="b">
        <v>0</v>
      </c>
    </row>
    <row r="861" spans="5:17" x14ac:dyDescent="0.2">
      <c r="E861" s="93"/>
      <c r="F861" s="79"/>
      <c r="P861" s="4" t="b">
        <v>0</v>
      </c>
      <c r="Q861" s="4" t="b">
        <v>0</v>
      </c>
    </row>
    <row r="862" spans="5:17" x14ac:dyDescent="0.2">
      <c r="E862" s="93"/>
      <c r="F862" s="79"/>
      <c r="P862" s="4" t="b">
        <v>0</v>
      </c>
      <c r="Q862" s="4" t="b">
        <v>0</v>
      </c>
    </row>
    <row r="863" spans="5:17" x14ac:dyDescent="0.2">
      <c r="E863" s="93"/>
      <c r="F863" s="79"/>
      <c r="P863" s="4" t="b">
        <v>0</v>
      </c>
      <c r="Q863" s="4" t="b">
        <v>0</v>
      </c>
    </row>
    <row r="864" spans="5:17" x14ac:dyDescent="0.2">
      <c r="E864" s="93"/>
      <c r="F864" s="79"/>
      <c r="P864" s="4" t="b">
        <v>0</v>
      </c>
      <c r="Q864" s="4" t="b">
        <v>0</v>
      </c>
    </row>
    <row r="865" spans="5:17" x14ac:dyDescent="0.2">
      <c r="E865" s="93"/>
      <c r="F865" s="79"/>
      <c r="P865" s="4" t="b">
        <v>0</v>
      </c>
      <c r="Q865" s="4" t="b">
        <v>0</v>
      </c>
    </row>
    <row r="866" spans="5:17" x14ac:dyDescent="0.2">
      <c r="E866" s="93"/>
      <c r="F866" s="79"/>
      <c r="P866" s="4" t="b">
        <v>0</v>
      </c>
      <c r="Q866" s="4" t="b">
        <v>0</v>
      </c>
    </row>
    <row r="867" spans="5:17" x14ac:dyDescent="0.2">
      <c r="E867" s="93"/>
      <c r="F867" s="79"/>
      <c r="P867" s="4" t="b">
        <v>0</v>
      </c>
      <c r="Q867" s="4" t="b">
        <v>0</v>
      </c>
    </row>
    <row r="868" spans="5:17" x14ac:dyDescent="0.2">
      <c r="E868" s="93"/>
      <c r="F868" s="79"/>
      <c r="P868" s="4" t="b">
        <v>0</v>
      </c>
      <c r="Q868" s="4" t="b">
        <v>0</v>
      </c>
    </row>
    <row r="869" spans="5:17" x14ac:dyDescent="0.2">
      <c r="E869" s="93"/>
      <c r="F869" s="79"/>
      <c r="P869" s="4" t="b">
        <v>0</v>
      </c>
      <c r="Q869" s="4" t="b">
        <v>0</v>
      </c>
    </row>
    <row r="870" spans="5:17" x14ac:dyDescent="0.2">
      <c r="E870" s="93"/>
      <c r="F870" s="79"/>
      <c r="P870" s="4" t="b">
        <v>0</v>
      </c>
      <c r="Q870" s="4" t="b">
        <v>0</v>
      </c>
    </row>
    <row r="871" spans="5:17" x14ac:dyDescent="0.2">
      <c r="E871" s="93"/>
      <c r="F871" s="79"/>
      <c r="P871" s="4" t="b">
        <v>0</v>
      </c>
      <c r="Q871" s="4" t="b">
        <v>0</v>
      </c>
    </row>
    <row r="872" spans="5:17" x14ac:dyDescent="0.2">
      <c r="E872" s="93"/>
      <c r="F872" s="79"/>
      <c r="P872" s="4" t="b">
        <v>0</v>
      </c>
      <c r="Q872" s="4" t="b">
        <v>0</v>
      </c>
    </row>
    <row r="873" spans="5:17" x14ac:dyDescent="0.2">
      <c r="E873" s="93"/>
      <c r="F873" s="79"/>
      <c r="P873" s="4" t="b">
        <v>0</v>
      </c>
      <c r="Q873" s="4" t="b">
        <v>0</v>
      </c>
    </row>
    <row r="874" spans="5:17" x14ac:dyDescent="0.2">
      <c r="E874" s="93"/>
      <c r="F874" s="79"/>
      <c r="P874" s="4" t="b">
        <v>0</v>
      </c>
      <c r="Q874" s="4" t="b">
        <v>0</v>
      </c>
    </row>
    <row r="875" spans="5:17" x14ac:dyDescent="0.2">
      <c r="E875" s="93"/>
      <c r="F875" s="79"/>
      <c r="P875" s="4" t="b">
        <v>0</v>
      </c>
      <c r="Q875" s="4" t="b">
        <v>0</v>
      </c>
    </row>
    <row r="876" spans="5:17" x14ac:dyDescent="0.2">
      <c r="E876" s="93"/>
      <c r="F876" s="79"/>
      <c r="P876" s="4" t="b">
        <v>0</v>
      </c>
      <c r="Q876" s="4" t="b">
        <v>0</v>
      </c>
    </row>
    <row r="877" spans="5:17" x14ac:dyDescent="0.2">
      <c r="E877" s="93"/>
      <c r="F877" s="79"/>
      <c r="P877" s="4" t="b">
        <v>0</v>
      </c>
      <c r="Q877" s="4" t="b">
        <v>0</v>
      </c>
    </row>
    <row r="878" spans="5:17" x14ac:dyDescent="0.2">
      <c r="E878" s="93"/>
      <c r="F878" s="79"/>
      <c r="P878" s="4" t="b">
        <v>0</v>
      </c>
      <c r="Q878" s="4" t="b">
        <v>0</v>
      </c>
    </row>
    <row r="879" spans="5:17" x14ac:dyDescent="0.2">
      <c r="E879" s="93"/>
      <c r="F879" s="79"/>
      <c r="P879" s="4" t="b">
        <v>0</v>
      </c>
      <c r="Q879" s="4" t="b">
        <v>0</v>
      </c>
    </row>
    <row r="880" spans="5:17" x14ac:dyDescent="0.2">
      <c r="E880" s="93"/>
      <c r="F880" s="79"/>
      <c r="P880" s="4" t="b">
        <v>0</v>
      </c>
      <c r="Q880" s="4" t="b">
        <v>0</v>
      </c>
    </row>
    <row r="881" spans="5:17" x14ac:dyDescent="0.2">
      <c r="E881" s="93"/>
      <c r="F881" s="79"/>
      <c r="P881" s="4" t="b">
        <v>0</v>
      </c>
      <c r="Q881" s="4" t="b">
        <v>0</v>
      </c>
    </row>
    <row r="882" spans="5:17" x14ac:dyDescent="0.2">
      <c r="E882" s="93"/>
      <c r="F882" s="79"/>
      <c r="P882" s="4" t="b">
        <v>0</v>
      </c>
      <c r="Q882" s="4" t="b">
        <v>0</v>
      </c>
    </row>
    <row r="883" spans="5:17" x14ac:dyDescent="0.2">
      <c r="E883" s="93"/>
      <c r="F883" s="79"/>
      <c r="P883" s="4" t="b">
        <v>0</v>
      </c>
      <c r="Q883" s="4" t="b">
        <v>0</v>
      </c>
    </row>
    <row r="884" spans="5:17" x14ac:dyDescent="0.2">
      <c r="E884" s="93"/>
      <c r="F884" s="79"/>
      <c r="P884" s="4" t="b">
        <v>0</v>
      </c>
      <c r="Q884" s="4" t="b">
        <v>0</v>
      </c>
    </row>
    <row r="885" spans="5:17" x14ac:dyDescent="0.2">
      <c r="E885" s="93"/>
      <c r="F885" s="79"/>
      <c r="P885" s="4" t="b">
        <v>0</v>
      </c>
      <c r="Q885" s="4" t="b">
        <v>0</v>
      </c>
    </row>
    <row r="886" spans="5:17" x14ac:dyDescent="0.2">
      <c r="E886" s="93"/>
      <c r="F886" s="79"/>
      <c r="P886" s="4" t="b">
        <v>0</v>
      </c>
      <c r="Q886" s="4" t="b">
        <v>0</v>
      </c>
    </row>
    <row r="887" spans="5:17" x14ac:dyDescent="0.2">
      <c r="E887" s="93"/>
      <c r="F887" s="79"/>
      <c r="P887" s="4" t="b">
        <v>0</v>
      </c>
      <c r="Q887" s="4" t="b">
        <v>0</v>
      </c>
    </row>
    <row r="888" spans="5:17" x14ac:dyDescent="0.2">
      <c r="E888" s="93"/>
      <c r="F888" s="79"/>
      <c r="P888" s="4" t="b">
        <v>0</v>
      </c>
      <c r="Q888" s="4" t="b">
        <v>0</v>
      </c>
    </row>
    <row r="889" spans="5:17" x14ac:dyDescent="0.2">
      <c r="E889" s="93"/>
      <c r="F889" s="79"/>
      <c r="P889" s="4" t="b">
        <v>0</v>
      </c>
      <c r="Q889" s="4" t="b">
        <v>0</v>
      </c>
    </row>
    <row r="890" spans="5:17" x14ac:dyDescent="0.2">
      <c r="E890" s="93"/>
      <c r="F890" s="79"/>
      <c r="P890" s="4" t="b">
        <v>0</v>
      </c>
      <c r="Q890" s="4" t="b">
        <v>0</v>
      </c>
    </row>
    <row r="891" spans="5:17" x14ac:dyDescent="0.2">
      <c r="E891" s="93"/>
      <c r="F891" s="79"/>
      <c r="P891" s="4" t="b">
        <v>0</v>
      </c>
      <c r="Q891" s="4" t="b">
        <v>0</v>
      </c>
    </row>
    <row r="892" spans="5:17" x14ac:dyDescent="0.2">
      <c r="E892" s="93"/>
      <c r="F892" s="79"/>
      <c r="P892" s="4" t="b">
        <v>0</v>
      </c>
      <c r="Q892" s="4" t="b">
        <v>0</v>
      </c>
    </row>
    <row r="893" spans="5:17" x14ac:dyDescent="0.2">
      <c r="E893" s="93"/>
      <c r="F893" s="79"/>
      <c r="P893" s="4" t="b">
        <v>0</v>
      </c>
      <c r="Q893" s="4" t="b">
        <v>0</v>
      </c>
    </row>
    <row r="894" spans="5:17" x14ac:dyDescent="0.2">
      <c r="E894" s="93"/>
      <c r="F894" s="79"/>
      <c r="P894" s="4" t="b">
        <v>0</v>
      </c>
      <c r="Q894" s="4" t="b">
        <v>0</v>
      </c>
    </row>
    <row r="895" spans="5:17" x14ac:dyDescent="0.2">
      <c r="E895" s="93"/>
      <c r="F895" s="79"/>
      <c r="P895" s="4" t="b">
        <v>0</v>
      </c>
      <c r="Q895" s="4" t="b">
        <v>0</v>
      </c>
    </row>
    <row r="896" spans="5:17" x14ac:dyDescent="0.2">
      <c r="E896" s="93"/>
      <c r="F896" s="79"/>
      <c r="P896" s="4" t="b">
        <v>0</v>
      </c>
      <c r="Q896" s="4" t="b">
        <v>0</v>
      </c>
    </row>
    <row r="897" spans="5:17" x14ac:dyDescent="0.2">
      <c r="E897" s="93"/>
      <c r="F897" s="79"/>
      <c r="P897" s="4" t="b">
        <v>0</v>
      </c>
      <c r="Q897" s="4" t="b">
        <v>0</v>
      </c>
    </row>
    <row r="898" spans="5:17" x14ac:dyDescent="0.2">
      <c r="E898" s="93"/>
      <c r="F898" s="79"/>
      <c r="P898" s="4" t="b">
        <v>0</v>
      </c>
      <c r="Q898" s="4" t="b">
        <v>0</v>
      </c>
    </row>
    <row r="899" spans="5:17" x14ac:dyDescent="0.2">
      <c r="E899" s="93"/>
      <c r="F899" s="79"/>
      <c r="P899" s="4" t="b">
        <v>0</v>
      </c>
      <c r="Q899" s="4" t="b">
        <v>0</v>
      </c>
    </row>
    <row r="900" spans="5:17" x14ac:dyDescent="0.2">
      <c r="E900" s="93"/>
      <c r="F900" s="79"/>
      <c r="P900" s="4" t="b">
        <v>0</v>
      </c>
      <c r="Q900" s="4" t="b">
        <v>0</v>
      </c>
    </row>
    <row r="901" spans="5:17" x14ac:dyDescent="0.2">
      <c r="E901" s="93"/>
      <c r="F901" s="79"/>
      <c r="P901" s="4" t="b">
        <v>0</v>
      </c>
      <c r="Q901" s="4" t="b">
        <v>0</v>
      </c>
    </row>
    <row r="902" spans="5:17" x14ac:dyDescent="0.2">
      <c r="E902" s="93"/>
      <c r="F902" s="79"/>
      <c r="P902" s="4" t="b">
        <v>0</v>
      </c>
      <c r="Q902" s="4" t="b">
        <v>0</v>
      </c>
    </row>
    <row r="903" spans="5:17" x14ac:dyDescent="0.2">
      <c r="E903" s="93"/>
      <c r="F903" s="79"/>
      <c r="P903" s="4" t="b">
        <v>0</v>
      </c>
      <c r="Q903" s="4" t="b">
        <v>0</v>
      </c>
    </row>
    <row r="904" spans="5:17" x14ac:dyDescent="0.2">
      <c r="E904" s="93"/>
      <c r="F904" s="79"/>
      <c r="P904" s="4" t="b">
        <v>0</v>
      </c>
      <c r="Q904" s="4" t="b">
        <v>0</v>
      </c>
    </row>
    <row r="905" spans="5:17" x14ac:dyDescent="0.2">
      <c r="E905" s="93"/>
      <c r="F905" s="79"/>
      <c r="P905" s="4" t="b">
        <v>0</v>
      </c>
      <c r="Q905" s="4" t="b">
        <v>0</v>
      </c>
    </row>
    <row r="906" spans="5:17" x14ac:dyDescent="0.2">
      <c r="E906" s="93"/>
      <c r="F906" s="79"/>
      <c r="P906" s="4" t="b">
        <v>0</v>
      </c>
      <c r="Q906" s="4" t="b">
        <v>0</v>
      </c>
    </row>
    <row r="907" spans="5:17" x14ac:dyDescent="0.2">
      <c r="E907" s="93"/>
      <c r="F907" s="79"/>
      <c r="P907" s="4" t="b">
        <v>0</v>
      </c>
      <c r="Q907" s="4" t="b">
        <v>0</v>
      </c>
    </row>
    <row r="908" spans="5:17" x14ac:dyDescent="0.2">
      <c r="E908" s="93"/>
      <c r="F908" s="79"/>
      <c r="P908" s="4" t="b">
        <v>0</v>
      </c>
      <c r="Q908" s="4" t="b">
        <v>0</v>
      </c>
    </row>
    <row r="909" spans="5:17" x14ac:dyDescent="0.2">
      <c r="E909" s="93"/>
      <c r="F909" s="79"/>
      <c r="P909" s="4" t="b">
        <v>0</v>
      </c>
      <c r="Q909" s="4" t="b">
        <v>0</v>
      </c>
    </row>
    <row r="910" spans="5:17" x14ac:dyDescent="0.2">
      <c r="E910" s="93"/>
      <c r="F910" s="79"/>
      <c r="P910" s="4" t="b">
        <v>0</v>
      </c>
      <c r="Q910" s="4" t="b">
        <v>0</v>
      </c>
    </row>
    <row r="911" spans="5:17" x14ac:dyDescent="0.2">
      <c r="E911" s="93"/>
      <c r="F911" s="79"/>
      <c r="P911" s="4" t="b">
        <v>0</v>
      </c>
      <c r="Q911" s="4" t="b">
        <v>0</v>
      </c>
    </row>
    <row r="912" spans="5:17" x14ac:dyDescent="0.2">
      <c r="E912" s="93"/>
      <c r="F912" s="79"/>
      <c r="P912" s="4" t="b">
        <v>0</v>
      </c>
      <c r="Q912" s="4" t="b">
        <v>0</v>
      </c>
    </row>
    <row r="913" spans="5:17" x14ac:dyDescent="0.2">
      <c r="E913" s="93"/>
      <c r="F913" s="79"/>
      <c r="P913" s="4" t="b">
        <v>0</v>
      </c>
      <c r="Q913" s="4" t="b">
        <v>0</v>
      </c>
    </row>
    <row r="914" spans="5:17" x14ac:dyDescent="0.2">
      <c r="E914" s="93"/>
      <c r="F914" s="79"/>
      <c r="P914" s="4" t="b">
        <v>0</v>
      </c>
      <c r="Q914" s="4" t="b">
        <v>0</v>
      </c>
    </row>
    <row r="915" spans="5:17" x14ac:dyDescent="0.2">
      <c r="E915" s="93"/>
      <c r="F915" s="79"/>
      <c r="P915" s="4" t="b">
        <v>0</v>
      </c>
      <c r="Q915" s="4" t="b">
        <v>0</v>
      </c>
    </row>
    <row r="916" spans="5:17" x14ac:dyDescent="0.2">
      <c r="E916" s="93"/>
      <c r="F916" s="79"/>
      <c r="P916" s="4" t="b">
        <v>0</v>
      </c>
      <c r="Q916" s="4" t="b">
        <v>0</v>
      </c>
    </row>
    <row r="917" spans="5:17" x14ac:dyDescent="0.2">
      <c r="E917" s="93"/>
      <c r="F917" s="79"/>
      <c r="P917" s="4" t="b">
        <v>0</v>
      </c>
      <c r="Q917" s="4" t="b">
        <v>0</v>
      </c>
    </row>
    <row r="918" spans="5:17" x14ac:dyDescent="0.2">
      <c r="E918" s="93"/>
      <c r="F918" s="79"/>
      <c r="P918" s="4" t="b">
        <v>0</v>
      </c>
      <c r="Q918" s="4" t="b">
        <v>0</v>
      </c>
    </row>
    <row r="919" spans="5:17" x14ac:dyDescent="0.2">
      <c r="E919" s="93"/>
      <c r="F919" s="79"/>
      <c r="P919" s="4" t="b">
        <v>0</v>
      </c>
      <c r="Q919" s="4" t="b">
        <v>0</v>
      </c>
    </row>
    <row r="920" spans="5:17" x14ac:dyDescent="0.2">
      <c r="E920" s="93"/>
      <c r="F920" s="79"/>
      <c r="P920" s="4" t="b">
        <v>0</v>
      </c>
      <c r="Q920" s="4" t="b">
        <v>0</v>
      </c>
    </row>
    <row r="921" spans="5:17" x14ac:dyDescent="0.2">
      <c r="E921" s="93"/>
      <c r="F921" s="79"/>
      <c r="P921" s="4" t="b">
        <v>0</v>
      </c>
      <c r="Q921" s="4" t="b">
        <v>0</v>
      </c>
    </row>
    <row r="922" spans="5:17" x14ac:dyDescent="0.2">
      <c r="E922" s="93"/>
      <c r="F922" s="79"/>
      <c r="P922" s="4" t="b">
        <v>0</v>
      </c>
      <c r="Q922" s="4" t="b">
        <v>0</v>
      </c>
    </row>
    <row r="923" spans="5:17" x14ac:dyDescent="0.2">
      <c r="E923" s="93"/>
      <c r="F923" s="79"/>
      <c r="P923" s="4" t="b">
        <v>0</v>
      </c>
      <c r="Q923" s="4" t="b">
        <v>0</v>
      </c>
    </row>
    <row r="924" spans="5:17" x14ac:dyDescent="0.2">
      <c r="E924" s="93"/>
      <c r="F924" s="79"/>
      <c r="P924" s="4" t="b">
        <v>0</v>
      </c>
      <c r="Q924" s="4" t="b">
        <v>0</v>
      </c>
    </row>
    <row r="925" spans="5:17" x14ac:dyDescent="0.2">
      <c r="E925" s="93"/>
      <c r="F925" s="79"/>
      <c r="P925" s="4" t="b">
        <v>0</v>
      </c>
      <c r="Q925" s="4" t="b">
        <v>0</v>
      </c>
    </row>
    <row r="926" spans="5:17" x14ac:dyDescent="0.2">
      <c r="E926" s="93"/>
      <c r="F926" s="79"/>
      <c r="P926" s="4" t="b">
        <v>0</v>
      </c>
      <c r="Q926" s="4" t="b">
        <v>0</v>
      </c>
    </row>
    <row r="927" spans="5:17" x14ac:dyDescent="0.2">
      <c r="E927" s="93"/>
      <c r="F927" s="79"/>
      <c r="P927" s="4" t="b">
        <v>0</v>
      </c>
      <c r="Q927" s="4" t="b">
        <v>0</v>
      </c>
    </row>
    <row r="928" spans="5:17" x14ac:dyDescent="0.2">
      <c r="E928" s="93"/>
      <c r="F928" s="79"/>
      <c r="P928" s="4" t="b">
        <v>0</v>
      </c>
      <c r="Q928" s="4" t="b">
        <v>0</v>
      </c>
    </row>
    <row r="929" spans="5:17" x14ac:dyDescent="0.2">
      <c r="E929" s="93"/>
      <c r="F929" s="79"/>
      <c r="P929" s="4" t="b">
        <v>0</v>
      </c>
      <c r="Q929" s="4" t="b">
        <v>0</v>
      </c>
    </row>
    <row r="930" spans="5:17" x14ac:dyDescent="0.2">
      <c r="E930" s="93"/>
      <c r="F930" s="79"/>
      <c r="P930" s="4" t="b">
        <v>0</v>
      </c>
      <c r="Q930" s="4" t="b">
        <v>0</v>
      </c>
    </row>
    <row r="931" spans="5:17" x14ac:dyDescent="0.2">
      <c r="E931" s="93"/>
      <c r="F931" s="79"/>
      <c r="P931" s="4" t="b">
        <v>0</v>
      </c>
      <c r="Q931" s="4" t="b">
        <v>0</v>
      </c>
    </row>
    <row r="932" spans="5:17" x14ac:dyDescent="0.2">
      <c r="E932" s="93"/>
      <c r="F932" s="79"/>
      <c r="P932" s="4" t="b">
        <v>0</v>
      </c>
      <c r="Q932" s="4" t="b">
        <v>0</v>
      </c>
    </row>
    <row r="933" spans="5:17" x14ac:dyDescent="0.2">
      <c r="E933" s="93"/>
      <c r="F933" s="79"/>
      <c r="P933" s="4" t="b">
        <v>0</v>
      </c>
      <c r="Q933" s="4" t="b">
        <v>0</v>
      </c>
    </row>
    <row r="934" spans="5:17" x14ac:dyDescent="0.2">
      <c r="E934" s="93"/>
      <c r="F934" s="79"/>
      <c r="P934" s="4" t="b">
        <v>0</v>
      </c>
      <c r="Q934" s="4" t="b">
        <v>0</v>
      </c>
    </row>
    <row r="935" spans="5:17" x14ac:dyDescent="0.2">
      <c r="E935" s="93"/>
      <c r="F935" s="79"/>
      <c r="P935" s="4" t="b">
        <v>0</v>
      </c>
      <c r="Q935" s="4" t="b">
        <v>0</v>
      </c>
    </row>
    <row r="936" spans="5:17" x14ac:dyDescent="0.2">
      <c r="E936" s="93"/>
      <c r="F936" s="79"/>
      <c r="P936" s="4" t="b">
        <v>0</v>
      </c>
      <c r="Q936" s="4" t="b">
        <v>0</v>
      </c>
    </row>
    <row r="937" spans="5:17" x14ac:dyDescent="0.2">
      <c r="E937" s="93"/>
      <c r="F937" s="79"/>
      <c r="P937" s="4" t="b">
        <v>0</v>
      </c>
      <c r="Q937" s="4" t="b">
        <v>0</v>
      </c>
    </row>
    <row r="938" spans="5:17" x14ac:dyDescent="0.2">
      <c r="E938" s="93"/>
      <c r="F938" s="79"/>
      <c r="P938" s="4" t="b">
        <v>0</v>
      </c>
      <c r="Q938" s="4" t="b">
        <v>0</v>
      </c>
    </row>
    <row r="939" spans="5:17" x14ac:dyDescent="0.2">
      <c r="E939" s="93"/>
      <c r="F939" s="79"/>
      <c r="P939" s="4" t="b">
        <v>0</v>
      </c>
      <c r="Q939" s="4" t="b">
        <v>0</v>
      </c>
    </row>
    <row r="940" spans="5:17" x14ac:dyDescent="0.2">
      <c r="E940" s="93"/>
      <c r="F940" s="79"/>
      <c r="P940" s="4" t="b">
        <v>0</v>
      </c>
      <c r="Q940" s="4" t="b">
        <v>0</v>
      </c>
    </row>
    <row r="941" spans="5:17" x14ac:dyDescent="0.2">
      <c r="E941" s="93"/>
      <c r="F941" s="79"/>
      <c r="P941" s="4" t="b">
        <v>0</v>
      </c>
      <c r="Q941" s="4" t="b">
        <v>0</v>
      </c>
    </row>
    <row r="942" spans="5:17" x14ac:dyDescent="0.2">
      <c r="E942" s="93"/>
      <c r="F942" s="79"/>
      <c r="P942" s="4" t="b">
        <v>0</v>
      </c>
      <c r="Q942" s="4" t="b">
        <v>0</v>
      </c>
    </row>
    <row r="943" spans="5:17" x14ac:dyDescent="0.2">
      <c r="E943" s="93"/>
      <c r="F943" s="79"/>
      <c r="P943" s="4" t="b">
        <v>0</v>
      </c>
      <c r="Q943" s="4" t="b">
        <v>0</v>
      </c>
    </row>
    <row r="944" spans="5:17" x14ac:dyDescent="0.2">
      <c r="E944" s="93"/>
      <c r="F944" s="79"/>
      <c r="P944" s="4" t="b">
        <v>0</v>
      </c>
      <c r="Q944" s="4" t="b">
        <v>0</v>
      </c>
    </row>
    <row r="945" spans="5:17" x14ac:dyDescent="0.2">
      <c r="E945" s="93"/>
      <c r="F945" s="79"/>
      <c r="P945" s="4" t="b">
        <v>0</v>
      </c>
      <c r="Q945" s="4" t="b">
        <v>0</v>
      </c>
    </row>
    <row r="946" spans="5:17" x14ac:dyDescent="0.2">
      <c r="E946" s="93"/>
      <c r="F946" s="79"/>
      <c r="P946" s="4" t="b">
        <v>0</v>
      </c>
      <c r="Q946" s="4" t="b">
        <v>0</v>
      </c>
    </row>
    <row r="947" spans="5:17" x14ac:dyDescent="0.2">
      <c r="E947" s="93"/>
      <c r="F947" s="79"/>
      <c r="P947" s="4" t="b">
        <v>0</v>
      </c>
      <c r="Q947" s="4" t="b">
        <v>0</v>
      </c>
    </row>
    <row r="948" spans="5:17" x14ac:dyDescent="0.2">
      <c r="E948" s="93"/>
      <c r="F948" s="79"/>
      <c r="P948" s="4" t="b">
        <v>0</v>
      </c>
      <c r="Q948" s="4" t="b">
        <v>0</v>
      </c>
    </row>
    <row r="949" spans="5:17" x14ac:dyDescent="0.2">
      <c r="E949" s="93"/>
      <c r="F949" s="79"/>
      <c r="P949" s="4" t="b">
        <v>0</v>
      </c>
      <c r="Q949" s="4" t="b">
        <v>0</v>
      </c>
    </row>
    <row r="950" spans="5:17" x14ac:dyDescent="0.2">
      <c r="E950" s="93"/>
      <c r="F950" s="79"/>
      <c r="P950" s="4" t="b">
        <v>0</v>
      </c>
      <c r="Q950" s="4" t="b">
        <v>0</v>
      </c>
    </row>
    <row r="951" spans="5:17" x14ac:dyDescent="0.2">
      <c r="E951" s="93"/>
      <c r="F951" s="79"/>
      <c r="P951" s="4" t="b">
        <v>0</v>
      </c>
      <c r="Q951" s="4" t="b">
        <v>0</v>
      </c>
    </row>
    <row r="952" spans="5:17" x14ac:dyDescent="0.2">
      <c r="E952" s="93"/>
      <c r="F952" s="79"/>
      <c r="P952" s="4" t="b">
        <v>0</v>
      </c>
      <c r="Q952" s="4" t="b">
        <v>0</v>
      </c>
    </row>
    <row r="953" spans="5:17" x14ac:dyDescent="0.2">
      <c r="E953" s="93"/>
      <c r="F953" s="79"/>
      <c r="P953" s="4" t="b">
        <v>0</v>
      </c>
      <c r="Q953" s="4" t="b">
        <v>0</v>
      </c>
    </row>
    <row r="954" spans="5:17" x14ac:dyDescent="0.2">
      <c r="E954" s="93"/>
      <c r="F954" s="79"/>
      <c r="P954" s="4" t="b">
        <v>0</v>
      </c>
      <c r="Q954" s="4" t="b">
        <v>0</v>
      </c>
    </row>
    <row r="955" spans="5:17" x14ac:dyDescent="0.2">
      <c r="E955" s="93"/>
      <c r="F955" s="79"/>
      <c r="P955" s="4" t="b">
        <v>0</v>
      </c>
      <c r="Q955" s="4" t="b">
        <v>0</v>
      </c>
    </row>
    <row r="956" spans="5:17" x14ac:dyDescent="0.2">
      <c r="E956" s="93"/>
      <c r="F956" s="79"/>
      <c r="P956" s="4" t="b">
        <v>0</v>
      </c>
      <c r="Q956" s="4" t="b">
        <v>0</v>
      </c>
    </row>
    <row r="957" spans="5:17" x14ac:dyDescent="0.2">
      <c r="E957" s="93"/>
      <c r="F957" s="79"/>
      <c r="P957" s="4" t="b">
        <v>0</v>
      </c>
      <c r="Q957" s="4" t="b">
        <v>0</v>
      </c>
    </row>
    <row r="958" spans="5:17" x14ac:dyDescent="0.2">
      <c r="E958" s="93"/>
      <c r="F958" s="79"/>
      <c r="P958" s="4" t="b">
        <v>0</v>
      </c>
      <c r="Q958" s="4" t="b">
        <v>0</v>
      </c>
    </row>
    <row r="959" spans="5:17" x14ac:dyDescent="0.2">
      <c r="E959" s="93"/>
      <c r="F959" s="79"/>
      <c r="P959" s="4" t="b">
        <v>0</v>
      </c>
      <c r="Q959" s="4" t="b">
        <v>0</v>
      </c>
    </row>
    <row r="960" spans="5:17" x14ac:dyDescent="0.2">
      <c r="E960" s="93"/>
      <c r="F960" s="79"/>
      <c r="P960" s="4" t="b">
        <v>0</v>
      </c>
      <c r="Q960" s="4" t="b">
        <v>0</v>
      </c>
    </row>
    <row r="961" spans="5:17" x14ac:dyDescent="0.2">
      <c r="E961" s="93"/>
      <c r="F961" s="79"/>
      <c r="P961" s="4" t="b">
        <v>0</v>
      </c>
      <c r="Q961" s="4" t="b">
        <v>0</v>
      </c>
    </row>
    <row r="962" spans="5:17" x14ac:dyDescent="0.2">
      <c r="E962" s="93"/>
      <c r="F962" s="79"/>
      <c r="P962" s="4" t="b">
        <v>0</v>
      </c>
      <c r="Q962" s="4" t="b">
        <v>0</v>
      </c>
    </row>
    <row r="963" spans="5:17" x14ac:dyDescent="0.2">
      <c r="E963" s="93"/>
      <c r="F963" s="79"/>
      <c r="P963" s="4" t="b">
        <v>0</v>
      </c>
      <c r="Q963" s="4" t="b">
        <v>0</v>
      </c>
    </row>
    <row r="964" spans="5:17" x14ac:dyDescent="0.2">
      <c r="E964" s="93"/>
      <c r="F964" s="79"/>
      <c r="P964" s="4" t="b">
        <v>0</v>
      </c>
      <c r="Q964" s="4" t="b">
        <v>0</v>
      </c>
    </row>
    <row r="965" spans="5:17" x14ac:dyDescent="0.2">
      <c r="E965" s="93"/>
      <c r="F965" s="79"/>
      <c r="P965" s="4" t="b">
        <v>0</v>
      </c>
      <c r="Q965" s="4" t="b">
        <v>0</v>
      </c>
    </row>
    <row r="966" spans="5:17" x14ac:dyDescent="0.2">
      <c r="E966" s="93"/>
      <c r="F966" s="79"/>
      <c r="P966" s="4" t="b">
        <v>0</v>
      </c>
      <c r="Q966" s="4" t="b">
        <v>0</v>
      </c>
    </row>
    <row r="967" spans="5:17" x14ac:dyDescent="0.2">
      <c r="E967" s="93"/>
      <c r="F967" s="79"/>
      <c r="P967" s="4" t="b">
        <v>0</v>
      </c>
      <c r="Q967" s="4" t="b">
        <v>0</v>
      </c>
    </row>
    <row r="968" spans="5:17" x14ac:dyDescent="0.2">
      <c r="E968" s="93"/>
      <c r="F968" s="79"/>
      <c r="P968" s="4" t="b">
        <v>0</v>
      </c>
      <c r="Q968" s="4" t="b">
        <v>0</v>
      </c>
    </row>
    <row r="969" spans="5:17" x14ac:dyDescent="0.2">
      <c r="E969" s="93"/>
      <c r="F969" s="79"/>
      <c r="P969" s="4" t="b">
        <v>0</v>
      </c>
      <c r="Q969" s="4" t="b">
        <v>0</v>
      </c>
    </row>
    <row r="970" spans="5:17" x14ac:dyDescent="0.2">
      <c r="E970" s="93"/>
      <c r="F970" s="79"/>
      <c r="P970" s="4" t="b">
        <v>0</v>
      </c>
      <c r="Q970" s="4" t="b">
        <v>0</v>
      </c>
    </row>
    <row r="971" spans="5:17" x14ac:dyDescent="0.2">
      <c r="E971" s="93"/>
      <c r="F971" s="79"/>
      <c r="P971" s="4" t="b">
        <v>0</v>
      </c>
      <c r="Q971" s="4" t="b">
        <v>0</v>
      </c>
    </row>
    <row r="972" spans="5:17" x14ac:dyDescent="0.2">
      <c r="E972" s="93"/>
      <c r="F972" s="79"/>
      <c r="P972" s="4" t="b">
        <v>0</v>
      </c>
      <c r="Q972" s="4" t="b">
        <v>0</v>
      </c>
    </row>
    <row r="973" spans="5:17" x14ac:dyDescent="0.2">
      <c r="E973" s="93"/>
      <c r="F973" s="79"/>
      <c r="P973" s="4" t="b">
        <v>0</v>
      </c>
      <c r="Q973" s="4" t="b">
        <v>0</v>
      </c>
    </row>
    <row r="974" spans="5:17" x14ac:dyDescent="0.2">
      <c r="E974" s="93"/>
      <c r="F974" s="79"/>
      <c r="P974" s="4" t="b">
        <v>0</v>
      </c>
      <c r="Q974" s="4" t="b">
        <v>0</v>
      </c>
    </row>
    <row r="975" spans="5:17" x14ac:dyDescent="0.2">
      <c r="E975" s="93"/>
      <c r="F975" s="79"/>
      <c r="P975" s="4" t="b">
        <v>0</v>
      </c>
      <c r="Q975" s="4" t="b">
        <v>0</v>
      </c>
    </row>
    <row r="976" spans="5:17" x14ac:dyDescent="0.2">
      <c r="E976" s="93"/>
      <c r="F976" s="79"/>
      <c r="P976" s="4" t="b">
        <v>0</v>
      </c>
      <c r="Q976" s="4" t="b">
        <v>0</v>
      </c>
    </row>
    <row r="977" spans="5:17" x14ac:dyDescent="0.2">
      <c r="E977" s="93"/>
      <c r="F977" s="79"/>
      <c r="P977" s="4" t="b">
        <v>0</v>
      </c>
      <c r="Q977" s="4" t="b">
        <v>0</v>
      </c>
    </row>
    <row r="978" spans="5:17" x14ac:dyDescent="0.2">
      <c r="E978" s="93"/>
      <c r="F978" s="79"/>
      <c r="P978" s="4" t="b">
        <v>0</v>
      </c>
      <c r="Q978" s="4" t="b">
        <v>0</v>
      </c>
    </row>
    <row r="979" spans="5:17" x14ac:dyDescent="0.2">
      <c r="E979" s="93"/>
      <c r="F979" s="79"/>
      <c r="P979" s="4" t="b">
        <v>0</v>
      </c>
      <c r="Q979" s="4" t="b">
        <v>0</v>
      </c>
    </row>
    <row r="980" spans="5:17" x14ac:dyDescent="0.2">
      <c r="E980" s="93"/>
      <c r="F980" s="79"/>
      <c r="P980" s="4" t="b">
        <v>0</v>
      </c>
      <c r="Q980" s="4" t="b">
        <v>0</v>
      </c>
    </row>
    <row r="981" spans="5:17" x14ac:dyDescent="0.2">
      <c r="E981" s="93"/>
      <c r="F981" s="79"/>
      <c r="P981" s="4" t="b">
        <v>0</v>
      </c>
      <c r="Q981" s="4" t="b">
        <v>0</v>
      </c>
    </row>
    <row r="982" spans="5:17" x14ac:dyDescent="0.2">
      <c r="E982" s="93"/>
      <c r="F982" s="79"/>
      <c r="P982" s="4" t="b">
        <v>0</v>
      </c>
      <c r="Q982" s="4" t="b">
        <v>0</v>
      </c>
    </row>
    <row r="983" spans="5:17" x14ac:dyDescent="0.2">
      <c r="E983" s="93"/>
      <c r="F983" s="79"/>
      <c r="P983" s="4" t="b">
        <v>0</v>
      </c>
      <c r="Q983" s="4" t="b">
        <v>0</v>
      </c>
    </row>
    <row r="984" spans="5:17" x14ac:dyDescent="0.2">
      <c r="E984" s="93"/>
      <c r="F984" s="79"/>
      <c r="P984" s="4" t="b">
        <v>0</v>
      </c>
      <c r="Q984" s="4" t="b">
        <v>0</v>
      </c>
    </row>
    <row r="985" spans="5:17" x14ac:dyDescent="0.2">
      <c r="E985" s="93"/>
      <c r="F985" s="79"/>
      <c r="P985" s="4" t="b">
        <v>0</v>
      </c>
      <c r="Q985" s="4" t="b">
        <v>0</v>
      </c>
    </row>
    <row r="986" spans="5:17" x14ac:dyDescent="0.2">
      <c r="E986" s="93"/>
      <c r="F986" s="79"/>
      <c r="P986" s="4" t="b">
        <v>0</v>
      </c>
      <c r="Q986" s="4" t="b">
        <v>0</v>
      </c>
    </row>
    <row r="987" spans="5:17" x14ac:dyDescent="0.2">
      <c r="E987" s="93"/>
      <c r="F987" s="79"/>
      <c r="P987" s="4" t="b">
        <v>0</v>
      </c>
      <c r="Q987" s="4" t="b">
        <v>0</v>
      </c>
    </row>
    <row r="988" spans="5:17" x14ac:dyDescent="0.2">
      <c r="E988" s="93"/>
      <c r="F988" s="79"/>
      <c r="P988" s="4" t="b">
        <v>0</v>
      </c>
      <c r="Q988" s="4" t="b">
        <v>0</v>
      </c>
    </row>
    <row r="989" spans="5:17" x14ac:dyDescent="0.2">
      <c r="E989" s="93"/>
      <c r="F989" s="79"/>
      <c r="P989" s="4" t="b">
        <v>0</v>
      </c>
      <c r="Q989" s="4" t="b">
        <v>0</v>
      </c>
    </row>
    <row r="990" spans="5:17" x14ac:dyDescent="0.2">
      <c r="E990" s="93"/>
      <c r="F990" s="79"/>
      <c r="P990" s="4" t="b">
        <v>0</v>
      </c>
      <c r="Q990" s="4" t="b">
        <v>0</v>
      </c>
    </row>
    <row r="991" spans="5:17" x14ac:dyDescent="0.2">
      <c r="E991" s="93"/>
      <c r="F991" s="79"/>
      <c r="P991" s="4" t="b">
        <v>0</v>
      </c>
      <c r="Q991" s="4" t="b">
        <v>0</v>
      </c>
    </row>
    <row r="992" spans="5:17" x14ac:dyDescent="0.2">
      <c r="E992" s="93"/>
      <c r="F992" s="79"/>
      <c r="P992" s="4" t="b">
        <v>0</v>
      </c>
      <c r="Q992" s="4" t="b">
        <v>0</v>
      </c>
    </row>
    <row r="993" spans="5:17" x14ac:dyDescent="0.2">
      <c r="E993" s="93"/>
      <c r="F993" s="79"/>
      <c r="P993" s="4" t="b">
        <v>0</v>
      </c>
      <c r="Q993" s="4" t="b">
        <v>0</v>
      </c>
    </row>
    <row r="994" spans="5:17" x14ac:dyDescent="0.2">
      <c r="E994" s="93"/>
      <c r="F994" s="79"/>
      <c r="P994" s="4" t="b">
        <v>0</v>
      </c>
      <c r="Q994" s="4" t="b">
        <v>0</v>
      </c>
    </row>
    <row r="995" spans="5:17" x14ac:dyDescent="0.2">
      <c r="E995" s="93"/>
      <c r="F995" s="79"/>
      <c r="P995" s="4" t="b">
        <v>0</v>
      </c>
      <c r="Q995" s="4" t="b">
        <v>0</v>
      </c>
    </row>
    <row r="996" spans="5:17" x14ac:dyDescent="0.2">
      <c r="E996" s="93"/>
      <c r="F996" s="79"/>
      <c r="P996" s="4" t="b">
        <v>0</v>
      </c>
      <c r="Q996" s="4" t="b">
        <v>0</v>
      </c>
    </row>
    <row r="997" spans="5:17" x14ac:dyDescent="0.2">
      <c r="E997" s="93"/>
      <c r="F997" s="79"/>
      <c r="P997" s="4" t="b">
        <v>0</v>
      </c>
      <c r="Q997" s="4" t="b">
        <v>0</v>
      </c>
    </row>
    <row r="998" spans="5:17" x14ac:dyDescent="0.2">
      <c r="E998" s="93"/>
      <c r="F998" s="79"/>
      <c r="P998" s="4" t="b">
        <v>0</v>
      </c>
      <c r="Q998" s="4" t="b">
        <v>0</v>
      </c>
    </row>
  </sheetData>
  <phoneticPr fontId="3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7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.42578125" customWidth="1"/>
    <col min="2" max="2" width="12.42578125" customWidth="1"/>
    <col min="3" max="3" width="27.5703125" customWidth="1"/>
    <col min="4" max="4" width="8.42578125" customWidth="1"/>
    <col min="5" max="5" width="9" customWidth="1"/>
    <col min="6" max="6" width="9.5703125" customWidth="1"/>
    <col min="7" max="7" width="40.140625" customWidth="1"/>
    <col min="8" max="8" width="3.7109375" customWidth="1"/>
    <col min="9" max="10" width="4.5703125" customWidth="1"/>
    <col min="11" max="11" width="15.7109375" customWidth="1"/>
    <col min="12" max="12" width="3.140625" customWidth="1"/>
    <col min="13" max="13" width="3.85546875" customWidth="1"/>
    <col min="14" max="14" width="4.28515625" customWidth="1"/>
    <col min="15" max="15" width="9" customWidth="1"/>
    <col min="16" max="16" width="6.42578125" customWidth="1"/>
    <col min="17" max="17" width="6" customWidth="1"/>
    <col min="18" max="18" width="4.42578125" customWidth="1"/>
    <col min="19" max="19" width="3.5703125" customWidth="1"/>
  </cols>
  <sheetData>
    <row r="1" spans="1:19" x14ac:dyDescent="0.2">
      <c r="A1" s="94" t="s">
        <v>574</v>
      </c>
      <c r="B1" s="94" t="s">
        <v>575</v>
      </c>
      <c r="C1" s="94" t="s">
        <v>576</v>
      </c>
      <c r="D1" s="94" t="s">
        <v>577</v>
      </c>
      <c r="E1" s="94" t="s">
        <v>578</v>
      </c>
      <c r="F1" s="94" t="s">
        <v>579</v>
      </c>
      <c r="G1" s="94" t="s">
        <v>547</v>
      </c>
      <c r="H1" s="94" t="s">
        <v>580</v>
      </c>
      <c r="I1" s="94" t="s">
        <v>581</v>
      </c>
      <c r="J1" s="94" t="s">
        <v>582</v>
      </c>
      <c r="K1" s="94" t="s">
        <v>583</v>
      </c>
      <c r="L1" s="94" t="s">
        <v>584</v>
      </c>
      <c r="M1" s="94" t="s">
        <v>585</v>
      </c>
      <c r="N1" s="94" t="s">
        <v>586</v>
      </c>
      <c r="O1" s="94" t="s">
        <v>587</v>
      </c>
      <c r="P1" s="94" t="s">
        <v>588</v>
      </c>
      <c r="Q1" s="94" t="s">
        <v>589</v>
      </c>
      <c r="R1" s="94" t="s">
        <v>590</v>
      </c>
      <c r="S1" s="94" t="s">
        <v>591</v>
      </c>
    </row>
    <row r="2" spans="1:19" x14ac:dyDescent="0.2">
      <c r="A2" s="4" t="s">
        <v>592</v>
      </c>
      <c r="B2" s="4" t="s">
        <v>54</v>
      </c>
      <c r="C2" s="4" t="s">
        <v>137</v>
      </c>
      <c r="D2" s="4" t="s">
        <v>254</v>
      </c>
      <c r="E2" s="4" t="s">
        <v>54</v>
      </c>
      <c r="J2" s="4" t="s">
        <v>593</v>
      </c>
      <c r="M2" s="4" t="s">
        <v>594</v>
      </c>
      <c r="N2" s="4" t="s">
        <v>594</v>
      </c>
      <c r="S2" s="4">
        <v>1</v>
      </c>
    </row>
    <row r="3" spans="1:19" x14ac:dyDescent="0.2">
      <c r="A3" s="4" t="s">
        <v>592</v>
      </c>
      <c r="B3" s="4" t="s">
        <v>57</v>
      </c>
      <c r="C3" s="4" t="s">
        <v>117</v>
      </c>
      <c r="D3" s="4" t="s">
        <v>59</v>
      </c>
      <c r="E3" s="4" t="s">
        <v>595</v>
      </c>
      <c r="G3" s="4" t="s">
        <v>210</v>
      </c>
      <c r="J3" s="4" t="s">
        <v>596</v>
      </c>
      <c r="M3" s="4" t="s">
        <v>594</v>
      </c>
      <c r="N3" s="4" t="s">
        <v>592</v>
      </c>
      <c r="S3" s="4">
        <v>2</v>
      </c>
    </row>
    <row r="4" spans="1:19" x14ac:dyDescent="0.2">
      <c r="A4" s="4" t="s">
        <v>592</v>
      </c>
      <c r="B4" s="4" t="s">
        <v>18</v>
      </c>
      <c r="C4" s="4" t="s">
        <v>101</v>
      </c>
      <c r="D4" s="4" t="s">
        <v>59</v>
      </c>
      <c r="E4" s="4" t="s">
        <v>595</v>
      </c>
      <c r="G4" s="4" t="s">
        <v>184</v>
      </c>
      <c r="J4" s="4" t="s">
        <v>596</v>
      </c>
      <c r="M4" s="4" t="s">
        <v>594</v>
      </c>
      <c r="N4" s="4" t="s">
        <v>592</v>
      </c>
      <c r="S4" s="4">
        <v>3</v>
      </c>
    </row>
    <row r="5" spans="1:19" x14ac:dyDescent="0.2">
      <c r="A5" s="4" t="s">
        <v>592</v>
      </c>
      <c r="B5" s="4" t="s">
        <v>61</v>
      </c>
      <c r="C5" s="4" t="s">
        <v>145</v>
      </c>
      <c r="D5" s="4" t="s">
        <v>59</v>
      </c>
      <c r="E5" s="4" t="s">
        <v>595</v>
      </c>
      <c r="G5" s="4" t="s">
        <v>211</v>
      </c>
      <c r="J5" s="4" t="s">
        <v>596</v>
      </c>
      <c r="M5" s="4" t="s">
        <v>594</v>
      </c>
      <c r="N5" s="4" t="s">
        <v>592</v>
      </c>
      <c r="S5" s="4">
        <v>4</v>
      </c>
    </row>
    <row r="6" spans="1:19" x14ac:dyDescent="0.2">
      <c r="A6" s="4" t="s">
        <v>592</v>
      </c>
      <c r="B6" s="4" t="s">
        <v>20</v>
      </c>
      <c r="C6" s="4" t="s">
        <v>103</v>
      </c>
      <c r="D6" s="4" t="s">
        <v>238</v>
      </c>
      <c r="E6" s="4" t="s">
        <v>597</v>
      </c>
      <c r="F6" s="4" t="s">
        <v>186</v>
      </c>
      <c r="J6" s="4" t="s">
        <v>593</v>
      </c>
      <c r="M6" s="4" t="s">
        <v>594</v>
      </c>
      <c r="N6" s="4" t="s">
        <v>594</v>
      </c>
      <c r="S6" s="4">
        <v>5</v>
      </c>
    </row>
    <row r="7" spans="1:19" x14ac:dyDescent="0.2">
      <c r="A7" s="4" t="s">
        <v>592</v>
      </c>
      <c r="B7" s="4" t="s">
        <v>21</v>
      </c>
      <c r="C7" s="4" t="s">
        <v>104</v>
      </c>
      <c r="D7" s="4" t="s">
        <v>59</v>
      </c>
      <c r="E7" s="4" t="s">
        <v>595</v>
      </c>
      <c r="G7" s="4" t="s">
        <v>190</v>
      </c>
      <c r="J7" s="4" t="s">
        <v>596</v>
      </c>
      <c r="M7" s="4" t="s">
        <v>594</v>
      </c>
      <c r="N7" s="4" t="s">
        <v>592</v>
      </c>
      <c r="S7" s="4">
        <v>7</v>
      </c>
    </row>
    <row r="8" spans="1:19" x14ac:dyDescent="0.2">
      <c r="A8" s="4" t="s">
        <v>592</v>
      </c>
      <c r="B8" s="4" t="s">
        <v>22</v>
      </c>
      <c r="C8" s="4" t="s">
        <v>105</v>
      </c>
      <c r="D8" s="4" t="s">
        <v>59</v>
      </c>
      <c r="E8" s="4" t="s">
        <v>597</v>
      </c>
      <c r="F8" s="4" t="s">
        <v>186</v>
      </c>
      <c r="J8" s="4" t="s">
        <v>598</v>
      </c>
      <c r="K8" s="4" t="s">
        <v>21</v>
      </c>
      <c r="L8" s="4">
        <v>1</v>
      </c>
      <c r="M8" s="4" t="s">
        <v>594</v>
      </c>
      <c r="N8" s="4" t="s">
        <v>594</v>
      </c>
      <c r="S8" s="4">
        <v>8</v>
      </c>
    </row>
    <row r="9" spans="1:19" x14ac:dyDescent="0.2">
      <c r="A9" s="4" t="s">
        <v>592</v>
      </c>
      <c r="B9" s="4" t="s">
        <v>67</v>
      </c>
      <c r="C9" s="4" t="s">
        <v>148</v>
      </c>
      <c r="D9" s="4" t="s">
        <v>59</v>
      </c>
      <c r="E9" s="4" t="s">
        <v>595</v>
      </c>
      <c r="G9" s="4" t="s">
        <v>212</v>
      </c>
      <c r="J9" s="4" t="s">
        <v>596</v>
      </c>
      <c r="M9" s="4" t="s">
        <v>594</v>
      </c>
      <c r="N9" s="4" t="s">
        <v>592</v>
      </c>
      <c r="S9" s="4">
        <v>9</v>
      </c>
    </row>
    <row r="10" spans="1:19" x14ac:dyDescent="0.2">
      <c r="A10" s="4" t="s">
        <v>592</v>
      </c>
      <c r="B10" s="4" t="s">
        <v>69</v>
      </c>
      <c r="C10" s="4" t="s">
        <v>149</v>
      </c>
      <c r="D10" s="4" t="s">
        <v>59</v>
      </c>
      <c r="E10" s="4" t="s">
        <v>202</v>
      </c>
      <c r="H10" s="4">
        <v>0</v>
      </c>
      <c r="I10" s="4">
        <v>200</v>
      </c>
      <c r="J10" s="4" t="s">
        <v>598</v>
      </c>
      <c r="K10" s="4" t="s">
        <v>67</v>
      </c>
      <c r="L10" s="4" t="s">
        <v>599</v>
      </c>
      <c r="M10" s="4" t="s">
        <v>592</v>
      </c>
      <c r="N10" s="4" t="s">
        <v>594</v>
      </c>
      <c r="S10" s="4">
        <v>10</v>
      </c>
    </row>
    <row r="11" spans="1:19" x14ac:dyDescent="0.2">
      <c r="A11" s="4" t="s">
        <v>592</v>
      </c>
      <c r="B11" s="4" t="s">
        <v>73</v>
      </c>
      <c r="C11" s="4" t="s">
        <v>153</v>
      </c>
      <c r="D11" s="4" t="s">
        <v>59</v>
      </c>
      <c r="E11" s="4" t="s">
        <v>192</v>
      </c>
      <c r="H11" s="4">
        <v>0</v>
      </c>
      <c r="I11" s="4">
        <v>200</v>
      </c>
      <c r="J11" s="4" t="s">
        <v>598</v>
      </c>
      <c r="K11" s="4" t="s">
        <v>67</v>
      </c>
      <c r="L11" s="4" t="s">
        <v>599</v>
      </c>
      <c r="M11" s="4" t="s">
        <v>592</v>
      </c>
      <c r="N11" s="4" t="s">
        <v>594</v>
      </c>
      <c r="S11" s="4">
        <v>11</v>
      </c>
    </row>
    <row r="12" spans="1:19" x14ac:dyDescent="0.2">
      <c r="A12" s="4" t="s">
        <v>592</v>
      </c>
      <c r="B12" s="4" t="s">
        <v>76</v>
      </c>
      <c r="C12" s="4" t="s">
        <v>155</v>
      </c>
      <c r="D12" s="4" t="s">
        <v>59</v>
      </c>
      <c r="E12" s="4" t="s">
        <v>202</v>
      </c>
      <c r="H12" s="4">
        <v>0</v>
      </c>
      <c r="I12" s="4">
        <v>200</v>
      </c>
      <c r="J12" s="4" t="s">
        <v>598</v>
      </c>
      <c r="K12" s="4" t="s">
        <v>67</v>
      </c>
      <c r="L12" s="4" t="s">
        <v>599</v>
      </c>
      <c r="M12" s="4" t="s">
        <v>592</v>
      </c>
      <c r="N12" s="4" t="s">
        <v>594</v>
      </c>
      <c r="S12" s="4">
        <v>12</v>
      </c>
    </row>
    <row r="13" spans="1:19" x14ac:dyDescent="0.2">
      <c r="A13" s="4" t="s">
        <v>592</v>
      </c>
      <c r="B13" s="4" t="s">
        <v>78</v>
      </c>
      <c r="C13" s="4" t="s">
        <v>158</v>
      </c>
      <c r="D13" s="4" t="s">
        <v>203</v>
      </c>
      <c r="E13" s="4" t="s">
        <v>595</v>
      </c>
      <c r="G13" s="4" t="s">
        <v>190</v>
      </c>
      <c r="J13" s="4" t="s">
        <v>596</v>
      </c>
      <c r="M13" s="4" t="s">
        <v>594</v>
      </c>
      <c r="N13" s="4" t="s">
        <v>592</v>
      </c>
      <c r="S13" s="4">
        <v>14</v>
      </c>
    </row>
    <row r="14" spans="1:19" x14ac:dyDescent="0.2">
      <c r="A14" s="4" t="s">
        <v>592</v>
      </c>
      <c r="B14" s="4" t="s">
        <v>23</v>
      </c>
      <c r="C14" s="4" t="s">
        <v>106</v>
      </c>
      <c r="D14" s="4" t="s">
        <v>247</v>
      </c>
      <c r="E14" s="4" t="s">
        <v>595</v>
      </c>
      <c r="G14" s="4" t="s">
        <v>190</v>
      </c>
      <c r="J14" s="4" t="s">
        <v>596</v>
      </c>
      <c r="M14" s="4" t="s">
        <v>594</v>
      </c>
      <c r="N14" s="4" t="s">
        <v>592</v>
      </c>
      <c r="S14" s="4">
        <v>30</v>
      </c>
    </row>
    <row r="15" spans="1:19" x14ac:dyDescent="0.2">
      <c r="A15" s="4" t="s">
        <v>592</v>
      </c>
      <c r="B15" s="4" t="s">
        <v>24</v>
      </c>
      <c r="C15" s="4" t="s">
        <v>107</v>
      </c>
      <c r="D15" s="4" t="s">
        <v>238</v>
      </c>
      <c r="E15" s="4" t="s">
        <v>597</v>
      </c>
      <c r="F15" s="4" t="s">
        <v>186</v>
      </c>
      <c r="J15" s="4" t="s">
        <v>598</v>
      </c>
      <c r="K15" s="4" t="s">
        <v>23</v>
      </c>
      <c r="L15" s="4">
        <v>1</v>
      </c>
      <c r="M15" s="4" t="s">
        <v>594</v>
      </c>
      <c r="N15" s="4" t="s">
        <v>594</v>
      </c>
      <c r="S15" s="4">
        <v>31</v>
      </c>
    </row>
    <row r="16" spans="1:19" x14ac:dyDescent="0.2">
      <c r="A16" s="4" t="s">
        <v>592</v>
      </c>
      <c r="B16" s="4" t="s">
        <v>26</v>
      </c>
      <c r="C16" s="4" t="s">
        <v>108</v>
      </c>
      <c r="D16" s="4" t="s">
        <v>247</v>
      </c>
      <c r="E16" s="4" t="s">
        <v>595</v>
      </c>
      <c r="G16" s="4" t="s">
        <v>189</v>
      </c>
      <c r="J16" s="4" t="s">
        <v>596</v>
      </c>
      <c r="M16" s="4" t="s">
        <v>594</v>
      </c>
      <c r="N16" s="4" t="s">
        <v>592</v>
      </c>
      <c r="S16" s="4">
        <v>32</v>
      </c>
    </row>
    <row r="17" spans="1:19" x14ac:dyDescent="0.2">
      <c r="A17" s="4" t="s">
        <v>592</v>
      </c>
      <c r="B17" s="4" t="s">
        <v>27</v>
      </c>
      <c r="C17" s="4" t="s">
        <v>109</v>
      </c>
      <c r="D17" s="4" t="s">
        <v>247</v>
      </c>
      <c r="E17" s="4" t="s">
        <v>595</v>
      </c>
      <c r="G17" s="4" t="s">
        <v>190</v>
      </c>
      <c r="J17" s="4" t="s">
        <v>596</v>
      </c>
      <c r="M17" s="4" t="s">
        <v>594</v>
      </c>
      <c r="N17" s="4" t="s">
        <v>592</v>
      </c>
      <c r="S17" s="4">
        <v>33</v>
      </c>
    </row>
    <row r="18" spans="1:19" x14ac:dyDescent="0.2">
      <c r="A18" s="4" t="s">
        <v>592</v>
      </c>
      <c r="B18" s="4" t="s">
        <v>28</v>
      </c>
      <c r="C18" s="4" t="s">
        <v>112</v>
      </c>
      <c r="D18" s="4" t="s">
        <v>247</v>
      </c>
      <c r="E18" s="4" t="s">
        <v>595</v>
      </c>
      <c r="G18" s="4" t="s">
        <v>190</v>
      </c>
      <c r="J18" s="4" t="s">
        <v>596</v>
      </c>
      <c r="M18" s="4" t="s">
        <v>594</v>
      </c>
      <c r="N18" s="4" t="s">
        <v>592</v>
      </c>
      <c r="S18" s="4">
        <v>34</v>
      </c>
    </row>
    <row r="19" spans="1:19" x14ac:dyDescent="0.2">
      <c r="A19" s="4" t="s">
        <v>592</v>
      </c>
      <c r="B19" s="4" t="s">
        <v>29</v>
      </c>
      <c r="C19" s="4" t="s">
        <v>113</v>
      </c>
      <c r="D19" s="4" t="s">
        <v>247</v>
      </c>
      <c r="E19" s="4" t="s">
        <v>595</v>
      </c>
      <c r="G19" s="4" t="s">
        <v>190</v>
      </c>
      <c r="J19" s="4" t="s">
        <v>596</v>
      </c>
      <c r="M19" s="4" t="s">
        <v>594</v>
      </c>
      <c r="N19" s="4" t="s">
        <v>592</v>
      </c>
      <c r="S19" s="4">
        <v>35</v>
      </c>
    </row>
    <row r="20" spans="1:19" x14ac:dyDescent="0.2">
      <c r="A20" s="4" t="s">
        <v>592</v>
      </c>
      <c r="B20" s="4" t="s">
        <v>30</v>
      </c>
      <c r="C20" s="4" t="s">
        <v>114</v>
      </c>
      <c r="D20" s="4" t="s">
        <v>247</v>
      </c>
      <c r="E20" s="4" t="s">
        <v>595</v>
      </c>
      <c r="G20" s="4" t="s">
        <v>190</v>
      </c>
      <c r="J20" s="4" t="s">
        <v>596</v>
      </c>
      <c r="M20" s="4" t="s">
        <v>594</v>
      </c>
      <c r="N20" s="4" t="s">
        <v>592</v>
      </c>
      <c r="S20" s="4">
        <v>36</v>
      </c>
    </row>
    <row r="21" spans="1:19" x14ac:dyDescent="0.2">
      <c r="A21" s="4" t="s">
        <v>592</v>
      </c>
      <c r="B21" s="4" t="s">
        <v>31</v>
      </c>
      <c r="C21" s="4" t="s">
        <v>115</v>
      </c>
      <c r="D21" s="4" t="s">
        <v>247</v>
      </c>
      <c r="E21" s="4" t="s">
        <v>595</v>
      </c>
      <c r="G21" s="4" t="s">
        <v>190</v>
      </c>
      <c r="J21" s="4" t="s">
        <v>596</v>
      </c>
      <c r="M21" s="4" t="s">
        <v>594</v>
      </c>
      <c r="N21" s="4" t="s">
        <v>592</v>
      </c>
      <c r="S21" s="4">
        <v>37</v>
      </c>
    </row>
    <row r="22" spans="1:19" x14ac:dyDescent="0.2">
      <c r="A22" s="4" t="s">
        <v>592</v>
      </c>
      <c r="B22" s="4" t="s">
        <v>32</v>
      </c>
      <c r="C22" s="4" t="s">
        <v>116</v>
      </c>
      <c r="D22" s="4" t="s">
        <v>247</v>
      </c>
      <c r="E22" s="4" t="s">
        <v>595</v>
      </c>
      <c r="G22" s="4" t="s">
        <v>190</v>
      </c>
      <c r="J22" s="4" t="s">
        <v>596</v>
      </c>
      <c r="M22" s="4" t="s">
        <v>594</v>
      </c>
      <c r="N22" s="4" t="s">
        <v>592</v>
      </c>
      <c r="S22" s="4">
        <v>38</v>
      </c>
    </row>
    <row r="23" spans="1:19" x14ac:dyDescent="0.2">
      <c r="A23" s="4" t="s">
        <v>592</v>
      </c>
      <c r="B23" s="4" t="s">
        <v>33</v>
      </c>
      <c r="C23" s="4" t="s">
        <v>118</v>
      </c>
      <c r="D23" s="4" t="s">
        <v>247</v>
      </c>
      <c r="E23" s="4" t="s">
        <v>192</v>
      </c>
      <c r="H23" s="4">
        <v>0</v>
      </c>
      <c r="I23" s="4">
        <v>6</v>
      </c>
      <c r="J23" s="4" t="s">
        <v>593</v>
      </c>
      <c r="M23" s="4" t="s">
        <v>592</v>
      </c>
      <c r="N23" s="4" t="s">
        <v>594</v>
      </c>
      <c r="S23" s="4">
        <v>39</v>
      </c>
    </row>
    <row r="24" spans="1:19" x14ac:dyDescent="0.2">
      <c r="A24" s="4" t="s">
        <v>592</v>
      </c>
      <c r="B24" s="4" t="s">
        <v>34</v>
      </c>
      <c r="C24" s="4" t="s">
        <v>120</v>
      </c>
      <c r="D24" s="4" t="s">
        <v>247</v>
      </c>
      <c r="E24" s="4" t="s">
        <v>595</v>
      </c>
      <c r="G24" s="4" t="s">
        <v>194</v>
      </c>
      <c r="J24" s="4" t="s">
        <v>596</v>
      </c>
      <c r="M24" s="4" t="s">
        <v>594</v>
      </c>
      <c r="N24" s="4" t="s">
        <v>592</v>
      </c>
      <c r="S24" s="4">
        <v>40</v>
      </c>
    </row>
    <row r="25" spans="1:19" x14ac:dyDescent="0.2">
      <c r="A25" s="4" t="s">
        <v>592</v>
      </c>
      <c r="B25" s="4" t="s">
        <v>93</v>
      </c>
      <c r="C25" s="4" t="s">
        <v>176</v>
      </c>
      <c r="D25" s="4" t="s">
        <v>247</v>
      </c>
      <c r="E25" s="4" t="s">
        <v>192</v>
      </c>
      <c r="H25" s="4">
        <v>0</v>
      </c>
      <c r="I25" s="4">
        <v>100</v>
      </c>
      <c r="J25" s="4" t="s">
        <v>598</v>
      </c>
      <c r="K25" s="4" t="s">
        <v>34</v>
      </c>
      <c r="L25" s="4">
        <v>1</v>
      </c>
      <c r="M25" s="4" t="s">
        <v>594</v>
      </c>
      <c r="N25" s="4" t="s">
        <v>594</v>
      </c>
      <c r="S25" s="4">
        <v>41</v>
      </c>
    </row>
    <row r="26" spans="1:19" x14ac:dyDescent="0.2">
      <c r="A26" s="4" t="s">
        <v>592</v>
      </c>
      <c r="B26" s="4" t="s">
        <v>36</v>
      </c>
      <c r="C26" s="4" t="s">
        <v>122</v>
      </c>
      <c r="D26" s="4" t="s">
        <v>247</v>
      </c>
      <c r="E26" s="4" t="s">
        <v>595</v>
      </c>
      <c r="G26" s="4" t="s">
        <v>194</v>
      </c>
      <c r="J26" s="4" t="s">
        <v>596</v>
      </c>
      <c r="K26" s="4" t="s">
        <v>34</v>
      </c>
      <c r="L26" s="4">
        <v>1</v>
      </c>
      <c r="M26" s="4" t="s">
        <v>594</v>
      </c>
      <c r="N26" s="4" t="s">
        <v>592</v>
      </c>
      <c r="S26" s="4">
        <v>46</v>
      </c>
    </row>
    <row r="27" spans="1:19" x14ac:dyDescent="0.2">
      <c r="A27" s="4" t="s">
        <v>592</v>
      </c>
      <c r="B27" s="4" t="s">
        <v>600</v>
      </c>
      <c r="C27" s="4" t="s">
        <v>601</v>
      </c>
      <c r="D27" s="4" t="s">
        <v>247</v>
      </c>
      <c r="E27" s="4" t="s">
        <v>595</v>
      </c>
      <c r="G27" s="4" t="s">
        <v>602</v>
      </c>
      <c r="J27" s="4" t="s">
        <v>596</v>
      </c>
      <c r="K27" s="4" t="s">
        <v>603</v>
      </c>
      <c r="L27" s="4" t="s">
        <v>604</v>
      </c>
      <c r="M27" s="4" t="s">
        <v>594</v>
      </c>
      <c r="N27" s="4" t="s">
        <v>592</v>
      </c>
      <c r="S27" s="4">
        <v>47</v>
      </c>
    </row>
    <row r="28" spans="1:19" x14ac:dyDescent="0.2">
      <c r="A28" s="4" t="s">
        <v>592</v>
      </c>
      <c r="B28" s="4" t="s">
        <v>37</v>
      </c>
      <c r="C28" s="4" t="s">
        <v>123</v>
      </c>
      <c r="D28" s="4" t="s">
        <v>247</v>
      </c>
      <c r="E28" s="4" t="s">
        <v>192</v>
      </c>
      <c r="H28" s="4">
        <v>0</v>
      </c>
      <c r="I28" s="4">
        <v>10</v>
      </c>
      <c r="J28" s="4" t="s">
        <v>593</v>
      </c>
      <c r="M28" s="4" t="s">
        <v>592</v>
      </c>
      <c r="N28" s="4" t="s">
        <v>594</v>
      </c>
      <c r="S28" s="4">
        <v>48</v>
      </c>
    </row>
    <row r="29" spans="1:19" x14ac:dyDescent="0.2">
      <c r="A29" s="4" t="s">
        <v>592</v>
      </c>
      <c r="B29" s="4" t="s">
        <v>94</v>
      </c>
      <c r="C29" s="4" t="s">
        <v>179</v>
      </c>
      <c r="D29" s="4" t="s">
        <v>247</v>
      </c>
      <c r="E29" s="4" t="s">
        <v>595</v>
      </c>
      <c r="G29" s="4" t="s">
        <v>194</v>
      </c>
      <c r="J29" s="4" t="s">
        <v>596</v>
      </c>
      <c r="K29" s="4" t="s">
        <v>34</v>
      </c>
      <c r="L29" s="4">
        <v>1</v>
      </c>
      <c r="M29" s="4" t="s">
        <v>594</v>
      </c>
      <c r="N29" s="4" t="s">
        <v>592</v>
      </c>
      <c r="S29" s="4">
        <v>49</v>
      </c>
    </row>
    <row r="30" spans="1:19" x14ac:dyDescent="0.2">
      <c r="A30" s="4" t="s">
        <v>592</v>
      </c>
      <c r="B30" s="4" t="s">
        <v>96</v>
      </c>
      <c r="C30" s="4" t="s">
        <v>181</v>
      </c>
      <c r="D30" s="4" t="s">
        <v>247</v>
      </c>
      <c r="E30" s="4" t="s">
        <v>595</v>
      </c>
      <c r="G30" s="4" t="s">
        <v>194</v>
      </c>
      <c r="J30" s="4" t="s">
        <v>596</v>
      </c>
      <c r="K30" s="4" t="s">
        <v>34</v>
      </c>
      <c r="L30" s="4">
        <v>1</v>
      </c>
      <c r="M30" s="4" t="s">
        <v>594</v>
      </c>
      <c r="N30" s="4" t="s">
        <v>592</v>
      </c>
      <c r="S30" s="4">
        <v>50</v>
      </c>
    </row>
    <row r="31" spans="1:19" x14ac:dyDescent="0.2">
      <c r="A31" s="4" t="s">
        <v>592</v>
      </c>
      <c r="B31" s="4" t="s">
        <v>99</v>
      </c>
      <c r="C31" s="4" t="s">
        <v>182</v>
      </c>
      <c r="D31" s="4" t="s">
        <v>213</v>
      </c>
      <c r="E31" s="4" t="s">
        <v>192</v>
      </c>
      <c r="H31" s="4">
        <v>100</v>
      </c>
      <c r="I31" s="4">
        <v>500</v>
      </c>
      <c r="J31" s="4" t="s">
        <v>593</v>
      </c>
      <c r="M31" s="4" t="s">
        <v>594</v>
      </c>
      <c r="N31" s="4" t="s">
        <v>594</v>
      </c>
      <c r="O31" s="4" t="s">
        <v>605</v>
      </c>
      <c r="P31" s="4" t="s">
        <v>606</v>
      </c>
      <c r="S31" s="4">
        <v>72</v>
      </c>
    </row>
    <row r="32" spans="1:19" x14ac:dyDescent="0.2">
      <c r="A32" s="4" t="s">
        <v>592</v>
      </c>
      <c r="B32" s="4" t="s">
        <v>58</v>
      </c>
      <c r="C32" s="4" t="s">
        <v>142</v>
      </c>
      <c r="D32" s="4" t="s">
        <v>213</v>
      </c>
      <c r="E32" s="4" t="s">
        <v>202</v>
      </c>
      <c r="H32" s="4">
        <v>10</v>
      </c>
      <c r="I32" s="4">
        <v>500</v>
      </c>
      <c r="J32" s="4" t="s">
        <v>593</v>
      </c>
      <c r="M32" s="4" t="s">
        <v>594</v>
      </c>
      <c r="N32" s="4" t="s">
        <v>594</v>
      </c>
      <c r="O32" s="4" t="s">
        <v>605</v>
      </c>
      <c r="P32" s="4" t="s">
        <v>606</v>
      </c>
      <c r="S32" s="4">
        <v>73</v>
      </c>
    </row>
    <row r="33" spans="1:19" x14ac:dyDescent="0.2">
      <c r="A33" s="4" t="s">
        <v>592</v>
      </c>
      <c r="B33" s="4" t="s">
        <v>60</v>
      </c>
      <c r="C33" s="4" t="s">
        <v>143</v>
      </c>
      <c r="D33" s="4" t="s">
        <v>213</v>
      </c>
      <c r="E33" s="4" t="s">
        <v>202</v>
      </c>
      <c r="H33" s="4">
        <v>10</v>
      </c>
      <c r="I33" s="4">
        <v>70</v>
      </c>
      <c r="J33" s="4" t="s">
        <v>593</v>
      </c>
      <c r="M33" s="4" t="s">
        <v>594</v>
      </c>
      <c r="N33" s="4" t="s">
        <v>594</v>
      </c>
      <c r="O33" s="4" t="s">
        <v>605</v>
      </c>
      <c r="P33" s="4" t="s">
        <v>606</v>
      </c>
      <c r="S33" s="4">
        <v>74</v>
      </c>
    </row>
    <row r="34" spans="1:19" x14ac:dyDescent="0.2">
      <c r="A34" s="4" t="s">
        <v>592</v>
      </c>
      <c r="B34" s="4" t="s">
        <v>62</v>
      </c>
      <c r="C34" s="4" t="s">
        <v>144</v>
      </c>
      <c r="D34" s="4" t="s">
        <v>213</v>
      </c>
      <c r="E34" s="4" t="s">
        <v>192</v>
      </c>
      <c r="H34" s="4">
        <v>50</v>
      </c>
      <c r="I34" s="4">
        <v>300</v>
      </c>
      <c r="J34" s="4" t="s">
        <v>593</v>
      </c>
      <c r="M34" s="4" t="s">
        <v>594</v>
      </c>
      <c r="N34" s="4" t="s">
        <v>594</v>
      </c>
      <c r="O34" s="4" t="s">
        <v>605</v>
      </c>
      <c r="P34" s="4" t="s">
        <v>606</v>
      </c>
      <c r="S34" s="4">
        <v>75</v>
      </c>
    </row>
    <row r="35" spans="1:19" x14ac:dyDescent="0.2">
      <c r="A35" s="4" t="s">
        <v>592</v>
      </c>
      <c r="B35" s="4" t="s">
        <v>63</v>
      </c>
      <c r="C35" s="4" t="s">
        <v>146</v>
      </c>
      <c r="D35" s="4" t="s">
        <v>213</v>
      </c>
      <c r="E35" s="4" t="s">
        <v>192</v>
      </c>
      <c r="H35" s="4">
        <v>30</v>
      </c>
      <c r="I35" s="4">
        <v>200</v>
      </c>
      <c r="J35" s="4" t="s">
        <v>593</v>
      </c>
      <c r="M35" s="4" t="s">
        <v>594</v>
      </c>
      <c r="N35" s="4" t="s">
        <v>594</v>
      </c>
      <c r="O35" s="4" t="s">
        <v>605</v>
      </c>
      <c r="P35" s="4" t="s">
        <v>606</v>
      </c>
      <c r="S35" s="4">
        <v>76</v>
      </c>
    </row>
    <row r="36" spans="1:19" x14ac:dyDescent="0.2">
      <c r="A36" s="4" t="s">
        <v>592</v>
      </c>
      <c r="B36" s="4" t="s">
        <v>65</v>
      </c>
      <c r="C36" s="4" t="s">
        <v>150</v>
      </c>
      <c r="D36" s="4" t="s">
        <v>8</v>
      </c>
      <c r="E36" s="4" t="s">
        <v>607</v>
      </c>
      <c r="H36" s="4">
        <v>0</v>
      </c>
      <c r="I36" s="4">
        <v>500</v>
      </c>
      <c r="J36" s="4" t="s">
        <v>593</v>
      </c>
      <c r="M36" s="4" t="s">
        <v>594</v>
      </c>
      <c r="N36" s="4" t="s">
        <v>594</v>
      </c>
      <c r="O36" s="4" t="s">
        <v>608</v>
      </c>
      <c r="P36" s="4" t="s">
        <v>606</v>
      </c>
      <c r="Q36" s="4" t="s">
        <v>64</v>
      </c>
      <c r="R36" s="4">
        <v>1</v>
      </c>
      <c r="S36" s="4">
        <v>77</v>
      </c>
    </row>
    <row r="37" spans="1:19" x14ac:dyDescent="0.2">
      <c r="A37" s="4" t="s">
        <v>592</v>
      </c>
      <c r="B37" s="4" t="s">
        <v>66</v>
      </c>
      <c r="C37" s="4" t="s">
        <v>151</v>
      </c>
      <c r="D37" s="4" t="s">
        <v>8</v>
      </c>
      <c r="E37" s="4" t="s">
        <v>192</v>
      </c>
      <c r="H37" s="4">
        <v>0</v>
      </c>
      <c r="I37" s="4">
        <v>200</v>
      </c>
      <c r="J37" s="4" t="s">
        <v>593</v>
      </c>
      <c r="M37" s="4" t="s">
        <v>592</v>
      </c>
      <c r="N37" s="4" t="s">
        <v>594</v>
      </c>
      <c r="O37" s="4" t="s">
        <v>608</v>
      </c>
      <c r="P37" s="4" t="s">
        <v>606</v>
      </c>
      <c r="Q37" s="4" t="s">
        <v>64</v>
      </c>
      <c r="R37" s="4">
        <v>1</v>
      </c>
      <c r="S37" s="4">
        <v>78</v>
      </c>
    </row>
    <row r="38" spans="1:19" x14ac:dyDescent="0.2">
      <c r="A38" s="4" t="s">
        <v>592</v>
      </c>
      <c r="B38" s="4" t="s">
        <v>68</v>
      </c>
      <c r="C38" s="4" t="s">
        <v>68</v>
      </c>
      <c r="D38" s="4" t="s">
        <v>8</v>
      </c>
      <c r="E38" s="4" t="s">
        <v>192</v>
      </c>
      <c r="H38" s="4">
        <v>20</v>
      </c>
      <c r="I38" s="4">
        <v>800</v>
      </c>
      <c r="J38" s="4" t="s">
        <v>593</v>
      </c>
      <c r="M38" s="4" t="s">
        <v>594</v>
      </c>
      <c r="N38" s="4" t="s">
        <v>594</v>
      </c>
      <c r="O38" s="4" t="s">
        <v>608</v>
      </c>
      <c r="P38" s="4" t="s">
        <v>606</v>
      </c>
      <c r="Q38" s="4" t="s">
        <v>64</v>
      </c>
      <c r="R38" s="4">
        <v>1</v>
      </c>
      <c r="S38" s="4">
        <v>79</v>
      </c>
    </row>
    <row r="39" spans="1:19" x14ac:dyDescent="0.2">
      <c r="A39" s="4" t="s">
        <v>592</v>
      </c>
      <c r="B39" s="4" t="s">
        <v>70</v>
      </c>
      <c r="C39" s="4" t="s">
        <v>152</v>
      </c>
      <c r="D39" s="4" t="s">
        <v>8</v>
      </c>
      <c r="E39" s="4" t="s">
        <v>607</v>
      </c>
      <c r="H39" s="4">
        <v>3</v>
      </c>
      <c r="I39" s="4">
        <v>20</v>
      </c>
      <c r="J39" s="4" t="s">
        <v>593</v>
      </c>
      <c r="M39" s="4" t="s">
        <v>594</v>
      </c>
      <c r="N39" s="4" t="s">
        <v>594</v>
      </c>
      <c r="O39" s="4" t="s">
        <v>608</v>
      </c>
      <c r="P39" s="4" t="s">
        <v>606</v>
      </c>
      <c r="Q39" s="4" t="s">
        <v>64</v>
      </c>
      <c r="R39" s="4">
        <v>1</v>
      </c>
      <c r="S39" s="4">
        <v>80</v>
      </c>
    </row>
    <row r="40" spans="1:19" x14ac:dyDescent="0.2">
      <c r="A40" s="4" t="s">
        <v>592</v>
      </c>
      <c r="B40" s="4" t="s">
        <v>71</v>
      </c>
      <c r="C40" s="4" t="s">
        <v>154</v>
      </c>
      <c r="D40" s="4" t="s">
        <v>8</v>
      </c>
      <c r="E40" s="4" t="s">
        <v>192</v>
      </c>
      <c r="H40" s="4">
        <v>20</v>
      </c>
      <c r="I40" s="4">
        <v>1000</v>
      </c>
      <c r="J40" s="4" t="s">
        <v>593</v>
      </c>
      <c r="M40" s="4" t="s">
        <v>594</v>
      </c>
      <c r="N40" s="4" t="s">
        <v>594</v>
      </c>
      <c r="O40" s="4" t="s">
        <v>608</v>
      </c>
      <c r="P40" s="4" t="s">
        <v>606</v>
      </c>
      <c r="Q40" s="4" t="s">
        <v>64</v>
      </c>
      <c r="R40" s="4">
        <v>1</v>
      </c>
      <c r="S40" s="4">
        <v>81</v>
      </c>
    </row>
    <row r="41" spans="1:19" x14ac:dyDescent="0.2">
      <c r="A41" s="4" t="s">
        <v>592</v>
      </c>
      <c r="B41" s="4" t="s">
        <v>72</v>
      </c>
      <c r="C41" s="4" t="s">
        <v>156</v>
      </c>
      <c r="D41" s="4" t="s">
        <v>8</v>
      </c>
      <c r="E41" s="4" t="s">
        <v>202</v>
      </c>
      <c r="H41" s="4">
        <v>0</v>
      </c>
      <c r="I41" s="4">
        <v>100</v>
      </c>
      <c r="J41" s="4" t="s">
        <v>593</v>
      </c>
      <c r="M41" s="4" t="s">
        <v>594</v>
      </c>
      <c r="N41" s="4" t="s">
        <v>594</v>
      </c>
      <c r="O41" s="4" t="s">
        <v>608</v>
      </c>
      <c r="P41" s="4" t="s">
        <v>606</v>
      </c>
      <c r="Q41" s="4" t="s">
        <v>64</v>
      </c>
      <c r="R41" s="4">
        <v>1</v>
      </c>
      <c r="S41" s="4">
        <v>82</v>
      </c>
    </row>
    <row r="42" spans="1:19" x14ac:dyDescent="0.2">
      <c r="A42" s="4" t="s">
        <v>592</v>
      </c>
      <c r="B42" s="4" t="s">
        <v>75</v>
      </c>
      <c r="C42" s="4" t="s">
        <v>157</v>
      </c>
      <c r="D42" s="4" t="s">
        <v>8</v>
      </c>
      <c r="E42" s="4" t="s">
        <v>202</v>
      </c>
      <c r="H42" s="4">
        <v>0</v>
      </c>
      <c r="I42" s="4">
        <v>100</v>
      </c>
      <c r="J42" s="4" t="s">
        <v>593</v>
      </c>
      <c r="M42" s="4" t="s">
        <v>594</v>
      </c>
      <c r="N42" s="4" t="s">
        <v>594</v>
      </c>
      <c r="O42" s="4" t="s">
        <v>608</v>
      </c>
      <c r="P42" s="4" t="s">
        <v>606</v>
      </c>
      <c r="Q42" s="4" t="s">
        <v>64</v>
      </c>
      <c r="R42" s="4">
        <v>1</v>
      </c>
      <c r="S42" s="4">
        <v>83</v>
      </c>
    </row>
    <row r="43" spans="1:19" x14ac:dyDescent="0.2">
      <c r="A43" s="4" t="s">
        <v>592</v>
      </c>
      <c r="B43" s="4" t="s">
        <v>77</v>
      </c>
      <c r="C43" s="4" t="s">
        <v>159</v>
      </c>
      <c r="D43" s="4" t="s">
        <v>8</v>
      </c>
      <c r="E43" s="4" t="s">
        <v>192</v>
      </c>
      <c r="H43" s="4">
        <v>0</v>
      </c>
      <c r="I43" s="4">
        <v>150</v>
      </c>
      <c r="J43" s="4" t="s">
        <v>593</v>
      </c>
      <c r="M43" s="4" t="s">
        <v>594</v>
      </c>
      <c r="N43" s="4" t="s">
        <v>594</v>
      </c>
      <c r="O43" s="4" t="s">
        <v>608</v>
      </c>
      <c r="P43" s="4" t="s">
        <v>606</v>
      </c>
      <c r="Q43" s="4" t="s">
        <v>64</v>
      </c>
      <c r="R43" s="4">
        <v>1</v>
      </c>
      <c r="S43" s="4">
        <v>84</v>
      </c>
    </row>
    <row r="44" spans="1:19" x14ac:dyDescent="0.2">
      <c r="A44" s="4" t="s">
        <v>592</v>
      </c>
      <c r="B44" s="4" t="s">
        <v>79</v>
      </c>
      <c r="C44" s="4" t="s">
        <v>160</v>
      </c>
      <c r="D44" s="4" t="s">
        <v>8</v>
      </c>
      <c r="E44" s="4" t="s">
        <v>202</v>
      </c>
      <c r="H44" s="4">
        <v>1</v>
      </c>
      <c r="I44" s="4">
        <v>6</v>
      </c>
      <c r="J44" s="4" t="s">
        <v>593</v>
      </c>
      <c r="M44" s="4" t="s">
        <v>594</v>
      </c>
      <c r="N44" s="4" t="s">
        <v>594</v>
      </c>
      <c r="O44" s="4" t="s">
        <v>608</v>
      </c>
      <c r="P44" s="4" t="s">
        <v>606</v>
      </c>
      <c r="Q44" s="4" t="s">
        <v>64</v>
      </c>
      <c r="R44" s="4">
        <v>1</v>
      </c>
      <c r="S44" s="4">
        <v>85</v>
      </c>
    </row>
    <row r="45" spans="1:19" x14ac:dyDescent="0.2">
      <c r="A45" s="4" t="s">
        <v>592</v>
      </c>
      <c r="B45" s="4" t="s">
        <v>80</v>
      </c>
      <c r="C45" s="4" t="s">
        <v>161</v>
      </c>
      <c r="D45" s="4" t="s">
        <v>8</v>
      </c>
      <c r="E45" s="4" t="s">
        <v>202</v>
      </c>
      <c r="H45" s="4">
        <v>1</v>
      </c>
      <c r="I45" s="4">
        <v>20</v>
      </c>
      <c r="J45" s="4" t="s">
        <v>593</v>
      </c>
      <c r="M45" s="4" t="s">
        <v>594</v>
      </c>
      <c r="N45" s="4" t="s">
        <v>594</v>
      </c>
      <c r="O45" s="4" t="s">
        <v>608</v>
      </c>
      <c r="P45" s="4" t="s">
        <v>606</v>
      </c>
      <c r="Q45" s="4" t="s">
        <v>64</v>
      </c>
      <c r="R45" s="4">
        <v>1</v>
      </c>
      <c r="S45" s="4">
        <v>86</v>
      </c>
    </row>
    <row r="46" spans="1:19" x14ac:dyDescent="0.2">
      <c r="A46" s="4" t="s">
        <v>592</v>
      </c>
      <c r="B46" s="4" t="s">
        <v>81</v>
      </c>
      <c r="C46" s="4" t="s">
        <v>162</v>
      </c>
      <c r="D46" s="4" t="s">
        <v>8</v>
      </c>
      <c r="E46" s="4" t="s">
        <v>202</v>
      </c>
      <c r="H46" s="4">
        <v>3</v>
      </c>
      <c r="I46" s="4">
        <v>25</v>
      </c>
      <c r="J46" s="4" t="s">
        <v>593</v>
      </c>
      <c r="M46" s="4" t="s">
        <v>594</v>
      </c>
      <c r="N46" s="4" t="s">
        <v>594</v>
      </c>
      <c r="O46" s="4" t="s">
        <v>608</v>
      </c>
      <c r="P46" s="4" t="s">
        <v>606</v>
      </c>
      <c r="Q46" s="4" t="s">
        <v>64</v>
      </c>
      <c r="R46" s="4">
        <v>1</v>
      </c>
      <c r="S46" s="4">
        <v>87</v>
      </c>
    </row>
    <row r="47" spans="1:19" x14ac:dyDescent="0.2">
      <c r="A47" s="4" t="s">
        <v>592</v>
      </c>
      <c r="B47" s="4" t="s">
        <v>83</v>
      </c>
      <c r="C47" s="4" t="s">
        <v>163</v>
      </c>
      <c r="D47" s="4" t="s">
        <v>8</v>
      </c>
      <c r="E47" s="4" t="s">
        <v>192</v>
      </c>
      <c r="H47" s="4">
        <v>5</v>
      </c>
      <c r="I47" s="4">
        <v>150</v>
      </c>
      <c r="J47" s="4" t="s">
        <v>593</v>
      </c>
      <c r="M47" s="4" t="s">
        <v>594</v>
      </c>
      <c r="N47" s="4" t="s">
        <v>594</v>
      </c>
      <c r="O47" s="4" t="s">
        <v>608</v>
      </c>
      <c r="P47" s="4" t="s">
        <v>606</v>
      </c>
      <c r="Q47" s="4" t="s">
        <v>64</v>
      </c>
      <c r="R47" s="4">
        <v>1</v>
      </c>
      <c r="S47" s="4">
        <v>88</v>
      </c>
    </row>
    <row r="48" spans="1:19" x14ac:dyDescent="0.2">
      <c r="A48" s="4" t="s">
        <v>592</v>
      </c>
      <c r="B48" s="4" t="s">
        <v>84</v>
      </c>
      <c r="C48" s="4" t="s">
        <v>164</v>
      </c>
      <c r="D48" s="4" t="s">
        <v>8</v>
      </c>
      <c r="E48" s="4" t="s">
        <v>192</v>
      </c>
      <c r="H48" s="4">
        <v>10</v>
      </c>
      <c r="I48" s="4">
        <v>400</v>
      </c>
      <c r="J48" s="4" t="s">
        <v>593</v>
      </c>
      <c r="M48" s="4" t="s">
        <v>594</v>
      </c>
      <c r="N48" s="4" t="s">
        <v>594</v>
      </c>
      <c r="O48" s="4" t="s">
        <v>608</v>
      </c>
      <c r="P48" s="4" t="s">
        <v>606</v>
      </c>
      <c r="Q48" s="4" t="s">
        <v>64</v>
      </c>
      <c r="R48" s="4">
        <v>1</v>
      </c>
      <c r="S48" s="4">
        <v>89</v>
      </c>
    </row>
    <row r="49" spans="1:19" x14ac:dyDescent="0.2">
      <c r="A49" s="4" t="s">
        <v>592</v>
      </c>
      <c r="B49" s="4" t="s">
        <v>85</v>
      </c>
      <c r="C49" s="4" t="s">
        <v>165</v>
      </c>
      <c r="D49" s="4" t="s">
        <v>8</v>
      </c>
      <c r="E49" s="4" t="s">
        <v>192</v>
      </c>
      <c r="H49" s="4">
        <v>50</v>
      </c>
      <c r="I49" s="4">
        <v>600</v>
      </c>
      <c r="J49" s="4" t="s">
        <v>593</v>
      </c>
      <c r="M49" s="4" t="s">
        <v>594</v>
      </c>
      <c r="N49" s="4" t="s">
        <v>594</v>
      </c>
      <c r="O49" s="4" t="s">
        <v>608</v>
      </c>
      <c r="P49" s="4" t="s">
        <v>606</v>
      </c>
      <c r="Q49" s="4" t="s">
        <v>64</v>
      </c>
      <c r="R49" s="4">
        <v>1</v>
      </c>
      <c r="S49" s="4">
        <v>90</v>
      </c>
    </row>
    <row r="50" spans="1:19" x14ac:dyDescent="0.2">
      <c r="A50" s="4" t="s">
        <v>592</v>
      </c>
      <c r="B50" s="4" t="s">
        <v>102</v>
      </c>
      <c r="C50" s="4" t="s">
        <v>191</v>
      </c>
      <c r="D50" s="4" t="s">
        <v>8</v>
      </c>
      <c r="E50" s="4" t="s">
        <v>202</v>
      </c>
      <c r="H50" s="4">
        <v>0</v>
      </c>
      <c r="I50" s="4">
        <v>2</v>
      </c>
      <c r="J50" s="4" t="s">
        <v>593</v>
      </c>
      <c r="M50" s="4" t="s">
        <v>592</v>
      </c>
      <c r="N50" s="4" t="s">
        <v>594</v>
      </c>
      <c r="S50" s="4">
        <v>91</v>
      </c>
    </row>
    <row r="51" spans="1:19" x14ac:dyDescent="0.2">
      <c r="A51" s="4" t="s">
        <v>592</v>
      </c>
      <c r="B51" s="4" t="s">
        <v>86</v>
      </c>
      <c r="C51" s="4" t="s">
        <v>166</v>
      </c>
      <c r="D51" s="4" t="s">
        <v>243</v>
      </c>
      <c r="E51" s="4" t="s">
        <v>595</v>
      </c>
      <c r="G51" s="4" t="s">
        <v>190</v>
      </c>
      <c r="J51" s="4" t="s">
        <v>596</v>
      </c>
      <c r="M51" s="4" t="s">
        <v>594</v>
      </c>
      <c r="N51" s="4" t="s">
        <v>592</v>
      </c>
      <c r="S51" s="4">
        <v>92</v>
      </c>
    </row>
    <row r="52" spans="1:19" x14ac:dyDescent="0.2">
      <c r="A52" s="4" t="s">
        <v>592</v>
      </c>
      <c r="B52" s="4" t="s">
        <v>87</v>
      </c>
      <c r="C52" s="4" t="s">
        <v>167</v>
      </c>
      <c r="D52" s="4" t="s">
        <v>254</v>
      </c>
      <c r="E52" s="4" t="s">
        <v>595</v>
      </c>
      <c r="G52" s="4" t="s">
        <v>190</v>
      </c>
      <c r="J52" s="4" t="s">
        <v>596</v>
      </c>
      <c r="M52" s="4" t="s">
        <v>594</v>
      </c>
      <c r="N52" s="4" t="s">
        <v>592</v>
      </c>
      <c r="S52" s="4">
        <v>94</v>
      </c>
    </row>
    <row r="53" spans="1:19" x14ac:dyDescent="0.2">
      <c r="A53" s="4" t="s">
        <v>592</v>
      </c>
      <c r="B53" s="4" t="s">
        <v>88</v>
      </c>
      <c r="C53" s="4" t="s">
        <v>169</v>
      </c>
      <c r="D53" s="4" t="s">
        <v>254</v>
      </c>
      <c r="E53" s="4" t="s">
        <v>192</v>
      </c>
      <c r="H53" s="4">
        <v>0</v>
      </c>
      <c r="I53" s="4">
        <v>10</v>
      </c>
      <c r="J53" s="4" t="s">
        <v>598</v>
      </c>
      <c r="K53" s="4" t="s">
        <v>87</v>
      </c>
      <c r="L53" s="4">
        <v>1</v>
      </c>
      <c r="M53" s="4" t="s">
        <v>594</v>
      </c>
      <c r="N53" s="4" t="s">
        <v>594</v>
      </c>
      <c r="S53" s="4">
        <v>96</v>
      </c>
    </row>
    <row r="54" spans="1:19" x14ac:dyDescent="0.2">
      <c r="A54" s="4" t="s">
        <v>592</v>
      </c>
      <c r="B54" s="4" t="s">
        <v>39</v>
      </c>
      <c r="C54" s="4" t="s">
        <v>124</v>
      </c>
      <c r="D54" s="4" t="s">
        <v>243</v>
      </c>
      <c r="E54" s="4" t="s">
        <v>595</v>
      </c>
      <c r="G54" s="4" t="s">
        <v>190</v>
      </c>
      <c r="J54" s="4" t="s">
        <v>596</v>
      </c>
      <c r="M54" s="4" t="s">
        <v>594</v>
      </c>
      <c r="N54" s="4" t="s">
        <v>592</v>
      </c>
      <c r="S54" s="4">
        <v>97</v>
      </c>
    </row>
    <row r="55" spans="1:19" x14ac:dyDescent="0.2">
      <c r="A55" s="4" t="s">
        <v>592</v>
      </c>
      <c r="B55" s="4" t="s">
        <v>40</v>
      </c>
      <c r="C55" s="4" t="s">
        <v>125</v>
      </c>
      <c r="D55" s="4" t="s">
        <v>243</v>
      </c>
      <c r="E55" s="4" t="s">
        <v>595</v>
      </c>
      <c r="G55" s="4" t="s">
        <v>190</v>
      </c>
      <c r="J55" s="4" t="s">
        <v>596</v>
      </c>
      <c r="M55" s="4" t="s">
        <v>594</v>
      </c>
      <c r="N55" s="4" t="s">
        <v>592</v>
      </c>
      <c r="S55" s="4">
        <v>99</v>
      </c>
    </row>
    <row r="56" spans="1:19" x14ac:dyDescent="0.2">
      <c r="A56" s="4" t="s">
        <v>592</v>
      </c>
      <c r="B56" s="4" t="s">
        <v>41</v>
      </c>
      <c r="C56" s="4" t="s">
        <v>127</v>
      </c>
      <c r="D56" s="4" t="s">
        <v>243</v>
      </c>
      <c r="E56" s="4" t="s">
        <v>595</v>
      </c>
      <c r="G56" s="4" t="s">
        <v>190</v>
      </c>
      <c r="J56" s="4" t="s">
        <v>596</v>
      </c>
      <c r="M56" s="4" t="s">
        <v>594</v>
      </c>
      <c r="N56" s="4" t="s">
        <v>592</v>
      </c>
      <c r="S56" s="4">
        <v>101</v>
      </c>
    </row>
    <row r="57" spans="1:19" x14ac:dyDescent="0.2">
      <c r="A57" s="4" t="s">
        <v>592</v>
      </c>
      <c r="B57" s="4" t="s">
        <v>42</v>
      </c>
      <c r="C57" s="4" t="s">
        <v>128</v>
      </c>
      <c r="D57" s="4" t="s">
        <v>243</v>
      </c>
      <c r="E57" s="4" t="s">
        <v>595</v>
      </c>
      <c r="G57" s="4" t="s">
        <v>196</v>
      </c>
      <c r="J57" s="4" t="s">
        <v>596</v>
      </c>
      <c r="M57" s="4" t="s">
        <v>594</v>
      </c>
      <c r="N57" s="4" t="s">
        <v>592</v>
      </c>
      <c r="S57" s="4">
        <v>104</v>
      </c>
    </row>
    <row r="58" spans="1:19" x14ac:dyDescent="0.2">
      <c r="A58" s="4" t="s">
        <v>592</v>
      </c>
      <c r="B58" s="4" t="s">
        <v>43</v>
      </c>
      <c r="C58" s="4" t="s">
        <v>129</v>
      </c>
      <c r="D58" s="4" t="s">
        <v>243</v>
      </c>
      <c r="E58" s="4" t="s">
        <v>595</v>
      </c>
      <c r="G58" s="4" t="s">
        <v>198</v>
      </c>
      <c r="J58" s="4" t="s">
        <v>596</v>
      </c>
      <c r="M58" s="4" t="s">
        <v>594</v>
      </c>
      <c r="N58" s="4" t="s">
        <v>592</v>
      </c>
      <c r="S58" s="4">
        <v>105</v>
      </c>
    </row>
    <row r="59" spans="1:19" x14ac:dyDescent="0.2">
      <c r="A59" s="4" t="s">
        <v>592</v>
      </c>
      <c r="B59" s="4" t="s">
        <v>110</v>
      </c>
      <c r="C59" s="4" t="s">
        <v>197</v>
      </c>
      <c r="D59" s="4" t="s">
        <v>238</v>
      </c>
      <c r="E59" s="4" t="s">
        <v>597</v>
      </c>
      <c r="F59" s="4" t="s">
        <v>186</v>
      </c>
      <c r="J59" s="4" t="s">
        <v>593</v>
      </c>
      <c r="M59" s="4" t="s">
        <v>594</v>
      </c>
      <c r="N59" s="4" t="s">
        <v>594</v>
      </c>
      <c r="S59" s="4">
        <v>106</v>
      </c>
    </row>
    <row r="60" spans="1:19" x14ac:dyDescent="0.2">
      <c r="A60" s="4" t="s">
        <v>592</v>
      </c>
      <c r="B60" s="4" t="s">
        <v>111</v>
      </c>
      <c r="C60" s="4" t="s">
        <v>201</v>
      </c>
      <c r="D60" s="4" t="s">
        <v>238</v>
      </c>
      <c r="E60" s="4" t="s">
        <v>595</v>
      </c>
      <c r="G60" s="4" t="s">
        <v>214</v>
      </c>
      <c r="J60" s="4" t="s">
        <v>596</v>
      </c>
      <c r="K60" s="4" t="s">
        <v>110</v>
      </c>
      <c r="L60" s="4" t="s">
        <v>599</v>
      </c>
      <c r="M60" s="4" t="s">
        <v>594</v>
      </c>
      <c r="N60" s="4" t="s">
        <v>592</v>
      </c>
      <c r="S60" s="4">
        <v>107</v>
      </c>
    </row>
    <row r="61" spans="1:19" x14ac:dyDescent="0.2">
      <c r="A61" s="4" t="s">
        <v>592</v>
      </c>
      <c r="B61" s="4" t="s">
        <v>44</v>
      </c>
      <c r="C61" s="4" t="s">
        <v>130</v>
      </c>
      <c r="D61" s="4" t="s">
        <v>238</v>
      </c>
      <c r="E61" s="4" t="s">
        <v>595</v>
      </c>
      <c r="G61" s="4" t="s">
        <v>199</v>
      </c>
      <c r="J61" s="4" t="s">
        <v>596</v>
      </c>
      <c r="M61" s="4" t="s">
        <v>594</v>
      </c>
      <c r="N61" s="4" t="s">
        <v>592</v>
      </c>
      <c r="S61" s="4">
        <v>108</v>
      </c>
    </row>
    <row r="62" spans="1:19" x14ac:dyDescent="0.2">
      <c r="A62" s="4" t="s">
        <v>592</v>
      </c>
      <c r="B62" s="4" t="s">
        <v>45</v>
      </c>
      <c r="C62" s="4" t="s">
        <v>131</v>
      </c>
      <c r="D62" s="4" t="s">
        <v>238</v>
      </c>
      <c r="E62" s="4" t="s">
        <v>595</v>
      </c>
      <c r="G62" s="4" t="s">
        <v>199</v>
      </c>
      <c r="J62" s="4" t="s">
        <v>596</v>
      </c>
      <c r="M62" s="4" t="s">
        <v>594</v>
      </c>
      <c r="N62" s="4" t="s">
        <v>592</v>
      </c>
      <c r="S62" s="4">
        <v>110</v>
      </c>
    </row>
    <row r="63" spans="1:19" x14ac:dyDescent="0.2">
      <c r="A63" s="4" t="s">
        <v>592</v>
      </c>
      <c r="B63" s="4" t="s">
        <v>46</v>
      </c>
      <c r="C63" s="4" t="s">
        <v>132</v>
      </c>
      <c r="D63" s="4" t="s">
        <v>238</v>
      </c>
      <c r="E63" s="4" t="s">
        <v>595</v>
      </c>
      <c r="G63" s="4" t="s">
        <v>199</v>
      </c>
      <c r="J63" s="4" t="s">
        <v>596</v>
      </c>
      <c r="M63" s="4" t="s">
        <v>594</v>
      </c>
      <c r="N63" s="4" t="s">
        <v>592</v>
      </c>
      <c r="S63" s="4">
        <v>112</v>
      </c>
    </row>
    <row r="64" spans="1:19" x14ac:dyDescent="0.2">
      <c r="A64" s="4" t="s">
        <v>592</v>
      </c>
      <c r="B64" s="4" t="s">
        <v>47</v>
      </c>
      <c r="C64" s="4" t="s">
        <v>133</v>
      </c>
      <c r="D64" s="4" t="s">
        <v>238</v>
      </c>
      <c r="E64" s="4" t="s">
        <v>595</v>
      </c>
      <c r="G64" s="4" t="s">
        <v>199</v>
      </c>
      <c r="J64" s="4" t="s">
        <v>596</v>
      </c>
      <c r="M64" s="4" t="s">
        <v>594</v>
      </c>
      <c r="N64" s="4" t="s">
        <v>592</v>
      </c>
      <c r="S64" s="4">
        <v>114</v>
      </c>
    </row>
    <row r="65" spans="1:19" x14ac:dyDescent="0.2">
      <c r="A65" s="4" t="s">
        <v>592</v>
      </c>
      <c r="B65" s="4" t="s">
        <v>48</v>
      </c>
      <c r="C65" s="4" t="s">
        <v>134</v>
      </c>
      <c r="D65" s="4" t="s">
        <v>238</v>
      </c>
      <c r="E65" s="4" t="s">
        <v>595</v>
      </c>
      <c r="G65" s="4" t="s">
        <v>199</v>
      </c>
      <c r="J65" s="4" t="s">
        <v>596</v>
      </c>
      <c r="M65" s="4" t="s">
        <v>594</v>
      </c>
      <c r="N65" s="4" t="s">
        <v>592</v>
      </c>
      <c r="S65" s="4">
        <v>116</v>
      </c>
    </row>
    <row r="66" spans="1:19" x14ac:dyDescent="0.2">
      <c r="A66" s="4" t="s">
        <v>592</v>
      </c>
      <c r="B66" s="4" t="s">
        <v>49</v>
      </c>
      <c r="C66" s="4" t="s">
        <v>135</v>
      </c>
      <c r="D66" s="4" t="s">
        <v>238</v>
      </c>
      <c r="E66" s="4" t="s">
        <v>595</v>
      </c>
      <c r="G66" s="4" t="s">
        <v>199</v>
      </c>
      <c r="J66" s="4" t="s">
        <v>596</v>
      </c>
      <c r="M66" s="4" t="s">
        <v>594</v>
      </c>
      <c r="N66" s="4" t="s">
        <v>592</v>
      </c>
      <c r="S66" s="4">
        <v>118</v>
      </c>
    </row>
    <row r="67" spans="1:19" x14ac:dyDescent="0.2">
      <c r="A67" s="4" t="s">
        <v>592</v>
      </c>
      <c r="B67" s="4" t="s">
        <v>50</v>
      </c>
      <c r="C67" s="4" t="s">
        <v>136</v>
      </c>
      <c r="D67" s="4" t="s">
        <v>238</v>
      </c>
      <c r="E67" s="4" t="s">
        <v>595</v>
      </c>
      <c r="G67" s="4" t="s">
        <v>199</v>
      </c>
      <c r="J67" s="4" t="s">
        <v>596</v>
      </c>
      <c r="M67" s="4" t="s">
        <v>594</v>
      </c>
      <c r="N67" s="4" t="s">
        <v>592</v>
      </c>
      <c r="S67" s="4">
        <v>120</v>
      </c>
    </row>
    <row r="68" spans="1:19" x14ac:dyDescent="0.2">
      <c r="A68" s="4" t="s">
        <v>592</v>
      </c>
      <c r="B68" s="4" t="s">
        <v>258</v>
      </c>
      <c r="C68" s="4" t="s">
        <v>256</v>
      </c>
      <c r="D68" s="4" t="s">
        <v>254</v>
      </c>
      <c r="E68" s="4" t="s">
        <v>595</v>
      </c>
      <c r="G68" s="4" t="s">
        <v>200</v>
      </c>
      <c r="J68" s="4" t="s">
        <v>596</v>
      </c>
      <c r="M68" s="4" t="s">
        <v>594</v>
      </c>
      <c r="N68" s="4" t="s">
        <v>592</v>
      </c>
      <c r="S68" s="4">
        <v>121</v>
      </c>
    </row>
    <row r="69" spans="1:19" x14ac:dyDescent="0.2">
      <c r="A69" s="4" t="s">
        <v>592</v>
      </c>
      <c r="B69" s="4" t="s">
        <v>261</v>
      </c>
      <c r="C69" s="4" t="s">
        <v>259</v>
      </c>
      <c r="D69" s="4" t="s">
        <v>254</v>
      </c>
      <c r="E69" s="4" t="s">
        <v>597</v>
      </c>
      <c r="F69" s="4" t="s">
        <v>186</v>
      </c>
      <c r="J69" s="4" t="s">
        <v>598</v>
      </c>
      <c r="K69" s="4" t="s">
        <v>258</v>
      </c>
      <c r="L69" s="4">
        <v>1</v>
      </c>
      <c r="M69" s="4" t="s">
        <v>594</v>
      </c>
      <c r="N69" s="4" t="s">
        <v>594</v>
      </c>
      <c r="S69" s="4">
        <v>127</v>
      </c>
    </row>
    <row r="70" spans="1:19" x14ac:dyDescent="0.2">
      <c r="A70" s="4" t="s">
        <v>592</v>
      </c>
      <c r="B70" s="4" t="s">
        <v>89</v>
      </c>
      <c r="C70" s="4" t="s">
        <v>170</v>
      </c>
      <c r="D70" s="4" t="s">
        <v>243</v>
      </c>
      <c r="E70" s="4" t="s">
        <v>595</v>
      </c>
      <c r="G70" s="4" t="s">
        <v>207</v>
      </c>
      <c r="J70" s="4" t="s">
        <v>596</v>
      </c>
      <c r="M70" s="4" t="s">
        <v>594</v>
      </c>
      <c r="N70" s="4" t="s">
        <v>592</v>
      </c>
      <c r="S70" s="4">
        <v>129</v>
      </c>
    </row>
    <row r="71" spans="1:19" x14ac:dyDescent="0.2">
      <c r="A71" s="4" t="s">
        <v>592</v>
      </c>
      <c r="B71" s="4" t="s">
        <v>90</v>
      </c>
      <c r="C71" s="4" t="s">
        <v>171</v>
      </c>
      <c r="D71" s="4" t="s">
        <v>254</v>
      </c>
      <c r="E71" s="4" t="s">
        <v>595</v>
      </c>
      <c r="G71" s="4" t="s">
        <v>207</v>
      </c>
      <c r="J71" s="4" t="s">
        <v>596</v>
      </c>
      <c r="M71" s="4" t="s">
        <v>594</v>
      </c>
      <c r="N71" s="4" t="s">
        <v>592</v>
      </c>
      <c r="S71" s="4">
        <v>130</v>
      </c>
    </row>
    <row r="72" spans="1:19" x14ac:dyDescent="0.2">
      <c r="A72" s="4" t="s">
        <v>592</v>
      </c>
      <c r="B72" s="4" t="s">
        <v>91</v>
      </c>
      <c r="C72" s="4" t="s">
        <v>172</v>
      </c>
      <c r="D72" s="4" t="s">
        <v>254</v>
      </c>
      <c r="E72" s="4" t="s">
        <v>595</v>
      </c>
      <c r="G72" s="4" t="s">
        <v>207</v>
      </c>
      <c r="J72" s="4" t="s">
        <v>596</v>
      </c>
      <c r="M72" s="4" t="s">
        <v>594</v>
      </c>
      <c r="N72" s="4" t="s">
        <v>592</v>
      </c>
      <c r="S72" s="4">
        <v>131</v>
      </c>
    </row>
    <row r="73" spans="1:19" x14ac:dyDescent="0.2">
      <c r="A73" s="4" t="s">
        <v>592</v>
      </c>
      <c r="B73" s="4" t="s">
        <v>92</v>
      </c>
      <c r="C73" s="4" t="s">
        <v>173</v>
      </c>
      <c r="D73" s="4" t="s">
        <v>254</v>
      </c>
      <c r="E73" s="4" t="s">
        <v>595</v>
      </c>
      <c r="G73" s="4" t="s">
        <v>207</v>
      </c>
      <c r="J73" s="4" t="s">
        <v>596</v>
      </c>
      <c r="M73" s="4" t="s">
        <v>594</v>
      </c>
      <c r="N73" s="4" t="s">
        <v>592</v>
      </c>
      <c r="S73" s="4">
        <v>132</v>
      </c>
    </row>
    <row r="74" spans="1:19" x14ac:dyDescent="0.2">
      <c r="A74" s="4" t="s">
        <v>592</v>
      </c>
      <c r="B74" s="4" t="s">
        <v>145</v>
      </c>
      <c r="C74" s="4" t="s">
        <v>609</v>
      </c>
      <c r="D74" s="4" t="s">
        <v>254</v>
      </c>
      <c r="E74" s="4" t="s">
        <v>607</v>
      </c>
      <c r="J74" s="4" t="s">
        <v>593</v>
      </c>
      <c r="M74" s="4" t="s">
        <v>594</v>
      </c>
      <c r="N74" s="4" t="s">
        <v>594</v>
      </c>
      <c r="S74" s="4">
        <v>133</v>
      </c>
    </row>
    <row r="75" spans="1:19" x14ac:dyDescent="0.2">
      <c r="A75" s="4" t="s">
        <v>592</v>
      </c>
      <c r="B75" s="4" t="s">
        <v>610</v>
      </c>
      <c r="C75" s="4" t="s">
        <v>611</v>
      </c>
      <c r="D75" s="4" t="s">
        <v>254</v>
      </c>
      <c r="E75" s="4" t="s">
        <v>607</v>
      </c>
      <c r="J75" s="4" t="s">
        <v>593</v>
      </c>
      <c r="M75" s="4" t="s">
        <v>594</v>
      </c>
      <c r="N75" s="4" t="s">
        <v>594</v>
      </c>
      <c r="S75" s="4">
        <v>134</v>
      </c>
    </row>
    <row r="76" spans="1:19" x14ac:dyDescent="0.2">
      <c r="A76" s="4" t="s">
        <v>592</v>
      </c>
      <c r="B76" s="4" t="s">
        <v>64</v>
      </c>
      <c r="C76" s="4" t="s">
        <v>147</v>
      </c>
      <c r="D76" s="4" t="s">
        <v>8</v>
      </c>
      <c r="E76" s="4" t="s">
        <v>595</v>
      </c>
      <c r="G76" s="4" t="s">
        <v>204</v>
      </c>
      <c r="J76" s="4" t="s">
        <v>593</v>
      </c>
      <c r="M76" s="4" t="s">
        <v>594</v>
      </c>
      <c r="N76" s="4" t="s">
        <v>594</v>
      </c>
      <c r="S76" s="4">
        <v>76</v>
      </c>
    </row>
  </sheetData>
  <phoneticPr fontId="3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G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6.7109375" customWidth="1"/>
    <col min="2" max="2" width="2.28515625" customWidth="1"/>
    <col min="3" max="3" width="9.140625" customWidth="1"/>
    <col min="4" max="5" width="5.42578125" customWidth="1"/>
    <col min="6" max="6" width="5.5703125" customWidth="1"/>
    <col min="7" max="10" width="5.85546875" customWidth="1"/>
    <col min="11" max="13" width="5.42578125" customWidth="1"/>
    <col min="14" max="16" width="7" customWidth="1"/>
    <col min="17" max="17" width="6.28515625" customWidth="1"/>
    <col min="18" max="18" width="6.85546875" customWidth="1"/>
    <col min="19" max="19" width="7.140625" customWidth="1"/>
    <col min="20" max="20" width="4.85546875" customWidth="1"/>
    <col min="21" max="21" width="5.28515625" customWidth="1"/>
    <col min="22" max="24" width="5.42578125" customWidth="1"/>
    <col min="25" max="27" width="7" customWidth="1"/>
    <col min="28" max="30" width="6.140625" customWidth="1"/>
    <col min="31" max="33" width="9.28515625" customWidth="1"/>
    <col min="34" max="36" width="8.5703125" customWidth="1"/>
    <col min="37" max="39" width="10.7109375" customWidth="1"/>
    <col min="40" max="42" width="9.140625" customWidth="1"/>
    <col min="43" max="45" width="9.7109375" customWidth="1"/>
    <col min="46" max="48" width="10.7109375" customWidth="1"/>
    <col min="49" max="50" width="10.5703125" customWidth="1"/>
  </cols>
  <sheetData>
    <row r="1" spans="1:319" x14ac:dyDescent="0.2">
      <c r="A1" s="94" t="s">
        <v>612</v>
      </c>
      <c r="B1" s="94" t="s">
        <v>54</v>
      </c>
      <c r="C1" s="94" t="s">
        <v>613</v>
      </c>
      <c r="D1" s="94" t="s">
        <v>614</v>
      </c>
      <c r="E1" s="94" t="s">
        <v>615</v>
      </c>
      <c r="F1" s="94" t="s">
        <v>616</v>
      </c>
      <c r="G1" s="94" t="s">
        <v>617</v>
      </c>
      <c r="H1" s="94" t="s">
        <v>618</v>
      </c>
      <c r="I1" s="94" t="s">
        <v>619</v>
      </c>
      <c r="J1" s="94" t="s">
        <v>620</v>
      </c>
      <c r="K1" s="94" t="s">
        <v>621</v>
      </c>
      <c r="L1" s="94" t="s">
        <v>622</v>
      </c>
      <c r="M1" s="94" t="s">
        <v>623</v>
      </c>
      <c r="N1" s="94" t="s">
        <v>624</v>
      </c>
      <c r="O1" s="94" t="s">
        <v>625</v>
      </c>
      <c r="P1" s="94" t="s">
        <v>626</v>
      </c>
      <c r="Q1" s="94" t="s">
        <v>627</v>
      </c>
      <c r="R1" s="94" t="s">
        <v>628</v>
      </c>
      <c r="S1" s="94" t="s">
        <v>629</v>
      </c>
      <c r="T1" s="94" t="s">
        <v>630</v>
      </c>
      <c r="U1" s="94" t="s">
        <v>631</v>
      </c>
      <c r="V1" s="94" t="s">
        <v>632</v>
      </c>
      <c r="W1" s="94" t="s">
        <v>633</v>
      </c>
      <c r="X1" s="94" t="s">
        <v>634</v>
      </c>
      <c r="Y1" s="94" t="s">
        <v>635</v>
      </c>
      <c r="Z1" s="94" t="s">
        <v>636</v>
      </c>
      <c r="AA1" s="94" t="s">
        <v>637</v>
      </c>
      <c r="AB1" s="94" t="s">
        <v>638</v>
      </c>
      <c r="AC1" s="94" t="s">
        <v>639</v>
      </c>
      <c r="AD1" s="94" t="s">
        <v>640</v>
      </c>
      <c r="AE1" s="94" t="s">
        <v>641</v>
      </c>
      <c r="AF1" s="94" t="s">
        <v>642</v>
      </c>
      <c r="AG1" s="94" t="s">
        <v>643</v>
      </c>
      <c r="AH1" s="94" t="s">
        <v>644</v>
      </c>
      <c r="AI1" s="94" t="s">
        <v>645</v>
      </c>
      <c r="AJ1" s="94" t="s">
        <v>646</v>
      </c>
      <c r="AK1" s="94" t="s">
        <v>647</v>
      </c>
      <c r="AL1" s="94" t="s">
        <v>648</v>
      </c>
      <c r="AM1" s="94" t="s">
        <v>649</v>
      </c>
      <c r="AN1" s="94" t="s">
        <v>650</v>
      </c>
      <c r="AO1" s="94" t="s">
        <v>651</v>
      </c>
      <c r="AP1" s="94" t="s">
        <v>652</v>
      </c>
      <c r="AQ1" s="94" t="s">
        <v>653</v>
      </c>
      <c r="AR1" s="94" t="s">
        <v>654</v>
      </c>
      <c r="AS1" s="94" t="s">
        <v>655</v>
      </c>
      <c r="AT1" s="94" t="s">
        <v>656</v>
      </c>
      <c r="AU1" s="94" t="s">
        <v>657</v>
      </c>
      <c r="AV1" s="94" t="s">
        <v>658</v>
      </c>
      <c r="AW1" s="94" t="s">
        <v>659</v>
      </c>
      <c r="AX1" s="94" t="s">
        <v>660</v>
      </c>
      <c r="AY1" s="94" t="s">
        <v>661</v>
      </c>
      <c r="AZ1" s="94" t="s">
        <v>662</v>
      </c>
      <c r="BA1" s="94" t="s">
        <v>663</v>
      </c>
      <c r="BB1" s="94" t="s">
        <v>664</v>
      </c>
      <c r="BC1" s="94" t="s">
        <v>665</v>
      </c>
      <c r="BD1" s="94" t="s">
        <v>666</v>
      </c>
      <c r="BE1" s="94" t="s">
        <v>667</v>
      </c>
      <c r="BF1" s="94" t="s">
        <v>668</v>
      </c>
      <c r="BG1" s="94" t="s">
        <v>669</v>
      </c>
      <c r="BH1" s="94" t="s">
        <v>670</v>
      </c>
      <c r="BI1" s="94" t="s">
        <v>671</v>
      </c>
      <c r="BJ1" s="94" t="s">
        <v>672</v>
      </c>
      <c r="BK1" s="94" t="s">
        <v>673</v>
      </c>
      <c r="BL1" s="94" t="s">
        <v>674</v>
      </c>
      <c r="BM1" s="94" t="s">
        <v>675</v>
      </c>
      <c r="BN1" s="94" t="s">
        <v>676</v>
      </c>
      <c r="BO1" s="94" t="s">
        <v>677</v>
      </c>
      <c r="BP1" s="94" t="s">
        <v>678</v>
      </c>
      <c r="BQ1" s="94" t="s">
        <v>679</v>
      </c>
      <c r="BR1" s="94" t="s">
        <v>680</v>
      </c>
      <c r="BS1" s="94" t="s">
        <v>681</v>
      </c>
      <c r="BT1" s="94" t="s">
        <v>682</v>
      </c>
      <c r="BU1" s="94" t="s">
        <v>683</v>
      </c>
      <c r="BV1" s="94" t="s">
        <v>684</v>
      </c>
      <c r="BW1" s="94" t="s">
        <v>685</v>
      </c>
      <c r="BX1" s="94" t="s">
        <v>686</v>
      </c>
      <c r="BY1" s="94" t="s">
        <v>687</v>
      </c>
      <c r="BZ1" s="94" t="s">
        <v>688</v>
      </c>
      <c r="CA1" s="94" t="s">
        <v>689</v>
      </c>
      <c r="CB1" s="94" t="s">
        <v>690</v>
      </c>
      <c r="CC1" s="94" t="s">
        <v>691</v>
      </c>
      <c r="CD1" s="94" t="s">
        <v>692</v>
      </c>
      <c r="CE1" s="94" t="s">
        <v>693</v>
      </c>
      <c r="CF1" s="94" t="s">
        <v>694</v>
      </c>
      <c r="CG1" s="94" t="s">
        <v>695</v>
      </c>
      <c r="CH1" s="94" t="s">
        <v>696</v>
      </c>
      <c r="CI1" s="94" t="s">
        <v>697</v>
      </c>
      <c r="CJ1" s="94" t="s">
        <v>698</v>
      </c>
      <c r="CK1" s="94" t="s">
        <v>699</v>
      </c>
      <c r="CL1" s="94" t="s">
        <v>700</v>
      </c>
      <c r="CM1" s="94" t="s">
        <v>701</v>
      </c>
      <c r="CN1" s="94" t="s">
        <v>702</v>
      </c>
      <c r="CO1" s="94" t="s">
        <v>703</v>
      </c>
      <c r="CP1" s="94" t="s">
        <v>704</v>
      </c>
      <c r="CQ1" s="94" t="s">
        <v>705</v>
      </c>
      <c r="CR1" s="94" t="s">
        <v>706</v>
      </c>
      <c r="CS1" s="94" t="s">
        <v>707</v>
      </c>
      <c r="CT1" s="94" t="s">
        <v>708</v>
      </c>
      <c r="CU1" s="94" t="s">
        <v>709</v>
      </c>
      <c r="CV1" s="94" t="s">
        <v>710</v>
      </c>
      <c r="CW1" s="94" t="s">
        <v>711</v>
      </c>
      <c r="CX1" s="94" t="s">
        <v>712</v>
      </c>
      <c r="CY1" s="94" t="s">
        <v>713</v>
      </c>
      <c r="CZ1" s="94" t="s">
        <v>714</v>
      </c>
      <c r="DA1" s="94" t="s">
        <v>715</v>
      </c>
      <c r="DB1" s="94" t="s">
        <v>716</v>
      </c>
      <c r="DC1" s="94" t="s">
        <v>717</v>
      </c>
      <c r="DD1" s="94" t="s">
        <v>718</v>
      </c>
      <c r="DE1" s="94" t="s">
        <v>719</v>
      </c>
      <c r="DF1" s="94" t="s">
        <v>720</v>
      </c>
      <c r="DG1" s="94" t="s">
        <v>721</v>
      </c>
      <c r="DH1" s="94" t="s">
        <v>722</v>
      </c>
      <c r="DI1" s="94" t="s">
        <v>723</v>
      </c>
      <c r="DJ1" s="94" t="s">
        <v>724</v>
      </c>
      <c r="DK1" s="94" t="s">
        <v>725</v>
      </c>
      <c r="DL1" s="94" t="s">
        <v>726</v>
      </c>
      <c r="DM1" s="94" t="s">
        <v>727</v>
      </c>
      <c r="DN1" s="94" t="s">
        <v>728</v>
      </c>
      <c r="DO1" s="94" t="s">
        <v>729</v>
      </c>
      <c r="DP1" s="94" t="s">
        <v>730</v>
      </c>
      <c r="DQ1" s="94" t="s">
        <v>731</v>
      </c>
      <c r="DR1" s="94" t="s">
        <v>732</v>
      </c>
      <c r="DS1" s="94" t="s">
        <v>733</v>
      </c>
      <c r="DT1" s="94" t="s">
        <v>734</v>
      </c>
      <c r="DU1" s="94" t="s">
        <v>735</v>
      </c>
      <c r="DV1" s="94" t="s">
        <v>736</v>
      </c>
      <c r="DW1" s="94" t="s">
        <v>737</v>
      </c>
      <c r="DX1" s="94" t="s">
        <v>738</v>
      </c>
      <c r="DY1" s="94" t="s">
        <v>739</v>
      </c>
      <c r="DZ1" s="94" t="s">
        <v>740</v>
      </c>
      <c r="EA1" s="94" t="s">
        <v>741</v>
      </c>
      <c r="EB1" s="94" t="s">
        <v>742</v>
      </c>
      <c r="EC1" s="94" t="s">
        <v>743</v>
      </c>
      <c r="ED1" s="94" t="s">
        <v>744</v>
      </c>
      <c r="EE1" s="94" t="s">
        <v>745</v>
      </c>
      <c r="EF1" s="94" t="s">
        <v>746</v>
      </c>
      <c r="EG1" s="94" t="s">
        <v>747</v>
      </c>
      <c r="EH1" s="94" t="s">
        <v>748</v>
      </c>
      <c r="EI1" s="94" t="s">
        <v>749</v>
      </c>
      <c r="EJ1" s="94" t="s">
        <v>750</v>
      </c>
      <c r="EK1" s="94" t="s">
        <v>751</v>
      </c>
      <c r="EL1" s="94" t="s">
        <v>752</v>
      </c>
      <c r="EM1" s="94" t="s">
        <v>753</v>
      </c>
      <c r="EN1" s="94" t="s">
        <v>754</v>
      </c>
      <c r="EO1" s="94" t="s">
        <v>755</v>
      </c>
      <c r="EP1" s="94" t="s">
        <v>756</v>
      </c>
      <c r="EQ1" s="94" t="s">
        <v>757</v>
      </c>
      <c r="ER1" s="94" t="s">
        <v>758</v>
      </c>
      <c r="ES1" s="94" t="s">
        <v>759</v>
      </c>
      <c r="ET1" s="94" t="s">
        <v>760</v>
      </c>
      <c r="EU1" s="94" t="s">
        <v>761</v>
      </c>
      <c r="EV1" s="94" t="s">
        <v>762</v>
      </c>
      <c r="EW1" s="94" t="s">
        <v>763</v>
      </c>
      <c r="EX1" s="94" t="s">
        <v>764</v>
      </c>
      <c r="EY1" s="94" t="s">
        <v>765</v>
      </c>
      <c r="EZ1" s="94" t="s">
        <v>766</v>
      </c>
      <c r="FA1" s="94" t="s">
        <v>767</v>
      </c>
      <c r="FB1" s="94" t="s">
        <v>768</v>
      </c>
      <c r="FC1" s="94" t="s">
        <v>769</v>
      </c>
      <c r="FD1" s="94" t="s">
        <v>770</v>
      </c>
      <c r="FE1" s="94" t="s">
        <v>771</v>
      </c>
      <c r="FF1" s="94" t="s">
        <v>772</v>
      </c>
      <c r="FG1" s="94" t="s">
        <v>773</v>
      </c>
      <c r="FH1" s="94" t="s">
        <v>774</v>
      </c>
      <c r="FI1" s="94" t="s">
        <v>775</v>
      </c>
      <c r="FJ1" s="94" t="s">
        <v>776</v>
      </c>
      <c r="FK1" s="94" t="s">
        <v>777</v>
      </c>
      <c r="FL1" s="94" t="s">
        <v>778</v>
      </c>
      <c r="FM1" s="94" t="s">
        <v>779</v>
      </c>
      <c r="FN1" s="94" t="s">
        <v>780</v>
      </c>
      <c r="FO1" s="94" t="s">
        <v>781</v>
      </c>
      <c r="FP1" s="94" t="s">
        <v>782</v>
      </c>
      <c r="FQ1" s="94" t="s">
        <v>783</v>
      </c>
      <c r="FR1" s="94" t="s">
        <v>784</v>
      </c>
      <c r="FS1" s="94" t="s">
        <v>785</v>
      </c>
      <c r="FT1" s="94" t="s">
        <v>786</v>
      </c>
      <c r="FU1" s="94" t="s">
        <v>787</v>
      </c>
      <c r="FV1" s="94" t="s">
        <v>788</v>
      </c>
      <c r="FW1" s="94" t="s">
        <v>789</v>
      </c>
      <c r="FX1" s="94" t="s">
        <v>790</v>
      </c>
      <c r="FY1" s="94" t="s">
        <v>791</v>
      </c>
      <c r="FZ1" s="94" t="s">
        <v>792</v>
      </c>
      <c r="GA1" s="94" t="s">
        <v>793</v>
      </c>
      <c r="GB1" s="94" t="s">
        <v>794</v>
      </c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</row>
    <row r="2" spans="1:319" x14ac:dyDescent="0.2">
      <c r="A2" s="4" t="s">
        <v>2</v>
      </c>
      <c r="B2" s="4">
        <v>1</v>
      </c>
      <c r="C2" s="12">
        <v>46093</v>
      </c>
      <c r="D2" s="12"/>
      <c r="E2" s="12"/>
      <c r="F2" s="4">
        <v>55</v>
      </c>
    </row>
    <row r="3" spans="1:319" x14ac:dyDescent="0.2">
      <c r="A3" s="4" t="s">
        <v>2</v>
      </c>
      <c r="B3" s="4">
        <v>2</v>
      </c>
      <c r="C3" s="12">
        <v>46023</v>
      </c>
      <c r="D3" s="12"/>
      <c r="E3" s="12"/>
      <c r="F3" s="4">
        <v>1</v>
      </c>
      <c r="G3" s="4">
        <v>2</v>
      </c>
      <c r="J3" s="4">
        <v>3</v>
      </c>
    </row>
  </sheetData>
  <phoneticPr fontId="3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100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35.140625" customWidth="1"/>
    <col min="3" max="5" width="21.28515625" customWidth="1"/>
    <col min="6" max="6" width="42.85546875" customWidth="1"/>
  </cols>
  <sheetData>
    <row r="1" spans="1:6" ht="22.5" customHeight="1" x14ac:dyDescent="0.2">
      <c r="A1" s="95" t="s">
        <v>575</v>
      </c>
      <c r="B1" s="95" t="s">
        <v>795</v>
      </c>
      <c r="C1" s="93" t="s">
        <v>796</v>
      </c>
      <c r="D1" s="93" t="s">
        <v>797</v>
      </c>
      <c r="E1" s="93" t="s">
        <v>798</v>
      </c>
      <c r="F1" s="96" t="s">
        <v>799</v>
      </c>
    </row>
    <row r="2" spans="1:6" ht="22.5" customHeight="1" x14ac:dyDescent="0.2">
      <c r="A2" s="97" t="s">
        <v>54</v>
      </c>
      <c r="B2" s="97" t="s">
        <v>137</v>
      </c>
      <c r="C2" s="93" t="s">
        <v>611</v>
      </c>
      <c r="D2" s="93"/>
      <c r="E2" s="93"/>
    </row>
    <row r="3" spans="1:6" ht="22.5" customHeight="1" x14ac:dyDescent="0.2">
      <c r="A3" s="97" t="s">
        <v>57</v>
      </c>
      <c r="B3" s="97" t="s">
        <v>117</v>
      </c>
      <c r="C3" s="93" t="s">
        <v>611</v>
      </c>
      <c r="D3" s="93"/>
      <c r="E3" s="93"/>
    </row>
    <row r="4" spans="1:6" ht="22.5" customHeight="1" x14ac:dyDescent="0.2">
      <c r="A4" s="97" t="s">
        <v>18</v>
      </c>
      <c r="B4" s="98" t="s">
        <v>101</v>
      </c>
      <c r="C4" s="93" t="s">
        <v>611</v>
      </c>
      <c r="D4" s="93" t="s">
        <v>611</v>
      </c>
      <c r="E4" s="93" t="s">
        <v>611</v>
      </c>
      <c r="F4" s="93" t="s">
        <v>611</v>
      </c>
    </row>
    <row r="5" spans="1:6" ht="22.5" customHeight="1" x14ac:dyDescent="0.2">
      <c r="A5" s="97" t="s">
        <v>61</v>
      </c>
      <c r="B5" s="97" t="s">
        <v>145</v>
      </c>
      <c r="C5" s="93" t="s">
        <v>611</v>
      </c>
      <c r="D5" s="93"/>
      <c r="E5" s="93"/>
    </row>
    <row r="6" spans="1:6" ht="22.5" customHeight="1" x14ac:dyDescent="0.2">
      <c r="A6" s="99" t="s">
        <v>800</v>
      </c>
      <c r="B6" s="99" t="s">
        <v>609</v>
      </c>
      <c r="C6" s="93"/>
      <c r="D6" s="93"/>
      <c r="E6" s="93"/>
    </row>
    <row r="7" spans="1:6" ht="22.5" customHeight="1" x14ac:dyDescent="0.2">
      <c r="A7" s="97" t="s">
        <v>20</v>
      </c>
      <c r="B7" s="97" t="s">
        <v>103</v>
      </c>
      <c r="C7" s="100" t="s">
        <v>611</v>
      </c>
      <c r="D7" s="100" t="s">
        <v>611</v>
      </c>
      <c r="E7" s="100" t="s">
        <v>611</v>
      </c>
      <c r="F7" s="93" t="s">
        <v>611</v>
      </c>
    </row>
    <row r="8" spans="1:6" ht="22.5" customHeight="1" x14ac:dyDescent="0.2">
      <c r="A8" s="99" t="s">
        <v>292</v>
      </c>
      <c r="B8" s="99" t="s">
        <v>801</v>
      </c>
      <c r="C8" s="93"/>
      <c r="D8" s="93"/>
      <c r="E8" s="93"/>
    </row>
    <row r="9" spans="1:6" ht="22.5" customHeight="1" x14ac:dyDescent="0.2">
      <c r="A9" s="97" t="s">
        <v>21</v>
      </c>
      <c r="B9" s="97" t="s">
        <v>104</v>
      </c>
      <c r="C9" s="100" t="s">
        <v>611</v>
      </c>
      <c r="D9" s="100" t="s">
        <v>611</v>
      </c>
      <c r="E9" s="100" t="s">
        <v>611</v>
      </c>
    </row>
    <row r="10" spans="1:6" ht="22.5" customHeight="1" x14ac:dyDescent="0.2">
      <c r="A10" s="97" t="s">
        <v>22</v>
      </c>
      <c r="B10" s="97" t="s">
        <v>105</v>
      </c>
      <c r="C10" s="100" t="s">
        <v>611</v>
      </c>
      <c r="D10" s="100" t="s">
        <v>611</v>
      </c>
      <c r="E10" s="100" t="s">
        <v>611</v>
      </c>
    </row>
    <row r="11" spans="1:6" ht="22.5" customHeight="1" x14ac:dyDescent="0.2">
      <c r="A11" s="97" t="s">
        <v>67</v>
      </c>
      <c r="B11" s="97" t="s">
        <v>148</v>
      </c>
      <c r="C11" s="100" t="s">
        <v>611</v>
      </c>
      <c r="D11" s="100"/>
      <c r="E11" s="100"/>
    </row>
    <row r="12" spans="1:6" ht="22.5" customHeight="1" x14ac:dyDescent="0.2">
      <c r="A12" s="97" t="s">
        <v>69</v>
      </c>
      <c r="B12" s="97" t="s">
        <v>149</v>
      </c>
      <c r="C12" s="100" t="s">
        <v>611</v>
      </c>
      <c r="D12" s="93"/>
      <c r="E12" s="93"/>
    </row>
    <row r="13" spans="1:6" ht="22.5" customHeight="1" x14ac:dyDescent="0.2">
      <c r="A13" s="97" t="s">
        <v>73</v>
      </c>
      <c r="B13" s="97" t="s">
        <v>802</v>
      </c>
      <c r="C13" s="100" t="s">
        <v>611</v>
      </c>
      <c r="D13" s="93"/>
      <c r="E13" s="93"/>
    </row>
    <row r="14" spans="1:6" ht="22.5" customHeight="1" x14ac:dyDescent="0.2">
      <c r="A14" s="97" t="s">
        <v>76</v>
      </c>
      <c r="B14" s="97" t="s">
        <v>155</v>
      </c>
      <c r="C14" s="100" t="s">
        <v>611</v>
      </c>
      <c r="D14" s="93"/>
      <c r="E14" s="93"/>
    </row>
    <row r="15" spans="1:6" ht="22.5" customHeight="1" x14ac:dyDescent="0.2">
      <c r="A15" s="99" t="s">
        <v>299</v>
      </c>
      <c r="B15" s="99" t="s">
        <v>803</v>
      </c>
      <c r="C15" s="93"/>
      <c r="D15" s="93"/>
      <c r="E15" s="93"/>
    </row>
    <row r="16" spans="1:6" ht="22.5" customHeight="1" x14ac:dyDescent="0.2">
      <c r="A16" s="97" t="s">
        <v>78</v>
      </c>
      <c r="B16" s="97" t="s">
        <v>804</v>
      </c>
      <c r="C16" s="93" t="s">
        <v>611</v>
      </c>
      <c r="D16" s="93"/>
      <c r="E16" s="93"/>
    </row>
    <row r="17" spans="1:5" ht="22.5" customHeight="1" x14ac:dyDescent="0.2">
      <c r="A17" s="99" t="s">
        <v>304</v>
      </c>
      <c r="B17" s="99" t="s">
        <v>805</v>
      </c>
      <c r="C17" s="93"/>
      <c r="D17" s="93"/>
      <c r="E17" s="93"/>
    </row>
    <row r="18" spans="1:5" ht="22.5" customHeight="1" x14ac:dyDescent="0.2">
      <c r="A18" s="99" t="s">
        <v>307</v>
      </c>
      <c r="B18" s="99" t="s">
        <v>806</v>
      </c>
      <c r="C18" s="93"/>
      <c r="D18" s="93"/>
      <c r="E18" s="93"/>
    </row>
    <row r="19" spans="1:5" ht="22.5" customHeight="1" x14ac:dyDescent="0.2">
      <c r="A19" s="99" t="s">
        <v>310</v>
      </c>
      <c r="B19" s="99" t="s">
        <v>807</v>
      </c>
      <c r="C19" s="93"/>
      <c r="D19" s="93"/>
      <c r="E19" s="93"/>
    </row>
    <row r="20" spans="1:5" ht="22.5" customHeight="1" x14ac:dyDescent="0.2">
      <c r="A20" s="99" t="s">
        <v>808</v>
      </c>
      <c r="B20" s="99" t="s">
        <v>809</v>
      </c>
      <c r="C20" s="93"/>
      <c r="D20" s="93"/>
      <c r="E20" s="93"/>
    </row>
    <row r="21" spans="1:5" ht="22.5" customHeight="1" x14ac:dyDescent="0.2">
      <c r="A21" s="99" t="s">
        <v>810</v>
      </c>
      <c r="B21" s="99" t="s">
        <v>811</v>
      </c>
      <c r="C21" s="93"/>
      <c r="D21" s="93"/>
      <c r="E21" s="93"/>
    </row>
    <row r="22" spans="1:5" ht="22.5" customHeight="1" x14ac:dyDescent="0.2">
      <c r="A22" s="99" t="s">
        <v>812</v>
      </c>
      <c r="B22" s="99" t="s">
        <v>813</v>
      </c>
      <c r="C22" s="93"/>
      <c r="D22" s="93"/>
      <c r="E22" s="93"/>
    </row>
    <row r="23" spans="1:5" ht="22.5" customHeight="1" x14ac:dyDescent="0.2">
      <c r="A23" s="99" t="s">
        <v>814</v>
      </c>
      <c r="B23" s="99" t="s">
        <v>815</v>
      </c>
      <c r="C23" s="93"/>
      <c r="D23" s="93"/>
      <c r="E23" s="93"/>
    </row>
    <row r="24" spans="1:5" ht="22.5" customHeight="1" x14ac:dyDescent="0.2">
      <c r="A24" s="99" t="s">
        <v>816</v>
      </c>
      <c r="B24" s="99" t="s">
        <v>817</v>
      </c>
      <c r="C24" s="93"/>
      <c r="D24" s="93"/>
      <c r="E24" s="93"/>
    </row>
    <row r="25" spans="1:5" ht="22.5" customHeight="1" x14ac:dyDescent="0.2">
      <c r="A25" s="99" t="s">
        <v>818</v>
      </c>
      <c r="B25" s="99" t="s">
        <v>819</v>
      </c>
      <c r="C25" s="93"/>
      <c r="D25" s="93"/>
      <c r="E25" s="93"/>
    </row>
    <row r="26" spans="1:5" ht="22.5" customHeight="1" x14ac:dyDescent="0.2">
      <c r="A26" s="99" t="s">
        <v>820</v>
      </c>
      <c r="B26" s="99" t="s">
        <v>821</v>
      </c>
      <c r="C26" s="93"/>
      <c r="D26" s="93"/>
      <c r="E26" s="93"/>
    </row>
    <row r="27" spans="1:5" ht="22.5" customHeight="1" x14ac:dyDescent="0.2">
      <c r="A27" s="99" t="s">
        <v>822</v>
      </c>
      <c r="B27" s="99" t="s">
        <v>823</v>
      </c>
      <c r="C27" s="93"/>
      <c r="D27" s="93"/>
      <c r="E27" s="93"/>
    </row>
    <row r="28" spans="1:5" ht="22.5" customHeight="1" x14ac:dyDescent="0.2">
      <c r="A28" s="99" t="s">
        <v>824</v>
      </c>
      <c r="B28" s="99" t="s">
        <v>825</v>
      </c>
      <c r="C28" s="93"/>
      <c r="D28" s="93"/>
      <c r="E28" s="93"/>
    </row>
    <row r="29" spans="1:5" ht="22.5" customHeight="1" x14ac:dyDescent="0.2">
      <c r="A29" s="99" t="s">
        <v>826</v>
      </c>
      <c r="B29" s="99" t="s">
        <v>827</v>
      </c>
      <c r="C29" s="93"/>
      <c r="D29" s="93"/>
      <c r="E29" s="93"/>
    </row>
    <row r="30" spans="1:5" ht="22.5" customHeight="1" x14ac:dyDescent="0.2">
      <c r="A30" s="99" t="s">
        <v>828</v>
      </c>
      <c r="B30" s="99" t="s">
        <v>829</v>
      </c>
      <c r="C30" s="93"/>
      <c r="D30" s="93"/>
      <c r="E30" s="93"/>
    </row>
    <row r="31" spans="1:5" ht="22.5" customHeight="1" x14ac:dyDescent="0.2">
      <c r="A31" s="99" t="s">
        <v>830</v>
      </c>
      <c r="B31" s="99" t="s">
        <v>831</v>
      </c>
      <c r="C31" s="93"/>
      <c r="D31" s="93"/>
      <c r="E31" s="93"/>
    </row>
    <row r="32" spans="1:5" ht="22.5" customHeight="1" x14ac:dyDescent="0.2">
      <c r="A32" s="97" t="s">
        <v>23</v>
      </c>
      <c r="B32" s="97" t="s">
        <v>106</v>
      </c>
      <c r="C32" s="93" t="s">
        <v>611</v>
      </c>
      <c r="D32" s="93"/>
      <c r="E32" s="93"/>
    </row>
    <row r="33" spans="1:6" ht="22.5" customHeight="1" x14ac:dyDescent="0.2">
      <c r="A33" s="97" t="s">
        <v>24</v>
      </c>
      <c r="B33" s="97" t="s">
        <v>107</v>
      </c>
      <c r="C33" s="93" t="s">
        <v>611</v>
      </c>
      <c r="D33" s="93"/>
      <c r="E33" s="93"/>
    </row>
    <row r="34" spans="1:6" ht="22.5" customHeight="1" x14ac:dyDescent="0.2">
      <c r="A34" s="97" t="s">
        <v>26</v>
      </c>
      <c r="B34" s="97" t="s">
        <v>832</v>
      </c>
      <c r="C34" s="93" t="s">
        <v>611</v>
      </c>
      <c r="D34" s="93" t="s">
        <v>611</v>
      </c>
      <c r="E34" s="93" t="s">
        <v>611</v>
      </c>
      <c r="F34" s="93" t="s">
        <v>611</v>
      </c>
    </row>
    <row r="35" spans="1:6" ht="22.5" customHeight="1" x14ac:dyDescent="0.2">
      <c r="A35" s="97" t="s">
        <v>27</v>
      </c>
      <c r="B35" s="97" t="s">
        <v>833</v>
      </c>
      <c r="C35" s="93" t="s">
        <v>611</v>
      </c>
      <c r="D35" s="93" t="s">
        <v>611</v>
      </c>
      <c r="E35" s="93" t="s">
        <v>611</v>
      </c>
      <c r="F35" s="93" t="s">
        <v>611</v>
      </c>
    </row>
    <row r="36" spans="1:6" ht="22.5" customHeight="1" x14ac:dyDescent="0.2">
      <c r="A36" s="97" t="s">
        <v>28</v>
      </c>
      <c r="B36" s="97" t="s">
        <v>834</v>
      </c>
      <c r="C36" s="93" t="s">
        <v>611</v>
      </c>
      <c r="D36" s="93" t="s">
        <v>611</v>
      </c>
      <c r="E36" s="93" t="s">
        <v>611</v>
      </c>
      <c r="F36" s="93" t="s">
        <v>611</v>
      </c>
    </row>
    <row r="37" spans="1:6" ht="22.5" customHeight="1" x14ac:dyDescent="0.2">
      <c r="A37" s="97" t="s">
        <v>29</v>
      </c>
      <c r="B37" s="97" t="s">
        <v>835</v>
      </c>
      <c r="C37" s="93" t="s">
        <v>611</v>
      </c>
      <c r="D37" s="93" t="s">
        <v>611</v>
      </c>
      <c r="E37" s="93" t="s">
        <v>611</v>
      </c>
      <c r="F37" s="93" t="s">
        <v>611</v>
      </c>
    </row>
    <row r="38" spans="1:6" ht="22.5" customHeight="1" x14ac:dyDescent="0.2">
      <c r="A38" s="97" t="s">
        <v>30</v>
      </c>
      <c r="B38" s="97" t="s">
        <v>836</v>
      </c>
      <c r="C38" s="93" t="s">
        <v>611</v>
      </c>
      <c r="D38" s="93" t="s">
        <v>611</v>
      </c>
      <c r="E38" s="93" t="s">
        <v>611</v>
      </c>
      <c r="F38" s="93" t="s">
        <v>611</v>
      </c>
    </row>
    <row r="39" spans="1:6" ht="22.5" customHeight="1" x14ac:dyDescent="0.2">
      <c r="A39" s="97" t="s">
        <v>31</v>
      </c>
      <c r="B39" s="97" t="s">
        <v>837</v>
      </c>
      <c r="C39" s="93" t="s">
        <v>611</v>
      </c>
      <c r="D39" s="93" t="s">
        <v>611</v>
      </c>
      <c r="E39" s="93" t="s">
        <v>611</v>
      </c>
      <c r="F39" s="93" t="s">
        <v>611</v>
      </c>
    </row>
    <row r="40" spans="1:6" ht="22.5" customHeight="1" x14ac:dyDescent="0.2">
      <c r="A40" s="97" t="s">
        <v>32</v>
      </c>
      <c r="B40" s="97" t="s">
        <v>838</v>
      </c>
      <c r="C40" s="93" t="s">
        <v>611</v>
      </c>
      <c r="D40" s="93" t="s">
        <v>611</v>
      </c>
      <c r="E40" s="93" t="s">
        <v>611</v>
      </c>
      <c r="F40" s="93" t="s">
        <v>611</v>
      </c>
    </row>
    <row r="41" spans="1:6" ht="22.5" customHeight="1" x14ac:dyDescent="0.2">
      <c r="A41" s="97" t="s">
        <v>33</v>
      </c>
      <c r="B41" s="97" t="s">
        <v>839</v>
      </c>
      <c r="C41" s="93" t="s">
        <v>611</v>
      </c>
      <c r="D41" s="93" t="s">
        <v>611</v>
      </c>
      <c r="E41" s="93" t="s">
        <v>611</v>
      </c>
      <c r="F41" s="93" t="s">
        <v>611</v>
      </c>
    </row>
    <row r="42" spans="1:6" ht="22.5" customHeight="1" x14ac:dyDescent="0.2">
      <c r="A42" s="99" t="s">
        <v>34</v>
      </c>
      <c r="B42" s="99" t="s">
        <v>120</v>
      </c>
      <c r="C42" s="93"/>
      <c r="D42" s="93"/>
      <c r="E42" s="93"/>
      <c r="F42" s="93"/>
    </row>
    <row r="43" spans="1:6" ht="22.5" customHeight="1" x14ac:dyDescent="0.2">
      <c r="A43" s="97" t="s">
        <v>93</v>
      </c>
      <c r="B43" s="97" t="s">
        <v>176</v>
      </c>
      <c r="C43" s="93" t="s">
        <v>611</v>
      </c>
      <c r="D43" s="93" t="s">
        <v>611</v>
      </c>
      <c r="E43" s="93" t="s">
        <v>611</v>
      </c>
      <c r="F43" s="93" t="s">
        <v>611</v>
      </c>
    </row>
    <row r="44" spans="1:6" ht="22.5" customHeight="1" x14ac:dyDescent="0.2">
      <c r="A44" s="99" t="s">
        <v>840</v>
      </c>
      <c r="B44" s="99" t="s">
        <v>841</v>
      </c>
      <c r="C44" s="93"/>
      <c r="D44" s="93"/>
      <c r="E44" s="93"/>
    </row>
    <row r="45" spans="1:6" ht="22.5" customHeight="1" x14ac:dyDescent="0.2">
      <c r="A45" s="99" t="s">
        <v>842</v>
      </c>
      <c r="B45" s="99" t="s">
        <v>843</v>
      </c>
      <c r="C45" s="93"/>
      <c r="D45" s="93"/>
      <c r="E45" s="93"/>
    </row>
    <row r="46" spans="1:6" ht="22.5" customHeight="1" x14ac:dyDescent="0.2">
      <c r="A46" s="99" t="s">
        <v>844</v>
      </c>
      <c r="B46" s="99" t="s">
        <v>845</v>
      </c>
      <c r="C46" s="93"/>
      <c r="D46" s="93"/>
      <c r="E46" s="93"/>
    </row>
    <row r="47" spans="1:6" ht="22.5" customHeight="1" x14ac:dyDescent="0.2">
      <c r="A47" s="99" t="s">
        <v>846</v>
      </c>
      <c r="B47" s="99" t="s">
        <v>847</v>
      </c>
      <c r="C47" s="93"/>
      <c r="D47" s="93"/>
      <c r="E47" s="93"/>
    </row>
    <row r="48" spans="1:6" ht="22.5" customHeight="1" x14ac:dyDescent="0.2">
      <c r="A48" s="97" t="s">
        <v>36</v>
      </c>
      <c r="B48" s="97" t="s">
        <v>848</v>
      </c>
      <c r="C48" s="93"/>
      <c r="D48" s="93"/>
      <c r="E48" s="93"/>
    </row>
    <row r="49" spans="1:6" ht="22.5" customHeight="1" x14ac:dyDescent="0.2">
      <c r="A49" s="99" t="s">
        <v>600</v>
      </c>
      <c r="B49" s="99" t="s">
        <v>601</v>
      </c>
      <c r="C49" s="93"/>
      <c r="D49" s="93"/>
      <c r="E49" s="93"/>
    </row>
    <row r="50" spans="1:6" ht="22.5" customHeight="1" x14ac:dyDescent="0.2">
      <c r="A50" s="97" t="s">
        <v>37</v>
      </c>
      <c r="B50" s="97" t="s">
        <v>123</v>
      </c>
      <c r="C50" s="93" t="s">
        <v>611</v>
      </c>
      <c r="D50" s="93" t="s">
        <v>611</v>
      </c>
      <c r="E50" s="93" t="s">
        <v>611</v>
      </c>
      <c r="F50" s="93" t="s">
        <v>611</v>
      </c>
    </row>
    <row r="51" spans="1:6" ht="22.5" customHeight="1" x14ac:dyDescent="0.2">
      <c r="A51" s="99" t="s">
        <v>331</v>
      </c>
      <c r="B51" s="99" t="s">
        <v>849</v>
      </c>
      <c r="C51" s="93"/>
      <c r="D51" s="93"/>
      <c r="E51" s="93"/>
    </row>
    <row r="52" spans="1:6" ht="22.5" customHeight="1" x14ac:dyDescent="0.2">
      <c r="A52" s="97" t="s">
        <v>94</v>
      </c>
      <c r="B52" s="97" t="s">
        <v>850</v>
      </c>
      <c r="C52" s="93" t="s">
        <v>611</v>
      </c>
      <c r="D52" s="93"/>
      <c r="E52" s="93"/>
      <c r="F52" s="93"/>
    </row>
    <row r="53" spans="1:6" ht="22.5" customHeight="1" x14ac:dyDescent="0.2">
      <c r="A53" s="97" t="s">
        <v>96</v>
      </c>
      <c r="B53" s="97" t="s">
        <v>851</v>
      </c>
      <c r="C53" s="93" t="s">
        <v>611</v>
      </c>
      <c r="D53" s="93"/>
      <c r="E53" s="93"/>
      <c r="F53" s="93"/>
    </row>
    <row r="54" spans="1:6" ht="22.5" customHeight="1" x14ac:dyDescent="0.2">
      <c r="A54" s="99" t="s">
        <v>852</v>
      </c>
      <c r="B54" s="99" t="s">
        <v>853</v>
      </c>
      <c r="C54" s="93"/>
      <c r="D54" s="93"/>
      <c r="E54" s="93"/>
    </row>
    <row r="55" spans="1:6" ht="22.5" customHeight="1" x14ac:dyDescent="0.2">
      <c r="A55" s="99" t="s">
        <v>854</v>
      </c>
      <c r="B55" s="99" t="s">
        <v>855</v>
      </c>
      <c r="C55" s="93"/>
      <c r="D55" s="93"/>
      <c r="E55" s="93"/>
    </row>
    <row r="56" spans="1:6" ht="22.5" customHeight="1" x14ac:dyDescent="0.2">
      <c r="A56" s="99" t="s">
        <v>856</v>
      </c>
      <c r="B56" s="99" t="s">
        <v>857</v>
      </c>
      <c r="C56" s="93"/>
      <c r="D56" s="93"/>
      <c r="E56" s="93"/>
    </row>
    <row r="57" spans="1:6" ht="22.5" customHeight="1" x14ac:dyDescent="0.2">
      <c r="A57" s="99" t="s">
        <v>858</v>
      </c>
      <c r="B57" s="99" t="s">
        <v>859</v>
      </c>
      <c r="C57" s="93"/>
      <c r="D57" s="93"/>
      <c r="E57" s="93"/>
    </row>
    <row r="58" spans="1:6" ht="22.5" customHeight="1" x14ac:dyDescent="0.2">
      <c r="A58" s="99" t="s">
        <v>860</v>
      </c>
      <c r="B58" s="99" t="s">
        <v>861</v>
      </c>
      <c r="C58" s="93"/>
      <c r="D58" s="93"/>
      <c r="E58" s="93"/>
    </row>
    <row r="59" spans="1:6" ht="22.5" customHeight="1" x14ac:dyDescent="0.2">
      <c r="A59" s="99" t="s">
        <v>862</v>
      </c>
      <c r="B59" s="99" t="s">
        <v>863</v>
      </c>
      <c r="C59" s="93"/>
      <c r="D59" s="93"/>
      <c r="E59" s="93"/>
    </row>
    <row r="60" spans="1:6" ht="22.5" customHeight="1" x14ac:dyDescent="0.2">
      <c r="A60" s="99" t="s">
        <v>864</v>
      </c>
      <c r="B60" s="99" t="s">
        <v>865</v>
      </c>
      <c r="C60" s="93"/>
      <c r="D60" s="93"/>
      <c r="E60" s="93"/>
    </row>
    <row r="61" spans="1:6" ht="22.5" customHeight="1" x14ac:dyDescent="0.2">
      <c r="A61" s="99" t="s">
        <v>866</v>
      </c>
      <c r="B61" s="99" t="s">
        <v>867</v>
      </c>
      <c r="C61" s="93"/>
      <c r="D61" s="93"/>
      <c r="E61" s="93"/>
    </row>
    <row r="62" spans="1:6" ht="22.5" customHeight="1" x14ac:dyDescent="0.2">
      <c r="A62" s="99" t="s">
        <v>868</v>
      </c>
      <c r="B62" s="99" t="s">
        <v>869</v>
      </c>
      <c r="C62" s="93"/>
      <c r="D62" s="93"/>
      <c r="E62" s="93"/>
    </row>
    <row r="63" spans="1:6" ht="22.5" customHeight="1" x14ac:dyDescent="0.2">
      <c r="A63" s="99" t="s">
        <v>870</v>
      </c>
      <c r="B63" s="99" t="s">
        <v>871</v>
      </c>
      <c r="C63" s="93"/>
      <c r="D63" s="93"/>
      <c r="E63" s="93"/>
    </row>
    <row r="64" spans="1:6" ht="22.5" customHeight="1" x14ac:dyDescent="0.2">
      <c r="A64" s="99" t="s">
        <v>872</v>
      </c>
      <c r="B64" s="99" t="s">
        <v>873</v>
      </c>
      <c r="C64" s="93"/>
      <c r="D64" s="93"/>
      <c r="E64" s="93"/>
    </row>
    <row r="65" spans="1:5" ht="22.5" customHeight="1" x14ac:dyDescent="0.2">
      <c r="A65" s="99" t="s">
        <v>874</v>
      </c>
      <c r="B65" s="99" t="s">
        <v>875</v>
      </c>
      <c r="C65" s="93"/>
      <c r="D65" s="93"/>
      <c r="E65" s="93"/>
    </row>
    <row r="66" spans="1:5" ht="22.5" customHeight="1" x14ac:dyDescent="0.2">
      <c r="A66" s="99" t="s">
        <v>876</v>
      </c>
      <c r="B66" s="99" t="s">
        <v>877</v>
      </c>
      <c r="C66" s="93"/>
      <c r="D66" s="93"/>
      <c r="E66" s="93"/>
    </row>
    <row r="67" spans="1:5" ht="22.5" customHeight="1" x14ac:dyDescent="0.2">
      <c r="A67" s="99" t="s">
        <v>878</v>
      </c>
      <c r="B67" s="99" t="s">
        <v>879</v>
      </c>
      <c r="C67" s="93"/>
      <c r="D67" s="93"/>
      <c r="E67" s="93"/>
    </row>
    <row r="68" spans="1:5" ht="22.5" customHeight="1" x14ac:dyDescent="0.2">
      <c r="A68" s="99" t="s">
        <v>880</v>
      </c>
      <c r="B68" s="99" t="s">
        <v>881</v>
      </c>
      <c r="C68" s="93"/>
      <c r="D68" s="93"/>
      <c r="E68" s="93"/>
    </row>
    <row r="69" spans="1:5" ht="22.5" customHeight="1" x14ac:dyDescent="0.2">
      <c r="A69" s="99" t="s">
        <v>882</v>
      </c>
      <c r="B69" s="99" t="s">
        <v>883</v>
      </c>
      <c r="C69" s="93"/>
      <c r="D69" s="93"/>
      <c r="E69" s="93"/>
    </row>
    <row r="70" spans="1:5" ht="22.5" customHeight="1" x14ac:dyDescent="0.2">
      <c r="A70" s="99" t="s">
        <v>884</v>
      </c>
      <c r="B70" s="99" t="s">
        <v>885</v>
      </c>
      <c r="C70" s="93"/>
      <c r="D70" s="93"/>
      <c r="E70" s="93"/>
    </row>
    <row r="71" spans="1:5" ht="22.5" customHeight="1" x14ac:dyDescent="0.2">
      <c r="A71" s="99" t="s">
        <v>886</v>
      </c>
      <c r="B71" s="99" t="s">
        <v>887</v>
      </c>
      <c r="C71" s="93"/>
      <c r="D71" s="93"/>
      <c r="E71" s="93"/>
    </row>
    <row r="72" spans="1:5" ht="22.5" customHeight="1" x14ac:dyDescent="0.2">
      <c r="A72" s="99" t="s">
        <v>888</v>
      </c>
      <c r="B72" s="99" t="s">
        <v>889</v>
      </c>
      <c r="C72" s="93"/>
      <c r="D72" s="93"/>
      <c r="E72" s="93"/>
    </row>
    <row r="73" spans="1:5" ht="22.5" customHeight="1" x14ac:dyDescent="0.2">
      <c r="A73" s="99" t="s">
        <v>890</v>
      </c>
      <c r="B73" s="99" t="s">
        <v>891</v>
      </c>
      <c r="C73" s="93"/>
      <c r="D73" s="93"/>
      <c r="E73" s="93"/>
    </row>
    <row r="74" spans="1:5" ht="22.5" customHeight="1" x14ac:dyDescent="0.2">
      <c r="A74" s="97" t="s">
        <v>39</v>
      </c>
      <c r="B74" s="97" t="s">
        <v>892</v>
      </c>
      <c r="C74" s="93" t="s">
        <v>611</v>
      </c>
      <c r="D74" s="93" t="s">
        <v>611</v>
      </c>
      <c r="E74" s="93" t="s">
        <v>611</v>
      </c>
    </row>
    <row r="75" spans="1:5" ht="22.5" customHeight="1" x14ac:dyDescent="0.2">
      <c r="A75" s="99" t="s">
        <v>893</v>
      </c>
      <c r="B75" s="99" t="s">
        <v>894</v>
      </c>
      <c r="C75" s="93"/>
      <c r="D75" s="93"/>
      <c r="E75" s="93"/>
    </row>
    <row r="76" spans="1:5" ht="22.5" customHeight="1" x14ac:dyDescent="0.2">
      <c r="A76" s="97" t="s">
        <v>40</v>
      </c>
      <c r="B76" s="97" t="s">
        <v>895</v>
      </c>
      <c r="C76" s="93" t="s">
        <v>611</v>
      </c>
      <c r="D76" s="93" t="s">
        <v>611</v>
      </c>
      <c r="E76" s="93" t="s">
        <v>611</v>
      </c>
    </row>
    <row r="77" spans="1:5" ht="22.5" customHeight="1" x14ac:dyDescent="0.2">
      <c r="A77" s="99" t="s">
        <v>896</v>
      </c>
      <c r="B77" s="99" t="s">
        <v>897</v>
      </c>
      <c r="C77" s="93"/>
      <c r="D77" s="93"/>
      <c r="E77" s="93"/>
    </row>
    <row r="78" spans="1:5" ht="22.5" customHeight="1" x14ac:dyDescent="0.2">
      <c r="A78" s="97" t="s">
        <v>41</v>
      </c>
      <c r="B78" s="97" t="s">
        <v>898</v>
      </c>
      <c r="C78" s="93" t="s">
        <v>611</v>
      </c>
      <c r="D78" s="93" t="s">
        <v>611</v>
      </c>
      <c r="E78" s="93" t="s">
        <v>611</v>
      </c>
    </row>
    <row r="79" spans="1:5" ht="22.5" customHeight="1" x14ac:dyDescent="0.2">
      <c r="A79" s="99" t="s">
        <v>899</v>
      </c>
      <c r="B79" s="99" t="s">
        <v>900</v>
      </c>
      <c r="C79" s="93"/>
      <c r="D79" s="93"/>
      <c r="E79" s="93"/>
    </row>
    <row r="80" spans="1:5" ht="22.5" customHeight="1" x14ac:dyDescent="0.2">
      <c r="A80" s="99" t="s">
        <v>350</v>
      </c>
      <c r="B80" s="99" t="s">
        <v>901</v>
      </c>
      <c r="C80" s="93"/>
      <c r="D80" s="93"/>
      <c r="E80" s="93"/>
    </row>
    <row r="81" spans="1:5" ht="22.5" customHeight="1" x14ac:dyDescent="0.2">
      <c r="A81" s="97" t="s">
        <v>42</v>
      </c>
      <c r="B81" s="97" t="s">
        <v>128</v>
      </c>
      <c r="C81" s="93" t="s">
        <v>611</v>
      </c>
      <c r="D81" s="93" t="s">
        <v>611</v>
      </c>
      <c r="E81" s="93" t="s">
        <v>611</v>
      </c>
    </row>
    <row r="82" spans="1:5" ht="22.5" customHeight="1" x14ac:dyDescent="0.2">
      <c r="A82" s="97" t="s">
        <v>43</v>
      </c>
      <c r="B82" s="97" t="s">
        <v>129</v>
      </c>
      <c r="C82" s="93" t="s">
        <v>611</v>
      </c>
      <c r="D82" s="93" t="s">
        <v>611</v>
      </c>
      <c r="E82" s="93" t="s">
        <v>611</v>
      </c>
    </row>
    <row r="83" spans="1:5" ht="22.5" customHeight="1" x14ac:dyDescent="0.2">
      <c r="A83" s="97" t="s">
        <v>110</v>
      </c>
      <c r="B83" s="97" t="s">
        <v>197</v>
      </c>
      <c r="C83" s="93" t="s">
        <v>611</v>
      </c>
      <c r="D83" s="93"/>
      <c r="E83" s="93"/>
    </row>
    <row r="84" spans="1:5" ht="22.5" customHeight="1" x14ac:dyDescent="0.2">
      <c r="A84" s="97" t="s">
        <v>111</v>
      </c>
      <c r="B84" s="97" t="s">
        <v>902</v>
      </c>
      <c r="C84" s="93" t="s">
        <v>611</v>
      </c>
      <c r="D84" s="93"/>
      <c r="E84" s="93"/>
    </row>
    <row r="85" spans="1:5" ht="22.5" customHeight="1" x14ac:dyDescent="0.2">
      <c r="A85" s="97" t="s">
        <v>44</v>
      </c>
      <c r="B85" s="97" t="s">
        <v>130</v>
      </c>
      <c r="C85" s="93" t="s">
        <v>611</v>
      </c>
      <c r="D85" s="93" t="s">
        <v>611</v>
      </c>
      <c r="E85" s="93" t="s">
        <v>611</v>
      </c>
    </row>
    <row r="86" spans="1:5" ht="22.5" customHeight="1" x14ac:dyDescent="0.2">
      <c r="A86" s="99" t="s">
        <v>903</v>
      </c>
      <c r="B86" s="99" t="s">
        <v>904</v>
      </c>
      <c r="C86" s="93"/>
      <c r="D86" s="93"/>
      <c r="E86" s="93"/>
    </row>
    <row r="87" spans="1:5" ht="22.5" customHeight="1" x14ac:dyDescent="0.2">
      <c r="A87" s="97" t="s">
        <v>45</v>
      </c>
      <c r="B87" s="97" t="s">
        <v>131</v>
      </c>
      <c r="C87" s="93" t="s">
        <v>611</v>
      </c>
      <c r="D87" s="93" t="s">
        <v>611</v>
      </c>
      <c r="E87" s="93" t="s">
        <v>611</v>
      </c>
    </row>
    <row r="88" spans="1:5" ht="22.5" customHeight="1" x14ac:dyDescent="0.2">
      <c r="A88" s="99" t="s">
        <v>905</v>
      </c>
      <c r="B88" s="99" t="s">
        <v>906</v>
      </c>
      <c r="C88" s="93"/>
      <c r="D88" s="93"/>
      <c r="E88" s="93"/>
    </row>
    <row r="89" spans="1:5" ht="22.5" customHeight="1" x14ac:dyDescent="0.2">
      <c r="A89" s="97" t="s">
        <v>46</v>
      </c>
      <c r="B89" s="97" t="s">
        <v>132</v>
      </c>
      <c r="C89" s="93" t="s">
        <v>611</v>
      </c>
      <c r="D89" s="93" t="s">
        <v>611</v>
      </c>
      <c r="E89" s="93" t="s">
        <v>611</v>
      </c>
    </row>
    <row r="90" spans="1:5" ht="22.5" customHeight="1" x14ac:dyDescent="0.2">
      <c r="A90" s="99" t="s">
        <v>907</v>
      </c>
      <c r="B90" s="99" t="s">
        <v>908</v>
      </c>
      <c r="C90" s="93"/>
      <c r="D90" s="93"/>
      <c r="E90" s="93"/>
    </row>
    <row r="91" spans="1:5" ht="22.5" customHeight="1" x14ac:dyDescent="0.2">
      <c r="A91" s="97" t="s">
        <v>47</v>
      </c>
      <c r="B91" s="97" t="s">
        <v>133</v>
      </c>
      <c r="C91" s="93" t="s">
        <v>611</v>
      </c>
      <c r="D91" s="93" t="s">
        <v>611</v>
      </c>
      <c r="E91" s="93" t="s">
        <v>611</v>
      </c>
    </row>
    <row r="92" spans="1:5" ht="22.5" customHeight="1" x14ac:dyDescent="0.2">
      <c r="A92" s="99" t="s">
        <v>909</v>
      </c>
      <c r="B92" s="99" t="s">
        <v>910</v>
      </c>
      <c r="C92" s="93"/>
      <c r="D92" s="93"/>
      <c r="E92" s="93"/>
    </row>
    <row r="93" spans="1:5" ht="22.5" customHeight="1" x14ac:dyDescent="0.2">
      <c r="A93" s="101" t="s">
        <v>50</v>
      </c>
      <c r="B93" s="101" t="s">
        <v>911</v>
      </c>
      <c r="C93" s="93" t="s">
        <v>611</v>
      </c>
      <c r="D93" s="93" t="s">
        <v>611</v>
      </c>
      <c r="E93" s="93" t="s">
        <v>611</v>
      </c>
    </row>
    <row r="94" spans="1:5" ht="22.5" customHeight="1" x14ac:dyDescent="0.2">
      <c r="A94" s="97" t="s">
        <v>48</v>
      </c>
      <c r="B94" s="97" t="s">
        <v>134</v>
      </c>
      <c r="C94" s="93" t="s">
        <v>611</v>
      </c>
      <c r="D94" s="93" t="s">
        <v>611</v>
      </c>
      <c r="E94" s="93" t="s">
        <v>611</v>
      </c>
    </row>
    <row r="95" spans="1:5" ht="22.5" customHeight="1" x14ac:dyDescent="0.2">
      <c r="A95" s="99" t="s">
        <v>912</v>
      </c>
      <c r="B95" s="99" t="s">
        <v>913</v>
      </c>
      <c r="C95" s="93"/>
      <c r="D95" s="93"/>
      <c r="E95" s="93"/>
    </row>
    <row r="96" spans="1:5" ht="22.5" customHeight="1" x14ac:dyDescent="0.2">
      <c r="A96" s="97" t="s">
        <v>914</v>
      </c>
      <c r="B96" s="97" t="s">
        <v>135</v>
      </c>
      <c r="C96" s="93" t="s">
        <v>611</v>
      </c>
      <c r="D96" s="93" t="s">
        <v>611</v>
      </c>
      <c r="E96" s="93" t="s">
        <v>611</v>
      </c>
    </row>
    <row r="97" spans="1:5" ht="22.5" customHeight="1" x14ac:dyDescent="0.2">
      <c r="A97" s="99" t="s">
        <v>915</v>
      </c>
      <c r="B97" s="99" t="s">
        <v>916</v>
      </c>
      <c r="C97" s="93"/>
      <c r="D97" s="93"/>
      <c r="E97" s="93"/>
    </row>
    <row r="98" spans="1:5" ht="22.5" customHeight="1" x14ac:dyDescent="0.2">
      <c r="A98" s="97" t="s">
        <v>917</v>
      </c>
      <c r="B98" s="97" t="s">
        <v>918</v>
      </c>
      <c r="C98" s="93" t="s">
        <v>611</v>
      </c>
      <c r="D98" s="93" t="s">
        <v>611</v>
      </c>
      <c r="E98" s="93" t="s">
        <v>611</v>
      </c>
    </row>
    <row r="99" spans="1:5" ht="22.5" customHeight="1" x14ac:dyDescent="0.2">
      <c r="A99" s="99" t="s">
        <v>375</v>
      </c>
      <c r="B99" s="99" t="s">
        <v>919</v>
      </c>
      <c r="C99" s="93"/>
      <c r="D99" s="93"/>
      <c r="E99" s="93"/>
    </row>
    <row r="100" spans="1:5" ht="22.5" customHeight="1" x14ac:dyDescent="0.2">
      <c r="A100" s="99" t="s">
        <v>920</v>
      </c>
      <c r="B100" s="99" t="s">
        <v>921</v>
      </c>
      <c r="C100" s="93"/>
      <c r="D100" s="93"/>
      <c r="E100" s="93"/>
    </row>
    <row r="101" spans="1:5" ht="22.5" customHeight="1" x14ac:dyDescent="0.2">
      <c r="A101" s="99" t="s">
        <v>922</v>
      </c>
      <c r="B101" s="99" t="s">
        <v>923</v>
      </c>
      <c r="C101" s="93"/>
      <c r="D101" s="93"/>
      <c r="E101" s="93"/>
    </row>
    <row r="102" spans="1:5" ht="22.5" customHeight="1" x14ac:dyDescent="0.2">
      <c r="A102" s="99" t="s">
        <v>924</v>
      </c>
      <c r="B102" s="99" t="s">
        <v>925</v>
      </c>
      <c r="C102" s="93"/>
      <c r="D102" s="93"/>
      <c r="E102" s="93"/>
    </row>
    <row r="103" spans="1:5" ht="22.5" customHeight="1" x14ac:dyDescent="0.2">
      <c r="A103" s="99" t="s">
        <v>926</v>
      </c>
      <c r="B103" s="99" t="s">
        <v>927</v>
      </c>
      <c r="C103" s="93"/>
      <c r="D103" s="93"/>
      <c r="E103" s="93"/>
    </row>
    <row r="104" spans="1:5" ht="22.5" customHeight="1" x14ac:dyDescent="0.2">
      <c r="A104" s="97" t="s">
        <v>928</v>
      </c>
      <c r="B104" s="97" t="s">
        <v>929</v>
      </c>
      <c r="C104" s="93" t="s">
        <v>611</v>
      </c>
      <c r="D104" s="93" t="s">
        <v>611</v>
      </c>
      <c r="E104" s="93" t="s">
        <v>611</v>
      </c>
    </row>
    <row r="105" spans="1:5" ht="22.5" customHeight="1" x14ac:dyDescent="0.2">
      <c r="A105" s="99" t="s">
        <v>930</v>
      </c>
      <c r="B105" s="99" t="s">
        <v>931</v>
      </c>
      <c r="C105" s="93"/>
      <c r="D105" s="93"/>
      <c r="E105" s="93"/>
    </row>
    <row r="106" spans="1:5" ht="22.5" customHeight="1" x14ac:dyDescent="0.2">
      <c r="A106" s="97" t="s">
        <v>99</v>
      </c>
      <c r="B106" s="97" t="s">
        <v>932</v>
      </c>
      <c r="C106" s="93" t="s">
        <v>611</v>
      </c>
      <c r="D106" s="93"/>
      <c r="E106" s="93"/>
    </row>
    <row r="107" spans="1:5" ht="22.5" customHeight="1" x14ac:dyDescent="0.2">
      <c r="A107" s="97" t="s">
        <v>58</v>
      </c>
      <c r="B107" s="97" t="s">
        <v>933</v>
      </c>
      <c r="C107" s="93" t="s">
        <v>611</v>
      </c>
      <c r="D107" s="93" t="s">
        <v>611</v>
      </c>
      <c r="E107" s="93" t="s">
        <v>611</v>
      </c>
    </row>
    <row r="108" spans="1:5" ht="22.5" customHeight="1" x14ac:dyDescent="0.2">
      <c r="A108" s="97" t="s">
        <v>60</v>
      </c>
      <c r="B108" s="97" t="s">
        <v>934</v>
      </c>
      <c r="C108" s="93" t="s">
        <v>611</v>
      </c>
      <c r="D108" s="93" t="s">
        <v>611</v>
      </c>
      <c r="E108" s="93" t="s">
        <v>611</v>
      </c>
    </row>
    <row r="109" spans="1:5" ht="22.5" customHeight="1" x14ac:dyDescent="0.2">
      <c r="A109" s="97" t="s">
        <v>62</v>
      </c>
      <c r="B109" s="97" t="s">
        <v>935</v>
      </c>
      <c r="C109" s="93" t="s">
        <v>611</v>
      </c>
      <c r="D109" s="93" t="s">
        <v>611</v>
      </c>
      <c r="E109" s="93" t="s">
        <v>611</v>
      </c>
    </row>
    <row r="110" spans="1:5" ht="22.5" customHeight="1" x14ac:dyDescent="0.2">
      <c r="A110" s="97" t="s">
        <v>63</v>
      </c>
      <c r="B110" s="97" t="s">
        <v>936</v>
      </c>
      <c r="C110" s="93" t="s">
        <v>611</v>
      </c>
      <c r="D110" s="93" t="s">
        <v>611</v>
      </c>
      <c r="E110" s="93" t="s">
        <v>611</v>
      </c>
    </row>
    <row r="111" spans="1:5" ht="22.5" customHeight="1" x14ac:dyDescent="0.2">
      <c r="A111" s="97" t="s">
        <v>64</v>
      </c>
      <c r="B111" s="97" t="s">
        <v>147</v>
      </c>
      <c r="C111" s="93" t="s">
        <v>611</v>
      </c>
      <c r="D111" s="93" t="s">
        <v>611</v>
      </c>
      <c r="E111" s="93" t="s">
        <v>611</v>
      </c>
    </row>
    <row r="112" spans="1:5" ht="22.5" customHeight="1" x14ac:dyDescent="0.2">
      <c r="A112" s="97" t="s">
        <v>65</v>
      </c>
      <c r="B112" s="97" t="s">
        <v>937</v>
      </c>
      <c r="C112" s="93" t="s">
        <v>611</v>
      </c>
      <c r="D112" s="93" t="s">
        <v>611</v>
      </c>
      <c r="E112" s="93" t="s">
        <v>611</v>
      </c>
    </row>
    <row r="113" spans="1:5" ht="22.5" customHeight="1" x14ac:dyDescent="0.2">
      <c r="A113" s="97" t="s">
        <v>66</v>
      </c>
      <c r="B113" s="97" t="s">
        <v>938</v>
      </c>
      <c r="C113" s="93" t="s">
        <v>611</v>
      </c>
      <c r="D113" s="93" t="s">
        <v>611</v>
      </c>
      <c r="E113" s="93" t="s">
        <v>611</v>
      </c>
    </row>
    <row r="114" spans="1:5" ht="22.5" customHeight="1" x14ac:dyDescent="0.2">
      <c r="A114" s="97" t="s">
        <v>68</v>
      </c>
      <c r="B114" s="97" t="s">
        <v>939</v>
      </c>
      <c r="C114" s="93" t="s">
        <v>611</v>
      </c>
      <c r="D114" s="93" t="s">
        <v>611</v>
      </c>
      <c r="E114" s="93" t="s">
        <v>611</v>
      </c>
    </row>
    <row r="115" spans="1:5" ht="22.5" customHeight="1" x14ac:dyDescent="0.2">
      <c r="A115" s="97" t="s">
        <v>70</v>
      </c>
      <c r="B115" s="97" t="s">
        <v>940</v>
      </c>
      <c r="C115" s="93" t="s">
        <v>611</v>
      </c>
      <c r="D115" s="93" t="s">
        <v>611</v>
      </c>
      <c r="E115" s="93" t="s">
        <v>611</v>
      </c>
    </row>
    <row r="116" spans="1:5" ht="22.5" customHeight="1" x14ac:dyDescent="0.2">
      <c r="A116" s="97" t="s">
        <v>71</v>
      </c>
      <c r="B116" s="97" t="s">
        <v>941</v>
      </c>
      <c r="C116" s="93" t="s">
        <v>611</v>
      </c>
      <c r="D116" s="93" t="s">
        <v>611</v>
      </c>
      <c r="E116" s="93" t="s">
        <v>611</v>
      </c>
    </row>
    <row r="117" spans="1:5" ht="22.5" customHeight="1" x14ac:dyDescent="0.2">
      <c r="A117" s="97" t="s">
        <v>72</v>
      </c>
      <c r="B117" s="97" t="s">
        <v>942</v>
      </c>
      <c r="C117" s="93" t="s">
        <v>611</v>
      </c>
      <c r="D117" s="93" t="s">
        <v>611</v>
      </c>
      <c r="E117" s="93" t="s">
        <v>611</v>
      </c>
    </row>
    <row r="118" spans="1:5" ht="22.5" customHeight="1" x14ac:dyDescent="0.2">
      <c r="A118" s="97" t="s">
        <v>75</v>
      </c>
      <c r="B118" s="97" t="s">
        <v>943</v>
      </c>
      <c r="C118" s="93" t="s">
        <v>611</v>
      </c>
      <c r="D118" s="93" t="s">
        <v>611</v>
      </c>
      <c r="E118" s="93" t="s">
        <v>611</v>
      </c>
    </row>
    <row r="119" spans="1:5" ht="22.5" customHeight="1" x14ac:dyDescent="0.2">
      <c r="A119" s="97" t="s">
        <v>77</v>
      </c>
      <c r="B119" s="97" t="s">
        <v>944</v>
      </c>
      <c r="C119" s="93" t="s">
        <v>611</v>
      </c>
      <c r="D119" s="93" t="s">
        <v>611</v>
      </c>
      <c r="E119" s="93" t="s">
        <v>611</v>
      </c>
    </row>
    <row r="120" spans="1:5" ht="22.5" customHeight="1" x14ac:dyDescent="0.2">
      <c r="A120" s="97" t="s">
        <v>79</v>
      </c>
      <c r="B120" s="97" t="s">
        <v>945</v>
      </c>
      <c r="C120" s="93" t="s">
        <v>611</v>
      </c>
      <c r="D120" s="93" t="s">
        <v>611</v>
      </c>
      <c r="E120" s="93" t="s">
        <v>611</v>
      </c>
    </row>
    <row r="121" spans="1:5" ht="22.5" customHeight="1" x14ac:dyDescent="0.2">
      <c r="A121" s="97" t="s">
        <v>80</v>
      </c>
      <c r="B121" s="97" t="s">
        <v>946</v>
      </c>
      <c r="C121" s="93" t="s">
        <v>611</v>
      </c>
      <c r="D121" s="93" t="s">
        <v>611</v>
      </c>
      <c r="E121" s="93" t="s">
        <v>611</v>
      </c>
    </row>
    <row r="122" spans="1:5" ht="22.5" customHeight="1" x14ac:dyDescent="0.2">
      <c r="A122" s="97" t="s">
        <v>81</v>
      </c>
      <c r="B122" s="97" t="s">
        <v>947</v>
      </c>
      <c r="C122" s="93" t="s">
        <v>611</v>
      </c>
      <c r="D122" s="93" t="s">
        <v>611</v>
      </c>
      <c r="E122" s="93" t="s">
        <v>611</v>
      </c>
    </row>
    <row r="123" spans="1:5" ht="22.5" customHeight="1" x14ac:dyDescent="0.2">
      <c r="A123" s="97" t="s">
        <v>83</v>
      </c>
      <c r="B123" s="97" t="s">
        <v>948</v>
      </c>
      <c r="C123" s="93" t="s">
        <v>611</v>
      </c>
      <c r="D123" s="93" t="s">
        <v>611</v>
      </c>
      <c r="E123" s="93" t="s">
        <v>611</v>
      </c>
    </row>
    <row r="124" spans="1:5" ht="22.5" customHeight="1" x14ac:dyDescent="0.2">
      <c r="A124" s="97" t="s">
        <v>84</v>
      </c>
      <c r="B124" s="97" t="s">
        <v>949</v>
      </c>
      <c r="C124" s="93" t="s">
        <v>611</v>
      </c>
      <c r="D124" s="93" t="s">
        <v>611</v>
      </c>
      <c r="E124" s="93" t="s">
        <v>611</v>
      </c>
    </row>
    <row r="125" spans="1:5" ht="22.5" customHeight="1" x14ac:dyDescent="0.2">
      <c r="A125" s="97" t="s">
        <v>85</v>
      </c>
      <c r="B125" s="97" t="s">
        <v>950</v>
      </c>
      <c r="C125" s="93" t="s">
        <v>611</v>
      </c>
      <c r="D125" s="93" t="s">
        <v>611</v>
      </c>
      <c r="E125" s="93" t="s">
        <v>611</v>
      </c>
    </row>
    <row r="126" spans="1:5" ht="22.5" customHeight="1" x14ac:dyDescent="0.2">
      <c r="A126" s="97" t="s">
        <v>102</v>
      </c>
      <c r="B126" s="97" t="s">
        <v>951</v>
      </c>
      <c r="C126" s="93" t="s">
        <v>611</v>
      </c>
      <c r="D126" s="93" t="s">
        <v>611</v>
      </c>
      <c r="E126" s="93" t="s">
        <v>611</v>
      </c>
    </row>
    <row r="127" spans="1:5" ht="22.5" customHeight="1" x14ac:dyDescent="0.2">
      <c r="A127" s="97" t="s">
        <v>86</v>
      </c>
      <c r="B127" s="97" t="s">
        <v>952</v>
      </c>
      <c r="C127" s="93" t="s">
        <v>611</v>
      </c>
      <c r="D127" s="93" t="s">
        <v>611</v>
      </c>
      <c r="E127" s="93" t="s">
        <v>611</v>
      </c>
    </row>
    <row r="128" spans="1:5" ht="22.5" customHeight="1" x14ac:dyDescent="0.2">
      <c r="A128" s="99" t="s">
        <v>953</v>
      </c>
      <c r="B128" s="99" t="s">
        <v>954</v>
      </c>
      <c r="C128" s="93"/>
      <c r="D128" s="93"/>
      <c r="E128" s="93"/>
    </row>
    <row r="129" spans="1:5" ht="22.5" customHeight="1" x14ac:dyDescent="0.2">
      <c r="A129" s="97" t="s">
        <v>87</v>
      </c>
      <c r="B129" s="97" t="s">
        <v>955</v>
      </c>
      <c r="C129" s="93" t="s">
        <v>611</v>
      </c>
      <c r="D129" s="93" t="s">
        <v>611</v>
      </c>
      <c r="E129" s="93" t="s">
        <v>611</v>
      </c>
    </row>
    <row r="130" spans="1:5" ht="22.5" customHeight="1" x14ac:dyDescent="0.2">
      <c r="A130" s="99" t="s">
        <v>956</v>
      </c>
      <c r="B130" s="99" t="s">
        <v>957</v>
      </c>
      <c r="C130" s="93"/>
      <c r="D130" s="93"/>
      <c r="E130" s="93"/>
    </row>
    <row r="131" spans="1:5" ht="22.5" customHeight="1" x14ac:dyDescent="0.2">
      <c r="A131" s="97" t="s">
        <v>88</v>
      </c>
      <c r="B131" s="97" t="s">
        <v>958</v>
      </c>
      <c r="C131" s="93" t="s">
        <v>611</v>
      </c>
      <c r="D131" s="93" t="s">
        <v>611</v>
      </c>
      <c r="E131" s="93" t="s">
        <v>611</v>
      </c>
    </row>
    <row r="132" spans="1:5" ht="22.5" customHeight="1" x14ac:dyDescent="0.2">
      <c r="A132" s="97" t="s">
        <v>89</v>
      </c>
      <c r="B132" s="97" t="s">
        <v>959</v>
      </c>
      <c r="C132" s="93" t="s">
        <v>611</v>
      </c>
      <c r="D132" s="93"/>
      <c r="E132" s="93"/>
    </row>
    <row r="133" spans="1:5" ht="22.5" customHeight="1" x14ac:dyDescent="0.2">
      <c r="A133" s="99" t="s">
        <v>960</v>
      </c>
      <c r="B133" s="99" t="s">
        <v>961</v>
      </c>
      <c r="C133" s="93"/>
      <c r="D133" s="93"/>
      <c r="E133" s="93"/>
    </row>
    <row r="134" spans="1:5" ht="22.5" customHeight="1" x14ac:dyDescent="0.2">
      <c r="A134" s="101" t="s">
        <v>90</v>
      </c>
      <c r="B134" s="101" t="s">
        <v>962</v>
      </c>
      <c r="C134" s="93" t="s">
        <v>611</v>
      </c>
      <c r="D134" s="93" t="s">
        <v>611</v>
      </c>
      <c r="E134" s="93" t="s">
        <v>611</v>
      </c>
    </row>
    <row r="135" spans="1:5" ht="22.5" customHeight="1" x14ac:dyDescent="0.2">
      <c r="A135" s="101" t="s">
        <v>91</v>
      </c>
      <c r="B135" s="101" t="s">
        <v>963</v>
      </c>
      <c r="C135" s="93" t="s">
        <v>611</v>
      </c>
      <c r="D135" s="93" t="s">
        <v>611</v>
      </c>
      <c r="E135" s="93" t="s">
        <v>611</v>
      </c>
    </row>
    <row r="136" spans="1:5" ht="22.5" customHeight="1" x14ac:dyDescent="0.2">
      <c r="A136" s="101" t="s">
        <v>92</v>
      </c>
      <c r="B136" s="101" t="s">
        <v>173</v>
      </c>
      <c r="C136" s="93" t="s">
        <v>611</v>
      </c>
      <c r="D136" s="93" t="s">
        <v>611</v>
      </c>
      <c r="E136" s="93" t="s">
        <v>611</v>
      </c>
    </row>
    <row r="137" spans="1:5" ht="22.5" customHeight="1" x14ac:dyDescent="0.2">
      <c r="A137" s="97" t="s">
        <v>95</v>
      </c>
      <c r="B137" s="97" t="s">
        <v>174</v>
      </c>
      <c r="C137" s="93"/>
      <c r="D137" s="93"/>
      <c r="E137" s="93"/>
    </row>
    <row r="138" spans="1:5" ht="12.75" x14ac:dyDescent="0.2">
      <c r="C138" s="102"/>
      <c r="D138" s="102"/>
      <c r="E138" s="102"/>
    </row>
    <row r="139" spans="1:5" ht="12.75" x14ac:dyDescent="0.2">
      <c r="C139" s="102"/>
      <c r="D139" s="102"/>
      <c r="E139" s="102"/>
    </row>
    <row r="140" spans="1:5" ht="12.75" x14ac:dyDescent="0.2">
      <c r="C140" s="102"/>
      <c r="D140" s="102"/>
      <c r="E140" s="102"/>
    </row>
    <row r="141" spans="1:5" ht="12.75" x14ac:dyDescent="0.2">
      <c r="C141" s="102"/>
      <c r="D141" s="102"/>
      <c r="E141" s="102"/>
    </row>
    <row r="142" spans="1:5" ht="12.75" x14ac:dyDescent="0.2">
      <c r="C142" s="102"/>
      <c r="D142" s="102"/>
      <c r="E142" s="102"/>
    </row>
    <row r="143" spans="1:5" ht="12.75" x14ac:dyDescent="0.2">
      <c r="C143" s="102"/>
      <c r="D143" s="102"/>
      <c r="E143" s="102"/>
    </row>
    <row r="144" spans="1:5" ht="12.75" x14ac:dyDescent="0.2">
      <c r="C144" s="102"/>
      <c r="D144" s="102"/>
      <c r="E144" s="102"/>
    </row>
    <row r="145" spans="3:5" ht="12.75" x14ac:dyDescent="0.2">
      <c r="C145" s="102"/>
      <c r="D145" s="102"/>
      <c r="E145" s="102"/>
    </row>
    <row r="146" spans="3:5" ht="12.75" x14ac:dyDescent="0.2">
      <c r="C146" s="102"/>
      <c r="D146" s="102"/>
      <c r="E146" s="102"/>
    </row>
    <row r="147" spans="3:5" ht="12.75" x14ac:dyDescent="0.2">
      <c r="C147" s="102"/>
      <c r="D147" s="102"/>
      <c r="E147" s="102"/>
    </row>
    <row r="148" spans="3:5" ht="12.75" x14ac:dyDescent="0.2">
      <c r="C148" s="102"/>
      <c r="D148" s="102"/>
      <c r="E148" s="102"/>
    </row>
    <row r="149" spans="3:5" ht="12.75" x14ac:dyDescent="0.2">
      <c r="C149" s="102"/>
      <c r="D149" s="102"/>
      <c r="E149" s="102"/>
    </row>
    <row r="150" spans="3:5" ht="12.75" x14ac:dyDescent="0.2">
      <c r="C150" s="102"/>
      <c r="D150" s="102"/>
      <c r="E150" s="102"/>
    </row>
    <row r="151" spans="3:5" ht="12.75" x14ac:dyDescent="0.2">
      <c r="C151" s="102"/>
      <c r="D151" s="102"/>
      <c r="E151" s="102"/>
    </row>
    <row r="152" spans="3:5" ht="12.75" x14ac:dyDescent="0.2">
      <c r="C152" s="102"/>
      <c r="D152" s="102"/>
      <c r="E152" s="102"/>
    </row>
    <row r="153" spans="3:5" ht="12.75" x14ac:dyDescent="0.2">
      <c r="C153" s="102"/>
      <c r="D153" s="102"/>
      <c r="E153" s="102"/>
    </row>
    <row r="154" spans="3:5" ht="12.75" x14ac:dyDescent="0.2">
      <c r="C154" s="102"/>
      <c r="D154" s="102"/>
      <c r="E154" s="102"/>
    </row>
    <row r="155" spans="3:5" ht="12.75" x14ac:dyDescent="0.2">
      <c r="C155" s="102"/>
      <c r="D155" s="102"/>
      <c r="E155" s="102"/>
    </row>
    <row r="156" spans="3:5" ht="12.75" x14ac:dyDescent="0.2">
      <c r="C156" s="102"/>
      <c r="D156" s="102"/>
      <c r="E156" s="102"/>
    </row>
    <row r="157" spans="3:5" ht="12.75" x14ac:dyDescent="0.2">
      <c r="C157" s="102"/>
      <c r="D157" s="102"/>
      <c r="E157" s="102"/>
    </row>
    <row r="158" spans="3:5" ht="12.75" x14ac:dyDescent="0.2">
      <c r="C158" s="102"/>
      <c r="D158" s="102"/>
      <c r="E158" s="102"/>
    </row>
    <row r="159" spans="3:5" ht="12.75" x14ac:dyDescent="0.2">
      <c r="C159" s="102"/>
      <c r="D159" s="102"/>
      <c r="E159" s="102"/>
    </row>
    <row r="160" spans="3:5" ht="12.75" x14ac:dyDescent="0.2">
      <c r="C160" s="102"/>
      <c r="D160" s="102"/>
      <c r="E160" s="102"/>
    </row>
    <row r="161" spans="3:5" ht="12.75" x14ac:dyDescent="0.2">
      <c r="C161" s="102"/>
      <c r="D161" s="102"/>
      <c r="E161" s="102"/>
    </row>
    <row r="162" spans="3:5" ht="12.75" x14ac:dyDescent="0.2">
      <c r="C162" s="102"/>
      <c r="D162" s="102"/>
      <c r="E162" s="102"/>
    </row>
    <row r="163" spans="3:5" ht="12.75" x14ac:dyDescent="0.2">
      <c r="C163" s="102"/>
      <c r="D163" s="102"/>
      <c r="E163" s="102"/>
    </row>
    <row r="164" spans="3:5" ht="12.75" x14ac:dyDescent="0.2">
      <c r="C164" s="102"/>
      <c r="D164" s="102"/>
      <c r="E164" s="102"/>
    </row>
    <row r="165" spans="3:5" ht="12.75" x14ac:dyDescent="0.2">
      <c r="C165" s="102"/>
      <c r="D165" s="102"/>
      <c r="E165" s="102"/>
    </row>
    <row r="166" spans="3:5" ht="12.75" x14ac:dyDescent="0.2">
      <c r="C166" s="102"/>
      <c r="D166" s="102"/>
      <c r="E166" s="102"/>
    </row>
    <row r="167" spans="3:5" ht="12.75" x14ac:dyDescent="0.2">
      <c r="C167" s="102"/>
      <c r="D167" s="102"/>
      <c r="E167" s="102"/>
    </row>
    <row r="168" spans="3:5" ht="12.75" x14ac:dyDescent="0.2">
      <c r="C168" s="102"/>
      <c r="D168" s="102"/>
      <c r="E168" s="102"/>
    </row>
    <row r="169" spans="3:5" ht="12.75" x14ac:dyDescent="0.2">
      <c r="C169" s="102"/>
      <c r="D169" s="102"/>
      <c r="E169" s="102"/>
    </row>
    <row r="170" spans="3:5" ht="12.75" x14ac:dyDescent="0.2">
      <c r="C170" s="102"/>
      <c r="D170" s="102"/>
      <c r="E170" s="102"/>
    </row>
    <row r="171" spans="3:5" ht="12.75" x14ac:dyDescent="0.2">
      <c r="C171" s="102"/>
      <c r="D171" s="102"/>
      <c r="E171" s="102"/>
    </row>
    <row r="172" spans="3:5" ht="12.75" x14ac:dyDescent="0.2">
      <c r="C172" s="102"/>
      <c r="D172" s="102"/>
      <c r="E172" s="102"/>
    </row>
    <row r="173" spans="3:5" ht="12.75" x14ac:dyDescent="0.2">
      <c r="C173" s="102"/>
      <c r="D173" s="102"/>
      <c r="E173" s="102"/>
    </row>
    <row r="174" spans="3:5" ht="12.75" x14ac:dyDescent="0.2">
      <c r="C174" s="102"/>
      <c r="D174" s="102"/>
      <c r="E174" s="102"/>
    </row>
    <row r="175" spans="3:5" ht="12.75" x14ac:dyDescent="0.2">
      <c r="C175" s="102"/>
      <c r="D175" s="102"/>
      <c r="E175" s="102"/>
    </row>
    <row r="176" spans="3:5" ht="12.75" x14ac:dyDescent="0.2">
      <c r="C176" s="102"/>
      <c r="D176" s="102"/>
      <c r="E176" s="102"/>
    </row>
    <row r="177" spans="3:5" ht="12.75" x14ac:dyDescent="0.2">
      <c r="C177" s="102"/>
      <c r="D177" s="102"/>
      <c r="E177" s="102"/>
    </row>
    <row r="178" spans="3:5" ht="12.75" x14ac:dyDescent="0.2">
      <c r="C178" s="102"/>
      <c r="D178" s="102"/>
      <c r="E178" s="102"/>
    </row>
    <row r="179" spans="3:5" ht="12.75" x14ac:dyDescent="0.2">
      <c r="C179" s="102"/>
      <c r="D179" s="102"/>
      <c r="E179" s="102"/>
    </row>
    <row r="180" spans="3:5" ht="12.75" x14ac:dyDescent="0.2">
      <c r="C180" s="102"/>
      <c r="D180" s="102"/>
      <c r="E180" s="102"/>
    </row>
    <row r="181" spans="3:5" ht="12.75" x14ac:dyDescent="0.2">
      <c r="C181" s="102"/>
      <c r="D181" s="102"/>
      <c r="E181" s="102"/>
    </row>
    <row r="182" spans="3:5" ht="12.75" x14ac:dyDescent="0.2">
      <c r="C182" s="102"/>
      <c r="D182" s="102"/>
      <c r="E182" s="102"/>
    </row>
    <row r="183" spans="3:5" ht="12.75" x14ac:dyDescent="0.2">
      <c r="C183" s="102"/>
      <c r="D183" s="102"/>
      <c r="E183" s="102"/>
    </row>
    <row r="184" spans="3:5" ht="12.75" x14ac:dyDescent="0.2">
      <c r="C184" s="102"/>
      <c r="D184" s="102"/>
      <c r="E184" s="102"/>
    </row>
    <row r="185" spans="3:5" ht="12.75" x14ac:dyDescent="0.2">
      <c r="C185" s="102"/>
      <c r="D185" s="102"/>
      <c r="E185" s="102"/>
    </row>
    <row r="186" spans="3:5" ht="12.75" x14ac:dyDescent="0.2">
      <c r="C186" s="102"/>
      <c r="D186" s="102"/>
      <c r="E186" s="102"/>
    </row>
    <row r="187" spans="3:5" ht="12.75" x14ac:dyDescent="0.2">
      <c r="C187" s="102"/>
      <c r="D187" s="102"/>
      <c r="E187" s="102"/>
    </row>
    <row r="188" spans="3:5" ht="12.75" x14ac:dyDescent="0.2">
      <c r="C188" s="102"/>
      <c r="D188" s="102"/>
      <c r="E188" s="102"/>
    </row>
    <row r="189" spans="3:5" ht="12.75" x14ac:dyDescent="0.2">
      <c r="C189" s="102"/>
      <c r="D189" s="102"/>
      <c r="E189" s="102"/>
    </row>
    <row r="190" spans="3:5" ht="12.75" x14ac:dyDescent="0.2">
      <c r="C190" s="102"/>
      <c r="D190" s="102"/>
      <c r="E190" s="102"/>
    </row>
    <row r="191" spans="3:5" ht="12.75" x14ac:dyDescent="0.2">
      <c r="C191" s="102"/>
      <c r="D191" s="102"/>
      <c r="E191" s="102"/>
    </row>
    <row r="192" spans="3:5" ht="12.75" x14ac:dyDescent="0.2">
      <c r="C192" s="102"/>
      <c r="D192" s="102"/>
      <c r="E192" s="102"/>
    </row>
    <row r="193" spans="3:5" ht="12.75" x14ac:dyDescent="0.2">
      <c r="C193" s="102"/>
      <c r="D193" s="102"/>
      <c r="E193" s="102"/>
    </row>
    <row r="194" spans="3:5" ht="12.75" x14ac:dyDescent="0.2">
      <c r="C194" s="102"/>
      <c r="D194" s="102"/>
      <c r="E194" s="102"/>
    </row>
    <row r="195" spans="3:5" ht="12.75" x14ac:dyDescent="0.2">
      <c r="C195" s="102"/>
      <c r="D195" s="102"/>
      <c r="E195" s="102"/>
    </row>
    <row r="196" spans="3:5" ht="12.75" x14ac:dyDescent="0.2">
      <c r="C196" s="102"/>
      <c r="D196" s="102"/>
      <c r="E196" s="102"/>
    </row>
    <row r="197" spans="3:5" ht="12.75" x14ac:dyDescent="0.2">
      <c r="C197" s="102"/>
      <c r="D197" s="102"/>
      <c r="E197" s="102"/>
    </row>
    <row r="198" spans="3:5" ht="12.75" x14ac:dyDescent="0.2">
      <c r="C198" s="102"/>
      <c r="D198" s="102"/>
      <c r="E198" s="102"/>
    </row>
    <row r="199" spans="3:5" ht="12.75" x14ac:dyDescent="0.2">
      <c r="C199" s="102"/>
      <c r="D199" s="102"/>
      <c r="E199" s="102"/>
    </row>
    <row r="200" spans="3:5" ht="12.75" x14ac:dyDescent="0.2">
      <c r="C200" s="102"/>
      <c r="D200" s="102"/>
      <c r="E200" s="102"/>
    </row>
    <row r="201" spans="3:5" ht="12.75" x14ac:dyDescent="0.2">
      <c r="C201" s="102"/>
      <c r="D201" s="102"/>
      <c r="E201" s="102"/>
    </row>
    <row r="202" spans="3:5" ht="12.75" x14ac:dyDescent="0.2">
      <c r="C202" s="102"/>
      <c r="D202" s="102"/>
      <c r="E202" s="102"/>
    </row>
    <row r="203" spans="3:5" ht="12.75" x14ac:dyDescent="0.2">
      <c r="C203" s="102"/>
      <c r="D203" s="102"/>
      <c r="E203" s="102"/>
    </row>
    <row r="204" spans="3:5" ht="12.75" x14ac:dyDescent="0.2">
      <c r="C204" s="102"/>
      <c r="D204" s="102"/>
      <c r="E204" s="102"/>
    </row>
    <row r="205" spans="3:5" ht="12.75" x14ac:dyDescent="0.2">
      <c r="C205" s="102"/>
      <c r="D205" s="102"/>
      <c r="E205" s="102"/>
    </row>
    <row r="206" spans="3:5" ht="12.75" x14ac:dyDescent="0.2">
      <c r="C206" s="102"/>
      <c r="D206" s="102"/>
      <c r="E206" s="102"/>
    </row>
    <row r="207" spans="3:5" ht="12.75" x14ac:dyDescent="0.2">
      <c r="C207" s="102"/>
      <c r="D207" s="102"/>
      <c r="E207" s="102"/>
    </row>
    <row r="208" spans="3:5" ht="12.75" x14ac:dyDescent="0.2">
      <c r="C208" s="102"/>
      <c r="D208" s="102"/>
      <c r="E208" s="102"/>
    </row>
    <row r="209" spans="3:5" ht="12.75" x14ac:dyDescent="0.2">
      <c r="C209" s="102"/>
      <c r="D209" s="102"/>
      <c r="E209" s="102"/>
    </row>
    <row r="210" spans="3:5" ht="12.75" x14ac:dyDescent="0.2">
      <c r="C210" s="102"/>
      <c r="D210" s="102"/>
      <c r="E210" s="102"/>
    </row>
    <row r="211" spans="3:5" ht="12.75" x14ac:dyDescent="0.2">
      <c r="C211" s="102"/>
      <c r="D211" s="102"/>
      <c r="E211" s="102"/>
    </row>
    <row r="212" spans="3:5" ht="12.75" x14ac:dyDescent="0.2">
      <c r="C212" s="102"/>
      <c r="D212" s="102"/>
      <c r="E212" s="102"/>
    </row>
    <row r="213" spans="3:5" ht="12.75" x14ac:dyDescent="0.2">
      <c r="C213" s="102"/>
      <c r="D213" s="102"/>
      <c r="E213" s="102"/>
    </row>
    <row r="214" spans="3:5" ht="12.75" x14ac:dyDescent="0.2">
      <c r="C214" s="102"/>
      <c r="D214" s="102"/>
      <c r="E214" s="102"/>
    </row>
    <row r="215" spans="3:5" ht="12.75" x14ac:dyDescent="0.2">
      <c r="C215" s="102"/>
      <c r="D215" s="102"/>
      <c r="E215" s="102"/>
    </row>
    <row r="216" spans="3:5" ht="12.75" x14ac:dyDescent="0.2">
      <c r="C216" s="102"/>
      <c r="D216" s="102"/>
      <c r="E216" s="102"/>
    </row>
    <row r="217" spans="3:5" ht="12.75" x14ac:dyDescent="0.2">
      <c r="C217" s="102"/>
      <c r="D217" s="102"/>
      <c r="E217" s="102"/>
    </row>
    <row r="218" spans="3:5" ht="12.75" x14ac:dyDescent="0.2">
      <c r="C218" s="102"/>
      <c r="D218" s="102"/>
      <c r="E218" s="102"/>
    </row>
    <row r="219" spans="3:5" ht="12.75" x14ac:dyDescent="0.2">
      <c r="C219" s="102"/>
      <c r="D219" s="102"/>
      <c r="E219" s="102"/>
    </row>
    <row r="220" spans="3:5" ht="12.75" x14ac:dyDescent="0.2">
      <c r="C220" s="102"/>
      <c r="D220" s="102"/>
      <c r="E220" s="102"/>
    </row>
    <row r="221" spans="3:5" ht="12.75" x14ac:dyDescent="0.2">
      <c r="C221" s="102"/>
      <c r="D221" s="102"/>
      <c r="E221" s="102"/>
    </row>
    <row r="222" spans="3:5" ht="12.75" x14ac:dyDescent="0.2">
      <c r="C222" s="102"/>
      <c r="D222" s="102"/>
      <c r="E222" s="102"/>
    </row>
    <row r="223" spans="3:5" ht="12.75" x14ac:dyDescent="0.2">
      <c r="C223" s="102"/>
      <c r="D223" s="102"/>
      <c r="E223" s="102"/>
    </row>
    <row r="224" spans="3:5" ht="12.75" x14ac:dyDescent="0.2">
      <c r="C224" s="102"/>
      <c r="D224" s="102"/>
      <c r="E224" s="102"/>
    </row>
    <row r="225" spans="3:5" ht="12.75" x14ac:dyDescent="0.2">
      <c r="C225" s="102"/>
      <c r="D225" s="102"/>
      <c r="E225" s="102"/>
    </row>
    <row r="226" spans="3:5" ht="12.75" x14ac:dyDescent="0.2">
      <c r="C226" s="102"/>
      <c r="D226" s="102"/>
      <c r="E226" s="102"/>
    </row>
    <row r="227" spans="3:5" ht="12.75" x14ac:dyDescent="0.2">
      <c r="C227" s="102"/>
      <c r="D227" s="102"/>
      <c r="E227" s="102"/>
    </row>
    <row r="228" spans="3:5" ht="12.75" x14ac:dyDescent="0.2">
      <c r="C228" s="102"/>
      <c r="D228" s="102"/>
      <c r="E228" s="102"/>
    </row>
    <row r="229" spans="3:5" ht="12.75" x14ac:dyDescent="0.2">
      <c r="C229" s="102"/>
      <c r="D229" s="102"/>
      <c r="E229" s="102"/>
    </row>
    <row r="230" spans="3:5" ht="12.75" x14ac:dyDescent="0.2">
      <c r="C230" s="102"/>
      <c r="D230" s="102"/>
      <c r="E230" s="102"/>
    </row>
    <row r="231" spans="3:5" ht="12.75" x14ac:dyDescent="0.2">
      <c r="C231" s="102"/>
      <c r="D231" s="102"/>
      <c r="E231" s="102"/>
    </row>
    <row r="232" spans="3:5" ht="12.75" x14ac:dyDescent="0.2">
      <c r="C232" s="102"/>
      <c r="D232" s="102"/>
      <c r="E232" s="102"/>
    </row>
    <row r="233" spans="3:5" ht="12.75" x14ac:dyDescent="0.2">
      <c r="C233" s="102"/>
      <c r="D233" s="102"/>
      <c r="E233" s="102"/>
    </row>
    <row r="234" spans="3:5" ht="12.75" x14ac:dyDescent="0.2">
      <c r="C234" s="102"/>
      <c r="D234" s="102"/>
      <c r="E234" s="102"/>
    </row>
    <row r="235" spans="3:5" ht="12.75" x14ac:dyDescent="0.2">
      <c r="C235" s="102"/>
      <c r="D235" s="102"/>
      <c r="E235" s="102"/>
    </row>
    <row r="236" spans="3:5" ht="12.75" x14ac:dyDescent="0.2">
      <c r="C236" s="102"/>
      <c r="D236" s="102"/>
      <c r="E236" s="102"/>
    </row>
    <row r="237" spans="3:5" ht="12.75" x14ac:dyDescent="0.2">
      <c r="C237" s="102"/>
      <c r="D237" s="102"/>
      <c r="E237" s="102"/>
    </row>
    <row r="238" spans="3:5" ht="12.75" x14ac:dyDescent="0.2">
      <c r="C238" s="102"/>
      <c r="D238" s="102"/>
      <c r="E238" s="102"/>
    </row>
    <row r="239" spans="3:5" ht="12.75" x14ac:dyDescent="0.2">
      <c r="C239" s="102"/>
      <c r="D239" s="102"/>
      <c r="E239" s="102"/>
    </row>
    <row r="240" spans="3:5" ht="12.75" x14ac:dyDescent="0.2">
      <c r="C240" s="102"/>
      <c r="D240" s="102"/>
      <c r="E240" s="102"/>
    </row>
    <row r="241" spans="3:5" ht="12.75" x14ac:dyDescent="0.2">
      <c r="C241" s="102"/>
      <c r="D241" s="102"/>
      <c r="E241" s="102"/>
    </row>
    <row r="242" spans="3:5" ht="12.75" x14ac:dyDescent="0.2">
      <c r="C242" s="102"/>
      <c r="D242" s="102"/>
      <c r="E242" s="102"/>
    </row>
    <row r="243" spans="3:5" ht="12.75" x14ac:dyDescent="0.2">
      <c r="C243" s="102"/>
      <c r="D243" s="102"/>
      <c r="E243" s="102"/>
    </row>
    <row r="244" spans="3:5" ht="12.75" x14ac:dyDescent="0.2">
      <c r="C244" s="102"/>
      <c r="D244" s="102"/>
      <c r="E244" s="102"/>
    </row>
    <row r="245" spans="3:5" ht="12.75" x14ac:dyDescent="0.2">
      <c r="C245" s="102"/>
      <c r="D245" s="102"/>
      <c r="E245" s="102"/>
    </row>
    <row r="246" spans="3:5" ht="12.75" x14ac:dyDescent="0.2">
      <c r="C246" s="102"/>
      <c r="D246" s="102"/>
      <c r="E246" s="102"/>
    </row>
    <row r="247" spans="3:5" ht="12.75" x14ac:dyDescent="0.2">
      <c r="C247" s="102"/>
      <c r="D247" s="102"/>
      <c r="E247" s="102"/>
    </row>
    <row r="248" spans="3:5" ht="12.75" x14ac:dyDescent="0.2">
      <c r="C248" s="102"/>
      <c r="D248" s="102"/>
      <c r="E248" s="102"/>
    </row>
    <row r="249" spans="3:5" ht="12.75" x14ac:dyDescent="0.2">
      <c r="C249" s="102"/>
      <c r="D249" s="102"/>
      <c r="E249" s="102"/>
    </row>
    <row r="250" spans="3:5" ht="12.75" x14ac:dyDescent="0.2">
      <c r="C250" s="102"/>
      <c r="D250" s="102"/>
      <c r="E250" s="102"/>
    </row>
    <row r="251" spans="3:5" ht="12.75" x14ac:dyDescent="0.2">
      <c r="C251" s="102"/>
      <c r="D251" s="102"/>
      <c r="E251" s="102"/>
    </row>
    <row r="252" spans="3:5" ht="12.75" x14ac:dyDescent="0.2">
      <c r="C252" s="102"/>
      <c r="D252" s="102"/>
      <c r="E252" s="102"/>
    </row>
    <row r="253" spans="3:5" ht="12.75" x14ac:dyDescent="0.2">
      <c r="C253" s="102"/>
      <c r="D253" s="102"/>
      <c r="E253" s="102"/>
    </row>
    <row r="254" spans="3:5" ht="12.75" x14ac:dyDescent="0.2">
      <c r="C254" s="102"/>
      <c r="D254" s="102"/>
      <c r="E254" s="102"/>
    </row>
    <row r="255" spans="3:5" ht="12.75" x14ac:dyDescent="0.2">
      <c r="C255" s="102"/>
      <c r="D255" s="102"/>
      <c r="E255" s="102"/>
    </row>
    <row r="256" spans="3:5" ht="12.75" x14ac:dyDescent="0.2">
      <c r="C256" s="102"/>
      <c r="D256" s="102"/>
      <c r="E256" s="102"/>
    </row>
    <row r="257" spans="3:5" ht="12.75" x14ac:dyDescent="0.2">
      <c r="C257" s="102"/>
      <c r="D257" s="102"/>
      <c r="E257" s="102"/>
    </row>
    <row r="258" spans="3:5" ht="12.75" x14ac:dyDescent="0.2">
      <c r="C258" s="102"/>
      <c r="D258" s="102"/>
      <c r="E258" s="102"/>
    </row>
    <row r="259" spans="3:5" ht="12.75" x14ac:dyDescent="0.2">
      <c r="C259" s="102"/>
      <c r="D259" s="102"/>
      <c r="E259" s="102"/>
    </row>
    <row r="260" spans="3:5" ht="12.75" x14ac:dyDescent="0.2">
      <c r="C260" s="102"/>
      <c r="D260" s="102"/>
      <c r="E260" s="102"/>
    </row>
    <row r="261" spans="3:5" ht="12.75" x14ac:dyDescent="0.2">
      <c r="C261" s="102"/>
      <c r="D261" s="102"/>
      <c r="E261" s="102"/>
    </row>
    <row r="262" spans="3:5" ht="12.75" x14ac:dyDescent="0.2">
      <c r="C262" s="102"/>
      <c r="D262" s="102"/>
      <c r="E262" s="102"/>
    </row>
    <row r="263" spans="3:5" ht="12.75" x14ac:dyDescent="0.2">
      <c r="C263" s="102"/>
      <c r="D263" s="102"/>
      <c r="E263" s="102"/>
    </row>
    <row r="264" spans="3:5" ht="12.75" x14ac:dyDescent="0.2">
      <c r="C264" s="102"/>
      <c r="D264" s="102"/>
      <c r="E264" s="102"/>
    </row>
    <row r="265" spans="3:5" ht="12.75" x14ac:dyDescent="0.2">
      <c r="C265" s="102"/>
      <c r="D265" s="102"/>
      <c r="E265" s="102"/>
    </row>
    <row r="266" spans="3:5" ht="12.75" x14ac:dyDescent="0.2">
      <c r="C266" s="102"/>
      <c r="D266" s="102"/>
      <c r="E266" s="102"/>
    </row>
    <row r="267" spans="3:5" ht="12.75" x14ac:dyDescent="0.2">
      <c r="C267" s="102"/>
      <c r="D267" s="102"/>
      <c r="E267" s="102"/>
    </row>
    <row r="268" spans="3:5" ht="12.75" x14ac:dyDescent="0.2">
      <c r="C268" s="102"/>
      <c r="D268" s="102"/>
      <c r="E268" s="102"/>
    </row>
    <row r="269" spans="3:5" ht="12.75" x14ac:dyDescent="0.2">
      <c r="C269" s="102"/>
      <c r="D269" s="102"/>
      <c r="E269" s="102"/>
    </row>
    <row r="270" spans="3:5" ht="12.75" x14ac:dyDescent="0.2">
      <c r="C270" s="102"/>
      <c r="D270" s="102"/>
      <c r="E270" s="102"/>
    </row>
    <row r="271" spans="3:5" ht="12.75" x14ac:dyDescent="0.2">
      <c r="C271" s="102"/>
      <c r="D271" s="102"/>
      <c r="E271" s="102"/>
    </row>
    <row r="272" spans="3:5" ht="12.75" x14ac:dyDescent="0.2">
      <c r="C272" s="102"/>
      <c r="D272" s="102"/>
      <c r="E272" s="102"/>
    </row>
    <row r="273" spans="3:5" ht="12.75" x14ac:dyDescent="0.2">
      <c r="C273" s="102"/>
      <c r="D273" s="102"/>
      <c r="E273" s="102"/>
    </row>
    <row r="274" spans="3:5" ht="12.75" x14ac:dyDescent="0.2">
      <c r="C274" s="102"/>
      <c r="D274" s="102"/>
      <c r="E274" s="102"/>
    </row>
    <row r="275" spans="3:5" ht="12.75" x14ac:dyDescent="0.2">
      <c r="C275" s="102"/>
      <c r="D275" s="102"/>
      <c r="E275" s="102"/>
    </row>
    <row r="276" spans="3:5" ht="12.75" x14ac:dyDescent="0.2">
      <c r="C276" s="102"/>
      <c r="D276" s="102"/>
      <c r="E276" s="102"/>
    </row>
    <row r="277" spans="3:5" ht="12.75" x14ac:dyDescent="0.2">
      <c r="C277" s="102"/>
      <c r="D277" s="102"/>
      <c r="E277" s="102"/>
    </row>
    <row r="278" spans="3:5" ht="12.75" x14ac:dyDescent="0.2">
      <c r="C278" s="102"/>
      <c r="D278" s="102"/>
      <c r="E278" s="102"/>
    </row>
    <row r="279" spans="3:5" ht="12.75" x14ac:dyDescent="0.2">
      <c r="C279" s="102"/>
      <c r="D279" s="102"/>
      <c r="E279" s="102"/>
    </row>
    <row r="280" spans="3:5" ht="12.75" x14ac:dyDescent="0.2">
      <c r="C280" s="102"/>
      <c r="D280" s="102"/>
      <c r="E280" s="102"/>
    </row>
    <row r="281" spans="3:5" ht="12.75" x14ac:dyDescent="0.2">
      <c r="C281" s="102"/>
      <c r="D281" s="102"/>
      <c r="E281" s="102"/>
    </row>
    <row r="282" spans="3:5" ht="12.75" x14ac:dyDescent="0.2">
      <c r="C282" s="102"/>
      <c r="D282" s="102"/>
      <c r="E282" s="102"/>
    </row>
    <row r="283" spans="3:5" ht="12.75" x14ac:dyDescent="0.2">
      <c r="C283" s="102"/>
      <c r="D283" s="102"/>
      <c r="E283" s="102"/>
    </row>
    <row r="284" spans="3:5" ht="12.75" x14ac:dyDescent="0.2">
      <c r="C284" s="102"/>
      <c r="D284" s="102"/>
      <c r="E284" s="102"/>
    </row>
    <row r="285" spans="3:5" ht="12.75" x14ac:dyDescent="0.2">
      <c r="C285" s="102"/>
      <c r="D285" s="102"/>
      <c r="E285" s="102"/>
    </row>
    <row r="286" spans="3:5" ht="12.75" x14ac:dyDescent="0.2">
      <c r="C286" s="102"/>
      <c r="D286" s="102"/>
      <c r="E286" s="102"/>
    </row>
    <row r="287" spans="3:5" ht="12.75" x14ac:dyDescent="0.2">
      <c r="C287" s="102"/>
      <c r="D287" s="102"/>
      <c r="E287" s="102"/>
    </row>
    <row r="288" spans="3:5" ht="12.75" x14ac:dyDescent="0.2">
      <c r="C288" s="102"/>
      <c r="D288" s="102"/>
      <c r="E288" s="102"/>
    </row>
    <row r="289" spans="3:5" ht="12.75" x14ac:dyDescent="0.2">
      <c r="C289" s="102"/>
      <c r="D289" s="102"/>
      <c r="E289" s="102"/>
    </row>
    <row r="290" spans="3:5" ht="12.75" x14ac:dyDescent="0.2">
      <c r="C290" s="102"/>
      <c r="D290" s="102"/>
      <c r="E290" s="102"/>
    </row>
    <row r="291" spans="3:5" ht="12.75" x14ac:dyDescent="0.2">
      <c r="C291" s="102"/>
      <c r="D291" s="102"/>
      <c r="E291" s="102"/>
    </row>
    <row r="292" spans="3:5" ht="12.75" x14ac:dyDescent="0.2">
      <c r="C292" s="102"/>
      <c r="D292" s="102"/>
      <c r="E292" s="102"/>
    </row>
    <row r="293" spans="3:5" ht="12.75" x14ac:dyDescent="0.2">
      <c r="C293" s="102"/>
      <c r="D293" s="102"/>
      <c r="E293" s="102"/>
    </row>
    <row r="294" spans="3:5" ht="12.75" x14ac:dyDescent="0.2">
      <c r="C294" s="102"/>
      <c r="D294" s="102"/>
      <c r="E294" s="102"/>
    </row>
    <row r="295" spans="3:5" ht="12.75" x14ac:dyDescent="0.2">
      <c r="C295" s="102"/>
      <c r="D295" s="102"/>
      <c r="E295" s="102"/>
    </row>
    <row r="296" spans="3:5" ht="12.75" x14ac:dyDescent="0.2">
      <c r="C296" s="102"/>
      <c r="D296" s="102"/>
      <c r="E296" s="102"/>
    </row>
    <row r="297" spans="3:5" ht="12.75" x14ac:dyDescent="0.2">
      <c r="C297" s="102"/>
      <c r="D297" s="102"/>
      <c r="E297" s="102"/>
    </row>
    <row r="298" spans="3:5" ht="12.75" x14ac:dyDescent="0.2">
      <c r="C298" s="102"/>
      <c r="D298" s="102"/>
      <c r="E298" s="102"/>
    </row>
    <row r="299" spans="3:5" ht="12.75" x14ac:dyDescent="0.2">
      <c r="C299" s="102"/>
      <c r="D299" s="102"/>
      <c r="E299" s="102"/>
    </row>
    <row r="300" spans="3:5" ht="12.75" x14ac:dyDescent="0.2">
      <c r="C300" s="102"/>
      <c r="D300" s="102"/>
      <c r="E300" s="102"/>
    </row>
    <row r="301" spans="3:5" ht="12.75" x14ac:dyDescent="0.2">
      <c r="C301" s="102"/>
      <c r="D301" s="102"/>
      <c r="E301" s="102"/>
    </row>
    <row r="302" spans="3:5" ht="12.75" x14ac:dyDescent="0.2">
      <c r="C302" s="102"/>
      <c r="D302" s="102"/>
      <c r="E302" s="102"/>
    </row>
    <row r="303" spans="3:5" ht="12.75" x14ac:dyDescent="0.2">
      <c r="C303" s="102"/>
      <c r="D303" s="102"/>
      <c r="E303" s="102"/>
    </row>
    <row r="304" spans="3:5" ht="12.75" x14ac:dyDescent="0.2">
      <c r="C304" s="102"/>
      <c r="D304" s="102"/>
      <c r="E304" s="102"/>
    </row>
    <row r="305" spans="3:5" ht="12.75" x14ac:dyDescent="0.2">
      <c r="C305" s="102"/>
      <c r="D305" s="102"/>
      <c r="E305" s="102"/>
    </row>
    <row r="306" spans="3:5" ht="12.75" x14ac:dyDescent="0.2">
      <c r="C306" s="102"/>
      <c r="D306" s="102"/>
      <c r="E306" s="102"/>
    </row>
    <row r="307" spans="3:5" ht="12.75" x14ac:dyDescent="0.2">
      <c r="C307" s="102"/>
      <c r="D307" s="102"/>
      <c r="E307" s="102"/>
    </row>
    <row r="308" spans="3:5" ht="12.75" x14ac:dyDescent="0.2">
      <c r="C308" s="102"/>
      <c r="D308" s="102"/>
      <c r="E308" s="102"/>
    </row>
    <row r="309" spans="3:5" ht="12.75" x14ac:dyDescent="0.2">
      <c r="C309" s="102"/>
      <c r="D309" s="102"/>
      <c r="E309" s="102"/>
    </row>
    <row r="310" spans="3:5" ht="12.75" x14ac:dyDescent="0.2">
      <c r="C310" s="102"/>
      <c r="D310" s="102"/>
      <c r="E310" s="102"/>
    </row>
    <row r="311" spans="3:5" ht="12.75" x14ac:dyDescent="0.2">
      <c r="C311" s="102"/>
      <c r="D311" s="102"/>
      <c r="E311" s="102"/>
    </row>
    <row r="312" spans="3:5" ht="12.75" x14ac:dyDescent="0.2">
      <c r="C312" s="102"/>
      <c r="D312" s="102"/>
      <c r="E312" s="102"/>
    </row>
    <row r="313" spans="3:5" ht="12.75" x14ac:dyDescent="0.2">
      <c r="C313" s="102"/>
      <c r="D313" s="102"/>
      <c r="E313" s="102"/>
    </row>
    <row r="314" spans="3:5" ht="12.75" x14ac:dyDescent="0.2">
      <c r="C314" s="102"/>
      <c r="D314" s="102"/>
      <c r="E314" s="102"/>
    </row>
    <row r="315" spans="3:5" ht="12.75" x14ac:dyDescent="0.2">
      <c r="C315" s="102"/>
      <c r="D315" s="102"/>
      <c r="E315" s="102"/>
    </row>
    <row r="316" spans="3:5" ht="12.75" x14ac:dyDescent="0.2">
      <c r="C316" s="102"/>
      <c r="D316" s="102"/>
      <c r="E316" s="102"/>
    </row>
    <row r="317" spans="3:5" ht="12.75" x14ac:dyDescent="0.2">
      <c r="C317" s="102"/>
      <c r="D317" s="102"/>
      <c r="E317" s="102"/>
    </row>
    <row r="318" spans="3:5" ht="12.75" x14ac:dyDescent="0.2">
      <c r="C318" s="102"/>
      <c r="D318" s="102"/>
      <c r="E318" s="102"/>
    </row>
    <row r="319" spans="3:5" ht="12.75" x14ac:dyDescent="0.2">
      <c r="C319" s="102"/>
      <c r="D319" s="102"/>
      <c r="E319" s="102"/>
    </row>
    <row r="320" spans="3:5" ht="12.75" x14ac:dyDescent="0.2">
      <c r="C320" s="102"/>
      <c r="D320" s="102"/>
      <c r="E320" s="102"/>
    </row>
    <row r="321" spans="3:5" ht="12.75" x14ac:dyDescent="0.2">
      <c r="C321" s="102"/>
      <c r="D321" s="102"/>
      <c r="E321" s="102"/>
    </row>
    <row r="322" spans="3:5" ht="12.75" x14ac:dyDescent="0.2">
      <c r="C322" s="102"/>
      <c r="D322" s="102"/>
      <c r="E322" s="102"/>
    </row>
    <row r="323" spans="3:5" ht="12.75" x14ac:dyDescent="0.2">
      <c r="C323" s="102"/>
      <c r="D323" s="102"/>
      <c r="E323" s="102"/>
    </row>
    <row r="324" spans="3:5" ht="12.75" x14ac:dyDescent="0.2">
      <c r="C324" s="102"/>
      <c r="D324" s="102"/>
      <c r="E324" s="102"/>
    </row>
    <row r="325" spans="3:5" ht="12.75" x14ac:dyDescent="0.2">
      <c r="C325" s="102"/>
      <c r="D325" s="102"/>
      <c r="E325" s="102"/>
    </row>
    <row r="326" spans="3:5" ht="12.75" x14ac:dyDescent="0.2">
      <c r="C326" s="102"/>
      <c r="D326" s="102"/>
      <c r="E326" s="102"/>
    </row>
    <row r="327" spans="3:5" ht="12.75" x14ac:dyDescent="0.2">
      <c r="C327" s="102"/>
      <c r="D327" s="102"/>
      <c r="E327" s="102"/>
    </row>
    <row r="328" spans="3:5" ht="12.75" x14ac:dyDescent="0.2">
      <c r="C328" s="102"/>
      <c r="D328" s="102"/>
      <c r="E328" s="102"/>
    </row>
    <row r="329" spans="3:5" ht="12.75" x14ac:dyDescent="0.2">
      <c r="C329" s="102"/>
      <c r="D329" s="102"/>
      <c r="E329" s="102"/>
    </row>
    <row r="330" spans="3:5" ht="12.75" x14ac:dyDescent="0.2">
      <c r="C330" s="102"/>
      <c r="D330" s="102"/>
      <c r="E330" s="102"/>
    </row>
    <row r="331" spans="3:5" ht="12.75" x14ac:dyDescent="0.2">
      <c r="C331" s="102"/>
      <c r="D331" s="102"/>
      <c r="E331" s="102"/>
    </row>
    <row r="332" spans="3:5" ht="12.75" x14ac:dyDescent="0.2">
      <c r="C332" s="102"/>
      <c r="D332" s="102"/>
      <c r="E332" s="102"/>
    </row>
    <row r="333" spans="3:5" ht="12.75" x14ac:dyDescent="0.2">
      <c r="C333" s="102"/>
      <c r="D333" s="102"/>
      <c r="E333" s="102"/>
    </row>
    <row r="334" spans="3:5" ht="12.75" x14ac:dyDescent="0.2">
      <c r="C334" s="102"/>
      <c r="D334" s="102"/>
      <c r="E334" s="102"/>
    </row>
    <row r="335" spans="3:5" ht="12.75" x14ac:dyDescent="0.2">
      <c r="C335" s="102"/>
      <c r="D335" s="102"/>
      <c r="E335" s="102"/>
    </row>
    <row r="336" spans="3:5" ht="12.75" x14ac:dyDescent="0.2">
      <c r="C336" s="102"/>
      <c r="D336" s="102"/>
      <c r="E336" s="102"/>
    </row>
    <row r="337" spans="3:5" ht="12.75" x14ac:dyDescent="0.2">
      <c r="C337" s="102"/>
      <c r="D337" s="102"/>
      <c r="E337" s="102"/>
    </row>
    <row r="338" spans="3:5" ht="12.75" x14ac:dyDescent="0.2">
      <c r="C338" s="102"/>
      <c r="D338" s="102"/>
      <c r="E338" s="102"/>
    </row>
    <row r="339" spans="3:5" ht="12.75" x14ac:dyDescent="0.2">
      <c r="C339" s="102"/>
      <c r="D339" s="102"/>
      <c r="E339" s="102"/>
    </row>
    <row r="340" spans="3:5" ht="12.75" x14ac:dyDescent="0.2">
      <c r="C340" s="102"/>
      <c r="D340" s="102"/>
      <c r="E340" s="102"/>
    </row>
    <row r="341" spans="3:5" ht="12.75" x14ac:dyDescent="0.2">
      <c r="C341" s="102"/>
      <c r="D341" s="102"/>
      <c r="E341" s="102"/>
    </row>
    <row r="342" spans="3:5" ht="12.75" x14ac:dyDescent="0.2">
      <c r="C342" s="102"/>
      <c r="D342" s="102"/>
      <c r="E342" s="102"/>
    </row>
    <row r="343" spans="3:5" ht="12.75" x14ac:dyDescent="0.2">
      <c r="C343" s="102"/>
      <c r="D343" s="102"/>
      <c r="E343" s="102"/>
    </row>
    <row r="344" spans="3:5" ht="12.75" x14ac:dyDescent="0.2">
      <c r="C344" s="102"/>
      <c r="D344" s="102"/>
      <c r="E344" s="102"/>
    </row>
    <row r="345" spans="3:5" ht="12.75" x14ac:dyDescent="0.2">
      <c r="C345" s="102"/>
      <c r="D345" s="102"/>
      <c r="E345" s="102"/>
    </row>
    <row r="346" spans="3:5" ht="12.75" x14ac:dyDescent="0.2">
      <c r="C346" s="102"/>
      <c r="D346" s="102"/>
      <c r="E346" s="102"/>
    </row>
    <row r="347" spans="3:5" ht="12.75" x14ac:dyDescent="0.2">
      <c r="C347" s="102"/>
      <c r="D347" s="102"/>
      <c r="E347" s="102"/>
    </row>
    <row r="348" spans="3:5" ht="12.75" x14ac:dyDescent="0.2">
      <c r="C348" s="102"/>
      <c r="D348" s="102"/>
      <c r="E348" s="102"/>
    </row>
    <row r="349" spans="3:5" ht="12.75" x14ac:dyDescent="0.2">
      <c r="C349" s="102"/>
      <c r="D349" s="102"/>
      <c r="E349" s="102"/>
    </row>
    <row r="350" spans="3:5" ht="12.75" x14ac:dyDescent="0.2">
      <c r="C350" s="102"/>
      <c r="D350" s="102"/>
      <c r="E350" s="102"/>
    </row>
    <row r="351" spans="3:5" ht="12.75" x14ac:dyDescent="0.2">
      <c r="C351" s="102"/>
      <c r="D351" s="102"/>
      <c r="E351" s="102"/>
    </row>
    <row r="352" spans="3:5" ht="12.75" x14ac:dyDescent="0.2">
      <c r="C352" s="102"/>
      <c r="D352" s="102"/>
      <c r="E352" s="102"/>
    </row>
    <row r="353" spans="3:5" ht="12.75" x14ac:dyDescent="0.2">
      <c r="C353" s="102"/>
      <c r="D353" s="102"/>
      <c r="E353" s="102"/>
    </row>
    <row r="354" spans="3:5" ht="12.75" x14ac:dyDescent="0.2">
      <c r="C354" s="102"/>
      <c r="D354" s="102"/>
      <c r="E354" s="102"/>
    </row>
    <row r="355" spans="3:5" ht="12.75" x14ac:dyDescent="0.2">
      <c r="C355" s="102"/>
      <c r="D355" s="102"/>
      <c r="E355" s="102"/>
    </row>
    <row r="356" spans="3:5" ht="12.75" x14ac:dyDescent="0.2">
      <c r="C356" s="102"/>
      <c r="D356" s="102"/>
      <c r="E356" s="102"/>
    </row>
    <row r="357" spans="3:5" ht="12.75" x14ac:dyDescent="0.2">
      <c r="C357" s="102"/>
      <c r="D357" s="102"/>
      <c r="E357" s="102"/>
    </row>
    <row r="358" spans="3:5" ht="12.75" x14ac:dyDescent="0.2">
      <c r="C358" s="102"/>
      <c r="D358" s="102"/>
      <c r="E358" s="102"/>
    </row>
    <row r="359" spans="3:5" ht="12.75" x14ac:dyDescent="0.2">
      <c r="C359" s="102"/>
      <c r="D359" s="102"/>
      <c r="E359" s="102"/>
    </row>
    <row r="360" spans="3:5" ht="12.75" x14ac:dyDescent="0.2">
      <c r="C360" s="102"/>
      <c r="D360" s="102"/>
      <c r="E360" s="102"/>
    </row>
    <row r="361" spans="3:5" ht="12.75" x14ac:dyDescent="0.2">
      <c r="C361" s="102"/>
      <c r="D361" s="102"/>
      <c r="E361" s="102"/>
    </row>
    <row r="362" spans="3:5" ht="12.75" x14ac:dyDescent="0.2">
      <c r="C362" s="102"/>
      <c r="D362" s="102"/>
      <c r="E362" s="102"/>
    </row>
    <row r="363" spans="3:5" ht="12.75" x14ac:dyDescent="0.2">
      <c r="C363" s="102"/>
      <c r="D363" s="102"/>
      <c r="E363" s="102"/>
    </row>
    <row r="364" spans="3:5" ht="12.75" x14ac:dyDescent="0.2">
      <c r="C364" s="102"/>
      <c r="D364" s="102"/>
      <c r="E364" s="102"/>
    </row>
    <row r="365" spans="3:5" ht="12.75" x14ac:dyDescent="0.2">
      <c r="C365" s="102"/>
      <c r="D365" s="102"/>
      <c r="E365" s="102"/>
    </row>
    <row r="366" spans="3:5" ht="12.75" x14ac:dyDescent="0.2">
      <c r="C366" s="102"/>
      <c r="D366" s="102"/>
      <c r="E366" s="102"/>
    </row>
    <row r="367" spans="3:5" ht="12.75" x14ac:dyDescent="0.2">
      <c r="C367" s="102"/>
      <c r="D367" s="102"/>
      <c r="E367" s="102"/>
    </row>
    <row r="368" spans="3:5" ht="12.75" x14ac:dyDescent="0.2">
      <c r="C368" s="102"/>
      <c r="D368" s="102"/>
      <c r="E368" s="102"/>
    </row>
    <row r="369" spans="3:5" ht="12.75" x14ac:dyDescent="0.2">
      <c r="C369" s="102"/>
      <c r="D369" s="102"/>
      <c r="E369" s="102"/>
    </row>
    <row r="370" spans="3:5" ht="12.75" x14ac:dyDescent="0.2">
      <c r="C370" s="102"/>
      <c r="D370" s="102"/>
      <c r="E370" s="102"/>
    </row>
    <row r="371" spans="3:5" ht="12.75" x14ac:dyDescent="0.2">
      <c r="C371" s="102"/>
      <c r="D371" s="102"/>
      <c r="E371" s="102"/>
    </row>
    <row r="372" spans="3:5" ht="12.75" x14ac:dyDescent="0.2">
      <c r="C372" s="102"/>
      <c r="D372" s="102"/>
      <c r="E372" s="102"/>
    </row>
    <row r="373" spans="3:5" ht="12.75" x14ac:dyDescent="0.2">
      <c r="C373" s="102"/>
      <c r="D373" s="102"/>
      <c r="E373" s="102"/>
    </row>
    <row r="374" spans="3:5" ht="12.75" x14ac:dyDescent="0.2">
      <c r="C374" s="102"/>
      <c r="D374" s="102"/>
      <c r="E374" s="102"/>
    </row>
    <row r="375" spans="3:5" ht="12.75" x14ac:dyDescent="0.2">
      <c r="C375" s="102"/>
      <c r="D375" s="102"/>
      <c r="E375" s="102"/>
    </row>
    <row r="376" spans="3:5" ht="12.75" x14ac:dyDescent="0.2">
      <c r="C376" s="102"/>
      <c r="D376" s="102"/>
      <c r="E376" s="102"/>
    </row>
    <row r="377" spans="3:5" ht="12.75" x14ac:dyDescent="0.2">
      <c r="C377" s="102"/>
      <c r="D377" s="102"/>
      <c r="E377" s="102"/>
    </row>
    <row r="378" spans="3:5" ht="12.75" x14ac:dyDescent="0.2">
      <c r="C378" s="102"/>
      <c r="D378" s="102"/>
      <c r="E378" s="102"/>
    </row>
    <row r="379" spans="3:5" ht="12.75" x14ac:dyDescent="0.2">
      <c r="C379" s="102"/>
      <c r="D379" s="102"/>
      <c r="E379" s="102"/>
    </row>
    <row r="380" spans="3:5" ht="12.75" x14ac:dyDescent="0.2">
      <c r="C380" s="102"/>
      <c r="D380" s="102"/>
      <c r="E380" s="102"/>
    </row>
    <row r="381" spans="3:5" ht="12.75" x14ac:dyDescent="0.2">
      <c r="C381" s="102"/>
      <c r="D381" s="102"/>
      <c r="E381" s="102"/>
    </row>
    <row r="382" spans="3:5" ht="12.75" x14ac:dyDescent="0.2">
      <c r="C382" s="102"/>
      <c r="D382" s="102"/>
      <c r="E382" s="102"/>
    </row>
    <row r="383" spans="3:5" ht="12.75" x14ac:dyDescent="0.2">
      <c r="C383" s="102"/>
      <c r="D383" s="102"/>
      <c r="E383" s="102"/>
    </row>
    <row r="384" spans="3:5" ht="12.75" x14ac:dyDescent="0.2">
      <c r="C384" s="102"/>
      <c r="D384" s="102"/>
      <c r="E384" s="102"/>
    </row>
    <row r="385" spans="3:5" ht="12.75" x14ac:dyDescent="0.2">
      <c r="C385" s="102"/>
      <c r="D385" s="102"/>
      <c r="E385" s="102"/>
    </row>
    <row r="386" spans="3:5" ht="12.75" x14ac:dyDescent="0.2">
      <c r="C386" s="102"/>
      <c r="D386" s="102"/>
      <c r="E386" s="102"/>
    </row>
    <row r="387" spans="3:5" ht="12.75" x14ac:dyDescent="0.2">
      <c r="C387" s="102"/>
      <c r="D387" s="102"/>
      <c r="E387" s="102"/>
    </row>
    <row r="388" spans="3:5" ht="12.75" x14ac:dyDescent="0.2">
      <c r="C388" s="102"/>
      <c r="D388" s="102"/>
      <c r="E388" s="102"/>
    </row>
    <row r="389" spans="3:5" ht="12.75" x14ac:dyDescent="0.2">
      <c r="C389" s="102"/>
      <c r="D389" s="102"/>
      <c r="E389" s="102"/>
    </row>
    <row r="390" spans="3:5" ht="12.75" x14ac:dyDescent="0.2">
      <c r="C390" s="102"/>
      <c r="D390" s="102"/>
      <c r="E390" s="102"/>
    </row>
    <row r="391" spans="3:5" ht="12.75" x14ac:dyDescent="0.2">
      <c r="C391" s="102"/>
      <c r="D391" s="102"/>
      <c r="E391" s="102"/>
    </row>
    <row r="392" spans="3:5" ht="12.75" x14ac:dyDescent="0.2">
      <c r="C392" s="102"/>
      <c r="D392" s="102"/>
      <c r="E392" s="102"/>
    </row>
    <row r="393" spans="3:5" ht="12.75" x14ac:dyDescent="0.2">
      <c r="C393" s="102"/>
      <c r="D393" s="102"/>
      <c r="E393" s="102"/>
    </row>
    <row r="394" spans="3:5" ht="12.75" x14ac:dyDescent="0.2">
      <c r="C394" s="102"/>
      <c r="D394" s="102"/>
      <c r="E394" s="102"/>
    </row>
    <row r="395" spans="3:5" ht="12.75" x14ac:dyDescent="0.2">
      <c r="C395" s="102"/>
      <c r="D395" s="102"/>
      <c r="E395" s="102"/>
    </row>
    <row r="396" spans="3:5" ht="12.75" x14ac:dyDescent="0.2">
      <c r="C396" s="102"/>
      <c r="D396" s="102"/>
      <c r="E396" s="102"/>
    </row>
    <row r="397" spans="3:5" ht="12.75" x14ac:dyDescent="0.2">
      <c r="C397" s="102"/>
      <c r="D397" s="102"/>
      <c r="E397" s="102"/>
    </row>
    <row r="398" spans="3:5" ht="12.75" x14ac:dyDescent="0.2">
      <c r="C398" s="102"/>
      <c r="D398" s="102"/>
      <c r="E398" s="102"/>
    </row>
    <row r="399" spans="3:5" ht="12.75" x14ac:dyDescent="0.2">
      <c r="C399" s="102"/>
      <c r="D399" s="102"/>
      <c r="E399" s="102"/>
    </row>
    <row r="400" spans="3:5" ht="12.75" x14ac:dyDescent="0.2">
      <c r="C400" s="102"/>
      <c r="D400" s="102"/>
      <c r="E400" s="102"/>
    </row>
    <row r="401" spans="3:5" ht="12.75" x14ac:dyDescent="0.2">
      <c r="C401" s="102"/>
      <c r="D401" s="102"/>
      <c r="E401" s="102"/>
    </row>
    <row r="402" spans="3:5" ht="12.75" x14ac:dyDescent="0.2">
      <c r="C402" s="102"/>
      <c r="D402" s="102"/>
      <c r="E402" s="102"/>
    </row>
    <row r="403" spans="3:5" ht="12.75" x14ac:dyDescent="0.2">
      <c r="C403" s="102"/>
      <c r="D403" s="102"/>
      <c r="E403" s="102"/>
    </row>
    <row r="404" spans="3:5" ht="12.75" x14ac:dyDescent="0.2">
      <c r="C404" s="102"/>
      <c r="D404" s="102"/>
      <c r="E404" s="102"/>
    </row>
    <row r="405" spans="3:5" ht="12.75" x14ac:dyDescent="0.2">
      <c r="C405" s="102"/>
      <c r="D405" s="102"/>
      <c r="E405" s="102"/>
    </row>
    <row r="406" spans="3:5" ht="12.75" x14ac:dyDescent="0.2">
      <c r="C406" s="102"/>
      <c r="D406" s="102"/>
      <c r="E406" s="102"/>
    </row>
    <row r="407" spans="3:5" ht="12.75" x14ac:dyDescent="0.2">
      <c r="C407" s="102"/>
      <c r="D407" s="102"/>
      <c r="E407" s="102"/>
    </row>
    <row r="408" spans="3:5" ht="12.75" x14ac:dyDescent="0.2">
      <c r="C408" s="102"/>
      <c r="D408" s="102"/>
      <c r="E408" s="102"/>
    </row>
    <row r="409" spans="3:5" ht="12.75" x14ac:dyDescent="0.2">
      <c r="C409" s="102"/>
      <c r="D409" s="102"/>
      <c r="E409" s="102"/>
    </row>
    <row r="410" spans="3:5" ht="12.75" x14ac:dyDescent="0.2">
      <c r="C410" s="102"/>
      <c r="D410" s="102"/>
      <c r="E410" s="102"/>
    </row>
    <row r="411" spans="3:5" ht="12.75" x14ac:dyDescent="0.2">
      <c r="C411" s="102"/>
      <c r="D411" s="102"/>
      <c r="E411" s="102"/>
    </row>
    <row r="412" spans="3:5" ht="12.75" x14ac:dyDescent="0.2">
      <c r="C412" s="102"/>
      <c r="D412" s="102"/>
      <c r="E412" s="102"/>
    </row>
    <row r="413" spans="3:5" ht="12.75" x14ac:dyDescent="0.2">
      <c r="C413" s="102"/>
      <c r="D413" s="102"/>
      <c r="E413" s="102"/>
    </row>
    <row r="414" spans="3:5" ht="12.75" x14ac:dyDescent="0.2">
      <c r="C414" s="102"/>
      <c r="D414" s="102"/>
      <c r="E414" s="102"/>
    </row>
    <row r="415" spans="3:5" ht="12.75" x14ac:dyDescent="0.2">
      <c r="C415" s="102"/>
      <c r="D415" s="102"/>
      <c r="E415" s="102"/>
    </row>
    <row r="416" spans="3:5" ht="12.75" x14ac:dyDescent="0.2">
      <c r="C416" s="102"/>
      <c r="D416" s="102"/>
      <c r="E416" s="102"/>
    </row>
    <row r="417" spans="3:5" ht="12.75" x14ac:dyDescent="0.2">
      <c r="C417" s="102"/>
      <c r="D417" s="102"/>
      <c r="E417" s="102"/>
    </row>
    <row r="418" spans="3:5" ht="12.75" x14ac:dyDescent="0.2">
      <c r="C418" s="102"/>
      <c r="D418" s="102"/>
      <c r="E418" s="102"/>
    </row>
    <row r="419" spans="3:5" ht="12.75" x14ac:dyDescent="0.2">
      <c r="C419" s="102"/>
      <c r="D419" s="102"/>
      <c r="E419" s="102"/>
    </row>
    <row r="420" spans="3:5" ht="12.75" x14ac:dyDescent="0.2">
      <c r="C420" s="102"/>
      <c r="D420" s="102"/>
      <c r="E420" s="102"/>
    </row>
    <row r="421" spans="3:5" ht="12.75" x14ac:dyDescent="0.2">
      <c r="C421" s="102"/>
      <c r="D421" s="102"/>
      <c r="E421" s="102"/>
    </row>
    <row r="422" spans="3:5" ht="12.75" x14ac:dyDescent="0.2">
      <c r="C422" s="102"/>
      <c r="D422" s="102"/>
      <c r="E422" s="102"/>
    </row>
    <row r="423" spans="3:5" ht="12.75" x14ac:dyDescent="0.2">
      <c r="C423" s="102"/>
      <c r="D423" s="102"/>
      <c r="E423" s="102"/>
    </row>
    <row r="424" spans="3:5" ht="12.75" x14ac:dyDescent="0.2">
      <c r="C424" s="102"/>
      <c r="D424" s="102"/>
      <c r="E424" s="102"/>
    </row>
    <row r="425" spans="3:5" ht="12.75" x14ac:dyDescent="0.2">
      <c r="C425" s="102"/>
      <c r="D425" s="102"/>
      <c r="E425" s="102"/>
    </row>
    <row r="426" spans="3:5" ht="12.75" x14ac:dyDescent="0.2">
      <c r="C426" s="102"/>
      <c r="D426" s="102"/>
      <c r="E426" s="102"/>
    </row>
    <row r="427" spans="3:5" ht="12.75" x14ac:dyDescent="0.2">
      <c r="C427" s="102"/>
      <c r="D427" s="102"/>
      <c r="E427" s="102"/>
    </row>
    <row r="428" spans="3:5" ht="12.75" x14ac:dyDescent="0.2">
      <c r="C428" s="102"/>
      <c r="D428" s="102"/>
      <c r="E428" s="102"/>
    </row>
    <row r="429" spans="3:5" ht="12.75" x14ac:dyDescent="0.2">
      <c r="C429" s="102"/>
      <c r="D429" s="102"/>
      <c r="E429" s="102"/>
    </row>
    <row r="430" spans="3:5" ht="12.75" x14ac:dyDescent="0.2">
      <c r="C430" s="102"/>
      <c r="D430" s="102"/>
      <c r="E430" s="102"/>
    </row>
    <row r="431" spans="3:5" ht="12.75" x14ac:dyDescent="0.2">
      <c r="C431" s="102"/>
      <c r="D431" s="102"/>
      <c r="E431" s="102"/>
    </row>
    <row r="432" spans="3:5" ht="12.75" x14ac:dyDescent="0.2">
      <c r="C432" s="102"/>
      <c r="D432" s="102"/>
      <c r="E432" s="102"/>
    </row>
    <row r="433" spans="3:5" ht="12.75" x14ac:dyDescent="0.2">
      <c r="C433" s="102"/>
      <c r="D433" s="102"/>
      <c r="E433" s="102"/>
    </row>
    <row r="434" spans="3:5" ht="12.75" x14ac:dyDescent="0.2">
      <c r="C434" s="102"/>
      <c r="D434" s="102"/>
      <c r="E434" s="102"/>
    </row>
    <row r="435" spans="3:5" ht="12.75" x14ac:dyDescent="0.2">
      <c r="C435" s="102"/>
      <c r="D435" s="102"/>
      <c r="E435" s="102"/>
    </row>
    <row r="436" spans="3:5" ht="12.75" x14ac:dyDescent="0.2">
      <c r="C436" s="102"/>
      <c r="D436" s="102"/>
      <c r="E436" s="102"/>
    </row>
    <row r="437" spans="3:5" ht="12.75" x14ac:dyDescent="0.2">
      <c r="C437" s="102"/>
      <c r="D437" s="102"/>
      <c r="E437" s="102"/>
    </row>
    <row r="438" spans="3:5" ht="12.75" x14ac:dyDescent="0.2">
      <c r="C438" s="102"/>
      <c r="D438" s="102"/>
      <c r="E438" s="102"/>
    </row>
    <row r="439" spans="3:5" ht="12.75" x14ac:dyDescent="0.2">
      <c r="C439" s="102"/>
      <c r="D439" s="102"/>
      <c r="E439" s="102"/>
    </row>
    <row r="440" spans="3:5" ht="12.75" x14ac:dyDescent="0.2">
      <c r="C440" s="102"/>
      <c r="D440" s="102"/>
      <c r="E440" s="102"/>
    </row>
    <row r="441" spans="3:5" ht="12.75" x14ac:dyDescent="0.2">
      <c r="C441" s="102"/>
      <c r="D441" s="102"/>
      <c r="E441" s="102"/>
    </row>
    <row r="442" spans="3:5" ht="12.75" x14ac:dyDescent="0.2">
      <c r="C442" s="102"/>
      <c r="D442" s="102"/>
      <c r="E442" s="102"/>
    </row>
    <row r="443" spans="3:5" ht="12.75" x14ac:dyDescent="0.2">
      <c r="C443" s="102"/>
      <c r="D443" s="102"/>
      <c r="E443" s="102"/>
    </row>
    <row r="444" spans="3:5" ht="12.75" x14ac:dyDescent="0.2">
      <c r="C444" s="102"/>
      <c r="D444" s="102"/>
      <c r="E444" s="102"/>
    </row>
    <row r="445" spans="3:5" ht="12.75" x14ac:dyDescent="0.2">
      <c r="C445" s="102"/>
      <c r="D445" s="102"/>
      <c r="E445" s="102"/>
    </row>
    <row r="446" spans="3:5" ht="12.75" x14ac:dyDescent="0.2">
      <c r="C446" s="102"/>
      <c r="D446" s="102"/>
      <c r="E446" s="102"/>
    </row>
    <row r="447" spans="3:5" ht="12.75" x14ac:dyDescent="0.2">
      <c r="C447" s="102"/>
      <c r="D447" s="102"/>
      <c r="E447" s="102"/>
    </row>
    <row r="448" spans="3:5" ht="12.75" x14ac:dyDescent="0.2">
      <c r="C448" s="102"/>
      <c r="D448" s="102"/>
      <c r="E448" s="102"/>
    </row>
    <row r="449" spans="3:5" ht="12.75" x14ac:dyDescent="0.2">
      <c r="C449" s="102"/>
      <c r="D449" s="102"/>
      <c r="E449" s="102"/>
    </row>
    <row r="450" spans="3:5" ht="12.75" x14ac:dyDescent="0.2">
      <c r="C450" s="102"/>
      <c r="D450" s="102"/>
      <c r="E450" s="102"/>
    </row>
    <row r="451" spans="3:5" ht="12.75" x14ac:dyDescent="0.2">
      <c r="C451" s="102"/>
      <c r="D451" s="102"/>
      <c r="E451" s="102"/>
    </row>
    <row r="452" spans="3:5" ht="12.75" x14ac:dyDescent="0.2">
      <c r="C452" s="102"/>
      <c r="D452" s="102"/>
      <c r="E452" s="102"/>
    </row>
    <row r="453" spans="3:5" ht="12.75" x14ac:dyDescent="0.2">
      <c r="C453" s="102"/>
      <c r="D453" s="102"/>
      <c r="E453" s="102"/>
    </row>
    <row r="454" spans="3:5" ht="12.75" x14ac:dyDescent="0.2">
      <c r="C454" s="102"/>
      <c r="D454" s="102"/>
      <c r="E454" s="102"/>
    </row>
    <row r="455" spans="3:5" ht="12.75" x14ac:dyDescent="0.2">
      <c r="C455" s="102"/>
      <c r="D455" s="102"/>
      <c r="E455" s="102"/>
    </row>
    <row r="456" spans="3:5" ht="12.75" x14ac:dyDescent="0.2">
      <c r="C456" s="102"/>
      <c r="D456" s="102"/>
      <c r="E456" s="102"/>
    </row>
    <row r="457" spans="3:5" ht="12.75" x14ac:dyDescent="0.2">
      <c r="C457" s="102"/>
      <c r="D457" s="102"/>
      <c r="E457" s="102"/>
    </row>
    <row r="458" spans="3:5" ht="12.75" x14ac:dyDescent="0.2">
      <c r="C458" s="102"/>
      <c r="D458" s="102"/>
      <c r="E458" s="102"/>
    </row>
    <row r="459" spans="3:5" ht="12.75" x14ac:dyDescent="0.2">
      <c r="C459" s="102"/>
      <c r="D459" s="102"/>
      <c r="E459" s="102"/>
    </row>
    <row r="460" spans="3:5" ht="12.75" x14ac:dyDescent="0.2">
      <c r="C460" s="102"/>
      <c r="D460" s="102"/>
      <c r="E460" s="102"/>
    </row>
    <row r="461" spans="3:5" ht="12.75" x14ac:dyDescent="0.2">
      <c r="C461" s="102"/>
      <c r="D461" s="102"/>
      <c r="E461" s="102"/>
    </row>
    <row r="462" spans="3:5" ht="12.75" x14ac:dyDescent="0.2">
      <c r="C462" s="102"/>
      <c r="D462" s="102"/>
      <c r="E462" s="102"/>
    </row>
    <row r="463" spans="3:5" ht="12.75" x14ac:dyDescent="0.2">
      <c r="C463" s="102"/>
      <c r="D463" s="102"/>
      <c r="E463" s="102"/>
    </row>
    <row r="464" spans="3:5" ht="12.75" x14ac:dyDescent="0.2">
      <c r="C464" s="102"/>
      <c r="D464" s="102"/>
      <c r="E464" s="102"/>
    </row>
    <row r="465" spans="3:5" ht="12.75" x14ac:dyDescent="0.2">
      <c r="C465" s="102"/>
      <c r="D465" s="102"/>
      <c r="E465" s="102"/>
    </row>
    <row r="466" spans="3:5" ht="12.75" x14ac:dyDescent="0.2">
      <c r="C466" s="102"/>
      <c r="D466" s="102"/>
      <c r="E466" s="102"/>
    </row>
    <row r="467" spans="3:5" ht="12.75" x14ac:dyDescent="0.2">
      <c r="C467" s="102"/>
      <c r="D467" s="102"/>
      <c r="E467" s="102"/>
    </row>
    <row r="468" spans="3:5" ht="12.75" x14ac:dyDescent="0.2">
      <c r="C468" s="102"/>
      <c r="D468" s="102"/>
      <c r="E468" s="102"/>
    </row>
    <row r="469" spans="3:5" ht="12.75" x14ac:dyDescent="0.2">
      <c r="C469" s="102"/>
      <c r="D469" s="102"/>
      <c r="E469" s="102"/>
    </row>
    <row r="470" spans="3:5" ht="12.75" x14ac:dyDescent="0.2">
      <c r="C470" s="102"/>
      <c r="D470" s="102"/>
      <c r="E470" s="102"/>
    </row>
    <row r="471" spans="3:5" ht="12.75" x14ac:dyDescent="0.2">
      <c r="C471" s="102"/>
      <c r="D471" s="102"/>
      <c r="E471" s="102"/>
    </row>
    <row r="472" spans="3:5" ht="12.75" x14ac:dyDescent="0.2">
      <c r="C472" s="102"/>
      <c r="D472" s="102"/>
      <c r="E472" s="102"/>
    </row>
    <row r="473" spans="3:5" ht="12.75" x14ac:dyDescent="0.2">
      <c r="C473" s="102"/>
      <c r="D473" s="102"/>
      <c r="E473" s="102"/>
    </row>
    <row r="474" spans="3:5" ht="12.75" x14ac:dyDescent="0.2">
      <c r="C474" s="102"/>
      <c r="D474" s="102"/>
      <c r="E474" s="102"/>
    </row>
    <row r="475" spans="3:5" ht="12.75" x14ac:dyDescent="0.2">
      <c r="C475" s="102"/>
      <c r="D475" s="102"/>
      <c r="E475" s="102"/>
    </row>
    <row r="476" spans="3:5" ht="12.75" x14ac:dyDescent="0.2">
      <c r="C476" s="102"/>
      <c r="D476" s="102"/>
      <c r="E476" s="102"/>
    </row>
    <row r="477" spans="3:5" ht="12.75" x14ac:dyDescent="0.2">
      <c r="C477" s="102"/>
      <c r="D477" s="102"/>
      <c r="E477" s="102"/>
    </row>
    <row r="478" spans="3:5" ht="12.75" x14ac:dyDescent="0.2">
      <c r="C478" s="102"/>
      <c r="D478" s="102"/>
      <c r="E478" s="102"/>
    </row>
    <row r="479" spans="3:5" ht="12.75" x14ac:dyDescent="0.2">
      <c r="C479" s="102"/>
      <c r="D479" s="102"/>
      <c r="E479" s="102"/>
    </row>
    <row r="480" spans="3:5" ht="12.75" x14ac:dyDescent="0.2">
      <c r="C480" s="102"/>
      <c r="D480" s="102"/>
      <c r="E480" s="102"/>
    </row>
    <row r="481" spans="3:5" ht="12.75" x14ac:dyDescent="0.2">
      <c r="C481" s="102"/>
      <c r="D481" s="102"/>
      <c r="E481" s="102"/>
    </row>
    <row r="482" spans="3:5" ht="12.75" x14ac:dyDescent="0.2">
      <c r="C482" s="102"/>
      <c r="D482" s="102"/>
      <c r="E482" s="102"/>
    </row>
    <row r="483" spans="3:5" ht="12.75" x14ac:dyDescent="0.2">
      <c r="C483" s="102"/>
      <c r="D483" s="102"/>
      <c r="E483" s="102"/>
    </row>
    <row r="484" spans="3:5" ht="12.75" x14ac:dyDescent="0.2">
      <c r="C484" s="102"/>
      <c r="D484" s="102"/>
      <c r="E484" s="102"/>
    </row>
    <row r="485" spans="3:5" ht="12.75" x14ac:dyDescent="0.2">
      <c r="C485" s="102"/>
      <c r="D485" s="102"/>
      <c r="E485" s="102"/>
    </row>
    <row r="486" spans="3:5" ht="12.75" x14ac:dyDescent="0.2">
      <c r="C486" s="102"/>
      <c r="D486" s="102"/>
      <c r="E486" s="102"/>
    </row>
    <row r="487" spans="3:5" ht="12.75" x14ac:dyDescent="0.2">
      <c r="C487" s="102"/>
      <c r="D487" s="102"/>
      <c r="E487" s="102"/>
    </row>
    <row r="488" spans="3:5" ht="12.75" x14ac:dyDescent="0.2">
      <c r="C488" s="102"/>
      <c r="D488" s="102"/>
      <c r="E488" s="102"/>
    </row>
    <row r="489" spans="3:5" ht="12.75" x14ac:dyDescent="0.2">
      <c r="C489" s="102"/>
      <c r="D489" s="102"/>
      <c r="E489" s="102"/>
    </row>
    <row r="490" spans="3:5" ht="12.75" x14ac:dyDescent="0.2">
      <c r="C490" s="102"/>
      <c r="D490" s="102"/>
      <c r="E490" s="102"/>
    </row>
    <row r="491" spans="3:5" ht="12.75" x14ac:dyDescent="0.2">
      <c r="C491" s="102"/>
      <c r="D491" s="102"/>
      <c r="E491" s="102"/>
    </row>
    <row r="492" spans="3:5" ht="12.75" x14ac:dyDescent="0.2">
      <c r="C492" s="102"/>
      <c r="D492" s="102"/>
      <c r="E492" s="102"/>
    </row>
    <row r="493" spans="3:5" ht="12.75" x14ac:dyDescent="0.2">
      <c r="C493" s="102"/>
      <c r="D493" s="102"/>
      <c r="E493" s="102"/>
    </row>
    <row r="494" spans="3:5" ht="12.75" x14ac:dyDescent="0.2">
      <c r="C494" s="102"/>
      <c r="D494" s="102"/>
      <c r="E494" s="102"/>
    </row>
    <row r="495" spans="3:5" ht="12.75" x14ac:dyDescent="0.2">
      <c r="C495" s="102"/>
      <c r="D495" s="102"/>
      <c r="E495" s="102"/>
    </row>
    <row r="496" spans="3:5" ht="12.75" x14ac:dyDescent="0.2">
      <c r="C496" s="102"/>
      <c r="D496" s="102"/>
      <c r="E496" s="102"/>
    </row>
    <row r="497" spans="3:5" ht="12.75" x14ac:dyDescent="0.2">
      <c r="C497" s="102"/>
      <c r="D497" s="102"/>
      <c r="E497" s="102"/>
    </row>
    <row r="498" spans="3:5" ht="12.75" x14ac:dyDescent="0.2">
      <c r="C498" s="102"/>
      <c r="D498" s="102"/>
      <c r="E498" s="102"/>
    </row>
    <row r="499" spans="3:5" ht="12.75" x14ac:dyDescent="0.2">
      <c r="C499" s="102"/>
      <c r="D499" s="102"/>
      <c r="E499" s="102"/>
    </row>
    <row r="500" spans="3:5" ht="12.75" x14ac:dyDescent="0.2">
      <c r="C500" s="102"/>
      <c r="D500" s="102"/>
      <c r="E500" s="102"/>
    </row>
    <row r="501" spans="3:5" ht="12.75" x14ac:dyDescent="0.2">
      <c r="C501" s="102"/>
      <c r="D501" s="102"/>
      <c r="E501" s="102"/>
    </row>
    <row r="502" spans="3:5" ht="12.75" x14ac:dyDescent="0.2">
      <c r="C502" s="102"/>
      <c r="D502" s="102"/>
      <c r="E502" s="102"/>
    </row>
    <row r="503" spans="3:5" ht="12.75" x14ac:dyDescent="0.2">
      <c r="C503" s="102"/>
      <c r="D503" s="102"/>
      <c r="E503" s="102"/>
    </row>
    <row r="504" spans="3:5" ht="12.75" x14ac:dyDescent="0.2">
      <c r="C504" s="102"/>
      <c r="D504" s="102"/>
      <c r="E504" s="102"/>
    </row>
    <row r="505" spans="3:5" ht="12.75" x14ac:dyDescent="0.2">
      <c r="C505" s="102"/>
      <c r="D505" s="102"/>
      <c r="E505" s="102"/>
    </row>
    <row r="506" spans="3:5" ht="12.75" x14ac:dyDescent="0.2">
      <c r="C506" s="102"/>
      <c r="D506" s="102"/>
      <c r="E506" s="102"/>
    </row>
    <row r="507" spans="3:5" ht="12.75" x14ac:dyDescent="0.2">
      <c r="C507" s="102"/>
      <c r="D507" s="102"/>
      <c r="E507" s="102"/>
    </row>
    <row r="508" spans="3:5" ht="12.75" x14ac:dyDescent="0.2">
      <c r="C508" s="102"/>
      <c r="D508" s="102"/>
      <c r="E508" s="102"/>
    </row>
    <row r="509" spans="3:5" ht="12.75" x14ac:dyDescent="0.2">
      <c r="C509" s="102"/>
      <c r="D509" s="102"/>
      <c r="E509" s="102"/>
    </row>
    <row r="510" spans="3:5" ht="12.75" x14ac:dyDescent="0.2">
      <c r="C510" s="102"/>
      <c r="D510" s="102"/>
      <c r="E510" s="102"/>
    </row>
    <row r="511" spans="3:5" ht="12.75" x14ac:dyDescent="0.2">
      <c r="C511" s="102"/>
      <c r="D511" s="102"/>
      <c r="E511" s="102"/>
    </row>
    <row r="512" spans="3:5" ht="12.75" x14ac:dyDescent="0.2">
      <c r="C512" s="102"/>
      <c r="D512" s="102"/>
      <c r="E512" s="102"/>
    </row>
    <row r="513" spans="3:5" ht="12.75" x14ac:dyDescent="0.2">
      <c r="C513" s="102"/>
      <c r="D513" s="102"/>
      <c r="E513" s="102"/>
    </row>
    <row r="514" spans="3:5" ht="12.75" x14ac:dyDescent="0.2">
      <c r="C514" s="102"/>
      <c r="D514" s="102"/>
      <c r="E514" s="102"/>
    </row>
    <row r="515" spans="3:5" ht="12.75" x14ac:dyDescent="0.2">
      <c r="C515" s="102"/>
      <c r="D515" s="102"/>
      <c r="E515" s="102"/>
    </row>
    <row r="516" spans="3:5" ht="12.75" x14ac:dyDescent="0.2">
      <c r="C516" s="102"/>
      <c r="D516" s="102"/>
      <c r="E516" s="102"/>
    </row>
    <row r="517" spans="3:5" ht="12.75" x14ac:dyDescent="0.2">
      <c r="C517" s="102"/>
      <c r="D517" s="102"/>
      <c r="E517" s="102"/>
    </row>
    <row r="518" spans="3:5" ht="12.75" x14ac:dyDescent="0.2">
      <c r="C518" s="102"/>
      <c r="D518" s="102"/>
      <c r="E518" s="102"/>
    </row>
    <row r="519" spans="3:5" ht="12.75" x14ac:dyDescent="0.2">
      <c r="C519" s="102"/>
      <c r="D519" s="102"/>
      <c r="E519" s="102"/>
    </row>
    <row r="520" spans="3:5" ht="12.75" x14ac:dyDescent="0.2">
      <c r="C520" s="102"/>
      <c r="D520" s="102"/>
      <c r="E520" s="102"/>
    </row>
    <row r="521" spans="3:5" ht="12.75" x14ac:dyDescent="0.2">
      <c r="C521" s="102"/>
      <c r="D521" s="102"/>
      <c r="E521" s="102"/>
    </row>
    <row r="522" spans="3:5" ht="12.75" x14ac:dyDescent="0.2">
      <c r="C522" s="102"/>
      <c r="D522" s="102"/>
      <c r="E522" s="102"/>
    </row>
    <row r="523" spans="3:5" ht="12.75" x14ac:dyDescent="0.2">
      <c r="C523" s="102"/>
      <c r="D523" s="102"/>
      <c r="E523" s="102"/>
    </row>
    <row r="524" spans="3:5" ht="12.75" x14ac:dyDescent="0.2">
      <c r="C524" s="102"/>
      <c r="D524" s="102"/>
      <c r="E524" s="102"/>
    </row>
    <row r="525" spans="3:5" ht="12.75" x14ac:dyDescent="0.2">
      <c r="C525" s="102"/>
      <c r="D525" s="102"/>
      <c r="E525" s="102"/>
    </row>
    <row r="526" spans="3:5" ht="12.75" x14ac:dyDescent="0.2">
      <c r="C526" s="102"/>
      <c r="D526" s="102"/>
      <c r="E526" s="102"/>
    </row>
    <row r="527" spans="3:5" ht="12.75" x14ac:dyDescent="0.2">
      <c r="C527" s="102"/>
      <c r="D527" s="102"/>
      <c r="E527" s="102"/>
    </row>
    <row r="528" spans="3:5" ht="12.75" x14ac:dyDescent="0.2">
      <c r="C528" s="102"/>
      <c r="D528" s="102"/>
      <c r="E528" s="102"/>
    </row>
    <row r="529" spans="3:5" ht="12.75" x14ac:dyDescent="0.2">
      <c r="C529" s="102"/>
      <c r="D529" s="102"/>
      <c r="E529" s="102"/>
    </row>
    <row r="530" spans="3:5" ht="12.75" x14ac:dyDescent="0.2">
      <c r="C530" s="102"/>
      <c r="D530" s="102"/>
      <c r="E530" s="102"/>
    </row>
    <row r="531" spans="3:5" ht="12.75" x14ac:dyDescent="0.2">
      <c r="C531" s="102"/>
      <c r="D531" s="102"/>
      <c r="E531" s="102"/>
    </row>
    <row r="532" spans="3:5" ht="12.75" x14ac:dyDescent="0.2">
      <c r="C532" s="102"/>
      <c r="D532" s="102"/>
      <c r="E532" s="102"/>
    </row>
    <row r="533" spans="3:5" ht="12.75" x14ac:dyDescent="0.2">
      <c r="C533" s="102"/>
      <c r="D533" s="102"/>
      <c r="E533" s="102"/>
    </row>
    <row r="534" spans="3:5" ht="12.75" x14ac:dyDescent="0.2">
      <c r="C534" s="102"/>
      <c r="D534" s="102"/>
      <c r="E534" s="102"/>
    </row>
    <row r="535" spans="3:5" ht="12.75" x14ac:dyDescent="0.2">
      <c r="C535" s="102"/>
      <c r="D535" s="102"/>
      <c r="E535" s="102"/>
    </row>
    <row r="536" spans="3:5" ht="12.75" x14ac:dyDescent="0.2">
      <c r="C536" s="102"/>
      <c r="D536" s="102"/>
      <c r="E536" s="102"/>
    </row>
    <row r="537" spans="3:5" ht="12.75" x14ac:dyDescent="0.2">
      <c r="C537" s="102"/>
      <c r="D537" s="102"/>
      <c r="E537" s="102"/>
    </row>
    <row r="538" spans="3:5" ht="12.75" x14ac:dyDescent="0.2">
      <c r="C538" s="102"/>
      <c r="D538" s="102"/>
      <c r="E538" s="102"/>
    </row>
    <row r="539" spans="3:5" ht="12.75" x14ac:dyDescent="0.2">
      <c r="C539" s="102"/>
      <c r="D539" s="102"/>
      <c r="E539" s="102"/>
    </row>
    <row r="540" spans="3:5" ht="12.75" x14ac:dyDescent="0.2">
      <c r="C540" s="102"/>
      <c r="D540" s="102"/>
      <c r="E540" s="102"/>
    </row>
    <row r="541" spans="3:5" ht="12.75" x14ac:dyDescent="0.2">
      <c r="C541" s="102"/>
      <c r="D541" s="102"/>
      <c r="E541" s="102"/>
    </row>
    <row r="542" spans="3:5" ht="12.75" x14ac:dyDescent="0.2">
      <c r="C542" s="102"/>
      <c r="D542" s="102"/>
      <c r="E542" s="102"/>
    </row>
    <row r="543" spans="3:5" ht="12.75" x14ac:dyDescent="0.2">
      <c r="C543" s="102"/>
      <c r="D543" s="102"/>
      <c r="E543" s="102"/>
    </row>
    <row r="544" spans="3:5" ht="12.75" x14ac:dyDescent="0.2">
      <c r="C544" s="102"/>
      <c r="D544" s="102"/>
      <c r="E544" s="102"/>
    </row>
    <row r="545" spans="3:5" ht="12.75" x14ac:dyDescent="0.2">
      <c r="C545" s="102"/>
      <c r="D545" s="102"/>
      <c r="E545" s="102"/>
    </row>
    <row r="546" spans="3:5" ht="12.75" x14ac:dyDescent="0.2">
      <c r="C546" s="102"/>
      <c r="D546" s="102"/>
      <c r="E546" s="102"/>
    </row>
    <row r="547" spans="3:5" ht="12.75" x14ac:dyDescent="0.2">
      <c r="C547" s="102"/>
      <c r="D547" s="102"/>
      <c r="E547" s="102"/>
    </row>
    <row r="548" spans="3:5" ht="12.75" x14ac:dyDescent="0.2">
      <c r="C548" s="102"/>
      <c r="D548" s="102"/>
      <c r="E548" s="102"/>
    </row>
    <row r="549" spans="3:5" ht="12.75" x14ac:dyDescent="0.2">
      <c r="C549" s="102"/>
      <c r="D549" s="102"/>
      <c r="E549" s="102"/>
    </row>
    <row r="550" spans="3:5" ht="12.75" x14ac:dyDescent="0.2">
      <c r="C550" s="102"/>
      <c r="D550" s="102"/>
      <c r="E550" s="102"/>
    </row>
    <row r="551" spans="3:5" ht="12.75" x14ac:dyDescent="0.2">
      <c r="C551" s="102"/>
      <c r="D551" s="102"/>
      <c r="E551" s="102"/>
    </row>
    <row r="552" spans="3:5" ht="12.75" x14ac:dyDescent="0.2">
      <c r="C552" s="102"/>
      <c r="D552" s="102"/>
      <c r="E552" s="102"/>
    </row>
    <row r="553" spans="3:5" ht="12.75" x14ac:dyDescent="0.2">
      <c r="C553" s="102"/>
      <c r="D553" s="102"/>
      <c r="E553" s="102"/>
    </row>
    <row r="554" spans="3:5" ht="12.75" x14ac:dyDescent="0.2">
      <c r="C554" s="102"/>
      <c r="D554" s="102"/>
      <c r="E554" s="102"/>
    </row>
    <row r="555" spans="3:5" ht="12.75" x14ac:dyDescent="0.2">
      <c r="C555" s="102"/>
      <c r="D555" s="102"/>
      <c r="E555" s="102"/>
    </row>
    <row r="556" spans="3:5" ht="12.75" x14ac:dyDescent="0.2">
      <c r="C556" s="102"/>
      <c r="D556" s="102"/>
      <c r="E556" s="102"/>
    </row>
    <row r="557" spans="3:5" ht="12.75" x14ac:dyDescent="0.2">
      <c r="C557" s="102"/>
      <c r="D557" s="102"/>
      <c r="E557" s="102"/>
    </row>
    <row r="558" spans="3:5" ht="12.75" x14ac:dyDescent="0.2">
      <c r="C558" s="102"/>
      <c r="D558" s="102"/>
      <c r="E558" s="102"/>
    </row>
    <row r="559" spans="3:5" ht="12.75" x14ac:dyDescent="0.2">
      <c r="C559" s="102"/>
      <c r="D559" s="102"/>
      <c r="E559" s="102"/>
    </row>
    <row r="560" spans="3:5" ht="12.75" x14ac:dyDescent="0.2">
      <c r="C560" s="102"/>
      <c r="D560" s="102"/>
      <c r="E560" s="102"/>
    </row>
    <row r="561" spans="3:5" ht="12.75" x14ac:dyDescent="0.2">
      <c r="C561" s="102"/>
      <c r="D561" s="102"/>
      <c r="E561" s="102"/>
    </row>
    <row r="562" spans="3:5" ht="12.75" x14ac:dyDescent="0.2">
      <c r="C562" s="102"/>
      <c r="D562" s="102"/>
      <c r="E562" s="102"/>
    </row>
    <row r="563" spans="3:5" ht="12.75" x14ac:dyDescent="0.2">
      <c r="C563" s="102"/>
      <c r="D563" s="102"/>
      <c r="E563" s="102"/>
    </row>
    <row r="564" spans="3:5" ht="12.75" x14ac:dyDescent="0.2">
      <c r="C564" s="102"/>
      <c r="D564" s="102"/>
      <c r="E564" s="102"/>
    </row>
    <row r="565" spans="3:5" ht="12.75" x14ac:dyDescent="0.2">
      <c r="C565" s="102"/>
      <c r="D565" s="102"/>
      <c r="E565" s="102"/>
    </row>
    <row r="566" spans="3:5" ht="12.75" x14ac:dyDescent="0.2">
      <c r="C566" s="102"/>
      <c r="D566" s="102"/>
      <c r="E566" s="102"/>
    </row>
    <row r="567" spans="3:5" ht="12.75" x14ac:dyDescent="0.2">
      <c r="C567" s="102"/>
      <c r="D567" s="102"/>
      <c r="E567" s="102"/>
    </row>
    <row r="568" spans="3:5" ht="12.75" x14ac:dyDescent="0.2">
      <c r="C568" s="102"/>
      <c r="D568" s="102"/>
      <c r="E568" s="102"/>
    </row>
    <row r="569" spans="3:5" ht="12.75" x14ac:dyDescent="0.2">
      <c r="C569" s="102"/>
      <c r="D569" s="102"/>
      <c r="E569" s="102"/>
    </row>
    <row r="570" spans="3:5" ht="12.75" x14ac:dyDescent="0.2">
      <c r="C570" s="102"/>
      <c r="D570" s="102"/>
      <c r="E570" s="102"/>
    </row>
    <row r="571" spans="3:5" ht="12.75" x14ac:dyDescent="0.2">
      <c r="C571" s="102"/>
      <c r="D571" s="102"/>
      <c r="E571" s="102"/>
    </row>
    <row r="572" spans="3:5" ht="12.75" x14ac:dyDescent="0.2">
      <c r="C572" s="102"/>
      <c r="D572" s="102"/>
      <c r="E572" s="102"/>
    </row>
    <row r="573" spans="3:5" ht="12.75" x14ac:dyDescent="0.2">
      <c r="C573" s="102"/>
      <c r="D573" s="102"/>
      <c r="E573" s="102"/>
    </row>
    <row r="574" spans="3:5" ht="12.75" x14ac:dyDescent="0.2">
      <c r="C574" s="102"/>
      <c r="D574" s="102"/>
      <c r="E574" s="102"/>
    </row>
    <row r="575" spans="3:5" ht="12.75" x14ac:dyDescent="0.2">
      <c r="C575" s="102"/>
      <c r="D575" s="102"/>
      <c r="E575" s="102"/>
    </row>
    <row r="576" spans="3:5" ht="12.75" x14ac:dyDescent="0.2">
      <c r="C576" s="102"/>
      <c r="D576" s="102"/>
      <c r="E576" s="102"/>
    </row>
    <row r="577" spans="3:5" ht="12.75" x14ac:dyDescent="0.2">
      <c r="C577" s="102"/>
      <c r="D577" s="102"/>
      <c r="E577" s="102"/>
    </row>
    <row r="578" spans="3:5" ht="12.75" x14ac:dyDescent="0.2">
      <c r="C578" s="102"/>
      <c r="D578" s="102"/>
      <c r="E578" s="102"/>
    </row>
    <row r="579" spans="3:5" ht="12.75" x14ac:dyDescent="0.2">
      <c r="C579" s="102"/>
      <c r="D579" s="102"/>
      <c r="E579" s="102"/>
    </row>
    <row r="580" spans="3:5" ht="12.75" x14ac:dyDescent="0.2">
      <c r="C580" s="102"/>
      <c r="D580" s="102"/>
      <c r="E580" s="102"/>
    </row>
    <row r="581" spans="3:5" ht="12.75" x14ac:dyDescent="0.2">
      <c r="C581" s="102"/>
      <c r="D581" s="102"/>
      <c r="E581" s="102"/>
    </row>
    <row r="582" spans="3:5" ht="12.75" x14ac:dyDescent="0.2">
      <c r="C582" s="102"/>
      <c r="D582" s="102"/>
      <c r="E582" s="102"/>
    </row>
    <row r="583" spans="3:5" ht="12.75" x14ac:dyDescent="0.2">
      <c r="C583" s="102"/>
      <c r="D583" s="102"/>
      <c r="E583" s="102"/>
    </row>
    <row r="584" spans="3:5" ht="12.75" x14ac:dyDescent="0.2">
      <c r="C584" s="102"/>
      <c r="D584" s="102"/>
      <c r="E584" s="102"/>
    </row>
    <row r="585" spans="3:5" ht="12.75" x14ac:dyDescent="0.2">
      <c r="C585" s="102"/>
      <c r="D585" s="102"/>
      <c r="E585" s="102"/>
    </row>
    <row r="586" spans="3:5" ht="12.75" x14ac:dyDescent="0.2">
      <c r="C586" s="102"/>
      <c r="D586" s="102"/>
      <c r="E586" s="102"/>
    </row>
    <row r="587" spans="3:5" ht="12.75" x14ac:dyDescent="0.2">
      <c r="C587" s="102"/>
      <c r="D587" s="102"/>
      <c r="E587" s="102"/>
    </row>
    <row r="588" spans="3:5" ht="12.75" x14ac:dyDescent="0.2">
      <c r="C588" s="102"/>
      <c r="D588" s="102"/>
      <c r="E588" s="102"/>
    </row>
    <row r="589" spans="3:5" ht="12.75" x14ac:dyDescent="0.2">
      <c r="C589" s="102"/>
      <c r="D589" s="102"/>
      <c r="E589" s="102"/>
    </row>
    <row r="590" spans="3:5" ht="12.75" x14ac:dyDescent="0.2">
      <c r="C590" s="102"/>
      <c r="D590" s="102"/>
      <c r="E590" s="102"/>
    </row>
    <row r="591" spans="3:5" ht="12.75" x14ac:dyDescent="0.2">
      <c r="C591" s="102"/>
      <c r="D591" s="102"/>
      <c r="E591" s="102"/>
    </row>
    <row r="592" spans="3:5" ht="12.75" x14ac:dyDescent="0.2">
      <c r="C592" s="102"/>
      <c r="D592" s="102"/>
      <c r="E592" s="102"/>
    </row>
    <row r="593" spans="3:5" ht="12.75" x14ac:dyDescent="0.2">
      <c r="C593" s="102"/>
      <c r="D593" s="102"/>
      <c r="E593" s="102"/>
    </row>
    <row r="594" spans="3:5" ht="12.75" x14ac:dyDescent="0.2">
      <c r="C594" s="102"/>
      <c r="D594" s="102"/>
      <c r="E594" s="102"/>
    </row>
    <row r="595" spans="3:5" ht="12.75" x14ac:dyDescent="0.2">
      <c r="C595" s="102"/>
      <c r="D595" s="102"/>
      <c r="E595" s="102"/>
    </row>
    <row r="596" spans="3:5" ht="12.75" x14ac:dyDescent="0.2">
      <c r="C596" s="102"/>
      <c r="D596" s="102"/>
      <c r="E596" s="102"/>
    </row>
    <row r="597" spans="3:5" ht="12.75" x14ac:dyDescent="0.2">
      <c r="C597" s="102"/>
      <c r="D597" s="102"/>
      <c r="E597" s="102"/>
    </row>
    <row r="598" spans="3:5" ht="12.75" x14ac:dyDescent="0.2">
      <c r="C598" s="102"/>
      <c r="D598" s="102"/>
      <c r="E598" s="102"/>
    </row>
    <row r="599" spans="3:5" ht="12.75" x14ac:dyDescent="0.2">
      <c r="C599" s="102"/>
      <c r="D599" s="102"/>
      <c r="E599" s="102"/>
    </row>
    <row r="600" spans="3:5" ht="12.75" x14ac:dyDescent="0.2">
      <c r="C600" s="102"/>
      <c r="D600" s="102"/>
      <c r="E600" s="102"/>
    </row>
    <row r="601" spans="3:5" ht="12.75" x14ac:dyDescent="0.2">
      <c r="C601" s="102"/>
      <c r="D601" s="102"/>
      <c r="E601" s="102"/>
    </row>
    <row r="602" spans="3:5" ht="12.75" x14ac:dyDescent="0.2">
      <c r="C602" s="102"/>
      <c r="D602" s="102"/>
      <c r="E602" s="102"/>
    </row>
    <row r="603" spans="3:5" ht="12.75" x14ac:dyDescent="0.2">
      <c r="C603" s="102"/>
      <c r="D603" s="102"/>
      <c r="E603" s="102"/>
    </row>
    <row r="604" spans="3:5" ht="12.75" x14ac:dyDescent="0.2">
      <c r="C604" s="102"/>
      <c r="D604" s="102"/>
      <c r="E604" s="102"/>
    </row>
    <row r="605" spans="3:5" ht="12.75" x14ac:dyDescent="0.2">
      <c r="C605" s="102"/>
      <c r="D605" s="102"/>
      <c r="E605" s="102"/>
    </row>
    <row r="606" spans="3:5" ht="12.75" x14ac:dyDescent="0.2">
      <c r="C606" s="102"/>
      <c r="D606" s="102"/>
      <c r="E606" s="102"/>
    </row>
    <row r="607" spans="3:5" ht="12.75" x14ac:dyDescent="0.2">
      <c r="C607" s="102"/>
      <c r="D607" s="102"/>
      <c r="E607" s="102"/>
    </row>
    <row r="608" spans="3:5" ht="12.75" x14ac:dyDescent="0.2">
      <c r="C608" s="102"/>
      <c r="D608" s="102"/>
      <c r="E608" s="102"/>
    </row>
    <row r="609" spans="3:5" ht="12.75" x14ac:dyDescent="0.2">
      <c r="C609" s="102"/>
      <c r="D609" s="102"/>
      <c r="E609" s="102"/>
    </row>
    <row r="610" spans="3:5" ht="12.75" x14ac:dyDescent="0.2">
      <c r="C610" s="102"/>
      <c r="D610" s="102"/>
      <c r="E610" s="102"/>
    </row>
    <row r="611" spans="3:5" ht="12.75" x14ac:dyDescent="0.2">
      <c r="C611" s="102"/>
      <c r="D611" s="102"/>
      <c r="E611" s="102"/>
    </row>
    <row r="612" spans="3:5" ht="12.75" x14ac:dyDescent="0.2">
      <c r="C612" s="102"/>
      <c r="D612" s="102"/>
      <c r="E612" s="102"/>
    </row>
    <row r="613" spans="3:5" ht="12.75" x14ac:dyDescent="0.2">
      <c r="C613" s="102"/>
      <c r="D613" s="102"/>
      <c r="E613" s="102"/>
    </row>
    <row r="614" spans="3:5" ht="12.75" x14ac:dyDescent="0.2">
      <c r="C614" s="102"/>
      <c r="D614" s="102"/>
      <c r="E614" s="102"/>
    </row>
    <row r="615" spans="3:5" ht="12.75" x14ac:dyDescent="0.2">
      <c r="C615" s="102"/>
      <c r="D615" s="102"/>
      <c r="E615" s="102"/>
    </row>
    <row r="616" spans="3:5" ht="12.75" x14ac:dyDescent="0.2">
      <c r="C616" s="102"/>
      <c r="D616" s="102"/>
      <c r="E616" s="102"/>
    </row>
    <row r="617" spans="3:5" ht="12.75" x14ac:dyDescent="0.2">
      <c r="C617" s="102"/>
      <c r="D617" s="102"/>
      <c r="E617" s="102"/>
    </row>
    <row r="618" spans="3:5" ht="12.75" x14ac:dyDescent="0.2">
      <c r="C618" s="102"/>
      <c r="D618" s="102"/>
      <c r="E618" s="102"/>
    </row>
    <row r="619" spans="3:5" ht="12.75" x14ac:dyDescent="0.2">
      <c r="C619" s="102"/>
      <c r="D619" s="102"/>
      <c r="E619" s="102"/>
    </row>
    <row r="620" spans="3:5" ht="12.75" x14ac:dyDescent="0.2">
      <c r="C620" s="102"/>
      <c r="D620" s="102"/>
      <c r="E620" s="102"/>
    </row>
    <row r="621" spans="3:5" ht="12.75" x14ac:dyDescent="0.2">
      <c r="C621" s="102"/>
      <c r="D621" s="102"/>
      <c r="E621" s="102"/>
    </row>
    <row r="622" spans="3:5" ht="12.75" x14ac:dyDescent="0.2">
      <c r="C622" s="102"/>
      <c r="D622" s="102"/>
      <c r="E622" s="102"/>
    </row>
    <row r="623" spans="3:5" ht="12.75" x14ac:dyDescent="0.2">
      <c r="C623" s="102"/>
      <c r="D623" s="102"/>
      <c r="E623" s="102"/>
    </row>
    <row r="624" spans="3:5" ht="12.75" x14ac:dyDescent="0.2">
      <c r="C624" s="102"/>
      <c r="D624" s="102"/>
      <c r="E624" s="102"/>
    </row>
    <row r="625" spans="3:5" ht="12.75" x14ac:dyDescent="0.2">
      <c r="C625" s="102"/>
      <c r="D625" s="102"/>
      <c r="E625" s="102"/>
    </row>
    <row r="626" spans="3:5" ht="12.75" x14ac:dyDescent="0.2">
      <c r="C626" s="102"/>
      <c r="D626" s="102"/>
      <c r="E626" s="102"/>
    </row>
    <row r="627" spans="3:5" ht="12.75" x14ac:dyDescent="0.2">
      <c r="C627" s="102"/>
      <c r="D627" s="102"/>
      <c r="E627" s="102"/>
    </row>
    <row r="628" spans="3:5" ht="12.75" x14ac:dyDescent="0.2">
      <c r="C628" s="102"/>
      <c r="D628" s="102"/>
      <c r="E628" s="102"/>
    </row>
    <row r="629" spans="3:5" ht="12.75" x14ac:dyDescent="0.2">
      <c r="C629" s="102"/>
      <c r="D629" s="102"/>
      <c r="E629" s="102"/>
    </row>
    <row r="630" spans="3:5" ht="12.75" x14ac:dyDescent="0.2">
      <c r="C630" s="102"/>
      <c r="D630" s="102"/>
      <c r="E630" s="102"/>
    </row>
    <row r="631" spans="3:5" ht="12.75" x14ac:dyDescent="0.2">
      <c r="C631" s="102"/>
      <c r="D631" s="102"/>
      <c r="E631" s="102"/>
    </row>
    <row r="632" spans="3:5" ht="12.75" x14ac:dyDescent="0.2">
      <c r="C632" s="102"/>
      <c r="D632" s="102"/>
      <c r="E632" s="102"/>
    </row>
    <row r="633" spans="3:5" ht="12.75" x14ac:dyDescent="0.2">
      <c r="C633" s="102"/>
      <c r="D633" s="102"/>
      <c r="E633" s="102"/>
    </row>
    <row r="634" spans="3:5" ht="12.75" x14ac:dyDescent="0.2">
      <c r="C634" s="102"/>
      <c r="D634" s="102"/>
      <c r="E634" s="102"/>
    </row>
    <row r="635" spans="3:5" ht="12.75" x14ac:dyDescent="0.2">
      <c r="C635" s="102"/>
      <c r="D635" s="102"/>
      <c r="E635" s="102"/>
    </row>
    <row r="636" spans="3:5" ht="12.75" x14ac:dyDescent="0.2">
      <c r="C636" s="102"/>
      <c r="D636" s="102"/>
      <c r="E636" s="102"/>
    </row>
    <row r="637" spans="3:5" ht="12.75" x14ac:dyDescent="0.2">
      <c r="C637" s="102"/>
      <c r="D637" s="102"/>
      <c r="E637" s="102"/>
    </row>
    <row r="638" spans="3:5" ht="12.75" x14ac:dyDescent="0.2">
      <c r="C638" s="102"/>
      <c r="D638" s="102"/>
      <c r="E638" s="102"/>
    </row>
    <row r="639" spans="3:5" ht="12.75" x14ac:dyDescent="0.2">
      <c r="C639" s="102"/>
      <c r="D639" s="102"/>
      <c r="E639" s="102"/>
    </row>
    <row r="640" spans="3:5" ht="12.75" x14ac:dyDescent="0.2">
      <c r="C640" s="102"/>
      <c r="D640" s="102"/>
      <c r="E640" s="102"/>
    </row>
    <row r="641" spans="3:5" ht="12.75" x14ac:dyDescent="0.2">
      <c r="C641" s="102"/>
      <c r="D641" s="102"/>
      <c r="E641" s="102"/>
    </row>
    <row r="642" spans="3:5" ht="12.75" x14ac:dyDescent="0.2">
      <c r="C642" s="102"/>
      <c r="D642" s="102"/>
      <c r="E642" s="102"/>
    </row>
    <row r="643" spans="3:5" ht="12.75" x14ac:dyDescent="0.2">
      <c r="C643" s="102"/>
      <c r="D643" s="102"/>
      <c r="E643" s="102"/>
    </row>
    <row r="644" spans="3:5" ht="12.75" x14ac:dyDescent="0.2">
      <c r="C644" s="102"/>
      <c r="D644" s="102"/>
      <c r="E644" s="102"/>
    </row>
    <row r="645" spans="3:5" ht="12.75" x14ac:dyDescent="0.2">
      <c r="C645" s="102"/>
      <c r="D645" s="102"/>
      <c r="E645" s="102"/>
    </row>
    <row r="646" spans="3:5" ht="12.75" x14ac:dyDescent="0.2">
      <c r="C646" s="102"/>
      <c r="D646" s="102"/>
      <c r="E646" s="102"/>
    </row>
    <row r="647" spans="3:5" ht="12.75" x14ac:dyDescent="0.2">
      <c r="C647" s="102"/>
      <c r="D647" s="102"/>
      <c r="E647" s="102"/>
    </row>
    <row r="648" spans="3:5" ht="12.75" x14ac:dyDescent="0.2">
      <c r="C648" s="102"/>
      <c r="D648" s="102"/>
      <c r="E648" s="102"/>
    </row>
    <row r="649" spans="3:5" ht="12.75" x14ac:dyDescent="0.2">
      <c r="C649" s="102"/>
      <c r="D649" s="102"/>
      <c r="E649" s="102"/>
    </row>
    <row r="650" spans="3:5" ht="12.75" x14ac:dyDescent="0.2">
      <c r="C650" s="102"/>
      <c r="D650" s="102"/>
      <c r="E650" s="102"/>
    </row>
    <row r="651" spans="3:5" ht="12.75" x14ac:dyDescent="0.2">
      <c r="C651" s="102"/>
      <c r="D651" s="102"/>
      <c r="E651" s="102"/>
    </row>
    <row r="652" spans="3:5" ht="12.75" x14ac:dyDescent="0.2">
      <c r="C652" s="102"/>
      <c r="D652" s="102"/>
      <c r="E652" s="102"/>
    </row>
    <row r="653" spans="3:5" ht="12.75" x14ac:dyDescent="0.2">
      <c r="C653" s="102"/>
      <c r="D653" s="102"/>
      <c r="E653" s="102"/>
    </row>
    <row r="654" spans="3:5" ht="12.75" x14ac:dyDescent="0.2">
      <c r="C654" s="102"/>
      <c r="D654" s="102"/>
      <c r="E654" s="102"/>
    </row>
    <row r="655" spans="3:5" ht="12.75" x14ac:dyDescent="0.2">
      <c r="C655" s="102"/>
      <c r="D655" s="102"/>
      <c r="E655" s="102"/>
    </row>
    <row r="656" spans="3:5" ht="12.75" x14ac:dyDescent="0.2">
      <c r="C656" s="102"/>
      <c r="D656" s="102"/>
      <c r="E656" s="102"/>
    </row>
    <row r="657" spans="3:5" ht="12.75" x14ac:dyDescent="0.2">
      <c r="C657" s="102"/>
      <c r="D657" s="102"/>
      <c r="E657" s="102"/>
    </row>
    <row r="658" spans="3:5" ht="12.75" x14ac:dyDescent="0.2">
      <c r="C658" s="102"/>
      <c r="D658" s="102"/>
      <c r="E658" s="102"/>
    </row>
    <row r="659" spans="3:5" ht="12.75" x14ac:dyDescent="0.2">
      <c r="C659" s="102"/>
      <c r="D659" s="102"/>
      <c r="E659" s="102"/>
    </row>
    <row r="660" spans="3:5" ht="12.75" x14ac:dyDescent="0.2">
      <c r="C660" s="102"/>
      <c r="D660" s="102"/>
      <c r="E660" s="102"/>
    </row>
    <row r="661" spans="3:5" ht="12.75" x14ac:dyDescent="0.2">
      <c r="C661" s="102"/>
      <c r="D661" s="102"/>
      <c r="E661" s="102"/>
    </row>
    <row r="662" spans="3:5" ht="12.75" x14ac:dyDescent="0.2">
      <c r="C662" s="102"/>
      <c r="D662" s="102"/>
      <c r="E662" s="102"/>
    </row>
    <row r="663" spans="3:5" ht="12.75" x14ac:dyDescent="0.2">
      <c r="C663" s="102"/>
      <c r="D663" s="102"/>
      <c r="E663" s="102"/>
    </row>
    <row r="664" spans="3:5" ht="12.75" x14ac:dyDescent="0.2">
      <c r="C664" s="102"/>
      <c r="D664" s="102"/>
      <c r="E664" s="102"/>
    </row>
    <row r="665" spans="3:5" ht="12.75" x14ac:dyDescent="0.2">
      <c r="C665" s="102"/>
      <c r="D665" s="102"/>
      <c r="E665" s="102"/>
    </row>
    <row r="666" spans="3:5" ht="12.75" x14ac:dyDescent="0.2">
      <c r="C666" s="102"/>
      <c r="D666" s="102"/>
      <c r="E666" s="102"/>
    </row>
    <row r="667" spans="3:5" ht="12.75" x14ac:dyDescent="0.2">
      <c r="C667" s="102"/>
      <c r="D667" s="102"/>
      <c r="E667" s="102"/>
    </row>
    <row r="668" spans="3:5" ht="12.75" x14ac:dyDescent="0.2">
      <c r="C668" s="102"/>
      <c r="D668" s="102"/>
      <c r="E668" s="102"/>
    </row>
    <row r="669" spans="3:5" ht="12.75" x14ac:dyDescent="0.2">
      <c r="C669" s="102"/>
      <c r="D669" s="102"/>
      <c r="E669" s="102"/>
    </row>
    <row r="670" spans="3:5" ht="12.75" x14ac:dyDescent="0.2">
      <c r="C670" s="102"/>
      <c r="D670" s="102"/>
      <c r="E670" s="102"/>
    </row>
    <row r="671" spans="3:5" ht="12.75" x14ac:dyDescent="0.2">
      <c r="C671" s="102"/>
      <c r="D671" s="102"/>
      <c r="E671" s="102"/>
    </row>
    <row r="672" spans="3:5" ht="12.75" x14ac:dyDescent="0.2">
      <c r="C672" s="102"/>
      <c r="D672" s="102"/>
      <c r="E672" s="102"/>
    </row>
    <row r="673" spans="3:5" ht="12.75" x14ac:dyDescent="0.2">
      <c r="C673" s="102"/>
      <c r="D673" s="102"/>
      <c r="E673" s="102"/>
    </row>
    <row r="674" spans="3:5" ht="12.75" x14ac:dyDescent="0.2">
      <c r="C674" s="102"/>
      <c r="D674" s="102"/>
      <c r="E674" s="102"/>
    </row>
    <row r="675" spans="3:5" ht="12.75" x14ac:dyDescent="0.2">
      <c r="C675" s="102"/>
      <c r="D675" s="102"/>
      <c r="E675" s="102"/>
    </row>
    <row r="676" spans="3:5" ht="12.75" x14ac:dyDescent="0.2">
      <c r="C676" s="102"/>
      <c r="D676" s="102"/>
      <c r="E676" s="102"/>
    </row>
    <row r="677" spans="3:5" ht="12.75" x14ac:dyDescent="0.2">
      <c r="C677" s="102"/>
      <c r="D677" s="102"/>
      <c r="E677" s="102"/>
    </row>
    <row r="678" spans="3:5" ht="12.75" x14ac:dyDescent="0.2">
      <c r="C678" s="102"/>
      <c r="D678" s="102"/>
      <c r="E678" s="102"/>
    </row>
    <row r="679" spans="3:5" ht="12.75" x14ac:dyDescent="0.2">
      <c r="C679" s="102"/>
      <c r="D679" s="102"/>
      <c r="E679" s="102"/>
    </row>
    <row r="680" spans="3:5" ht="12.75" x14ac:dyDescent="0.2">
      <c r="C680" s="102"/>
      <c r="D680" s="102"/>
      <c r="E680" s="102"/>
    </row>
    <row r="681" spans="3:5" ht="12.75" x14ac:dyDescent="0.2">
      <c r="C681" s="102"/>
      <c r="D681" s="102"/>
      <c r="E681" s="102"/>
    </row>
    <row r="682" spans="3:5" ht="12.75" x14ac:dyDescent="0.2">
      <c r="C682" s="102"/>
      <c r="D682" s="102"/>
      <c r="E682" s="102"/>
    </row>
    <row r="683" spans="3:5" ht="12.75" x14ac:dyDescent="0.2">
      <c r="C683" s="102"/>
      <c r="D683" s="102"/>
      <c r="E683" s="102"/>
    </row>
    <row r="684" spans="3:5" ht="12.75" x14ac:dyDescent="0.2">
      <c r="C684" s="102"/>
      <c r="D684" s="102"/>
      <c r="E684" s="102"/>
    </row>
    <row r="685" spans="3:5" ht="12.75" x14ac:dyDescent="0.2">
      <c r="C685" s="102"/>
      <c r="D685" s="102"/>
      <c r="E685" s="102"/>
    </row>
    <row r="686" spans="3:5" ht="12.75" x14ac:dyDescent="0.2">
      <c r="C686" s="102"/>
      <c r="D686" s="102"/>
      <c r="E686" s="102"/>
    </row>
    <row r="687" spans="3:5" ht="12.75" x14ac:dyDescent="0.2">
      <c r="C687" s="102"/>
      <c r="D687" s="102"/>
      <c r="E687" s="102"/>
    </row>
    <row r="688" spans="3:5" ht="12.75" x14ac:dyDescent="0.2">
      <c r="C688" s="102"/>
      <c r="D688" s="102"/>
      <c r="E688" s="102"/>
    </row>
    <row r="689" spans="3:5" ht="12.75" x14ac:dyDescent="0.2">
      <c r="C689" s="102"/>
      <c r="D689" s="102"/>
      <c r="E689" s="102"/>
    </row>
    <row r="690" spans="3:5" ht="12.75" x14ac:dyDescent="0.2">
      <c r="C690" s="102"/>
      <c r="D690" s="102"/>
      <c r="E690" s="102"/>
    </row>
    <row r="691" spans="3:5" ht="12.75" x14ac:dyDescent="0.2">
      <c r="C691" s="102"/>
      <c r="D691" s="102"/>
      <c r="E691" s="102"/>
    </row>
    <row r="692" spans="3:5" ht="12.75" x14ac:dyDescent="0.2">
      <c r="C692" s="102"/>
      <c r="D692" s="102"/>
      <c r="E692" s="102"/>
    </row>
    <row r="693" spans="3:5" ht="12.75" x14ac:dyDescent="0.2">
      <c r="C693" s="102"/>
      <c r="D693" s="102"/>
      <c r="E693" s="102"/>
    </row>
    <row r="694" spans="3:5" ht="12.75" x14ac:dyDescent="0.2">
      <c r="C694" s="102"/>
      <c r="D694" s="102"/>
      <c r="E694" s="102"/>
    </row>
    <row r="695" spans="3:5" ht="12.75" x14ac:dyDescent="0.2">
      <c r="C695" s="102"/>
      <c r="D695" s="102"/>
      <c r="E695" s="102"/>
    </row>
    <row r="696" spans="3:5" ht="12.75" x14ac:dyDescent="0.2">
      <c r="C696" s="102"/>
      <c r="D696" s="102"/>
      <c r="E696" s="102"/>
    </row>
    <row r="697" spans="3:5" ht="12.75" x14ac:dyDescent="0.2">
      <c r="C697" s="102"/>
      <c r="D697" s="102"/>
      <c r="E697" s="102"/>
    </row>
    <row r="698" spans="3:5" ht="12.75" x14ac:dyDescent="0.2">
      <c r="C698" s="102"/>
      <c r="D698" s="102"/>
      <c r="E698" s="102"/>
    </row>
    <row r="699" spans="3:5" ht="12.75" x14ac:dyDescent="0.2">
      <c r="C699" s="102"/>
      <c r="D699" s="102"/>
      <c r="E699" s="102"/>
    </row>
    <row r="700" spans="3:5" ht="12.75" x14ac:dyDescent="0.2">
      <c r="C700" s="102"/>
      <c r="D700" s="102"/>
      <c r="E700" s="102"/>
    </row>
    <row r="701" spans="3:5" ht="12.75" x14ac:dyDescent="0.2">
      <c r="C701" s="102"/>
      <c r="D701" s="102"/>
      <c r="E701" s="102"/>
    </row>
    <row r="702" spans="3:5" ht="12.75" x14ac:dyDescent="0.2">
      <c r="C702" s="102"/>
      <c r="D702" s="102"/>
      <c r="E702" s="102"/>
    </row>
    <row r="703" spans="3:5" ht="12.75" x14ac:dyDescent="0.2">
      <c r="C703" s="102"/>
      <c r="D703" s="102"/>
      <c r="E703" s="102"/>
    </row>
    <row r="704" spans="3:5" ht="12.75" x14ac:dyDescent="0.2">
      <c r="C704" s="102"/>
      <c r="D704" s="102"/>
      <c r="E704" s="102"/>
    </row>
    <row r="705" spans="3:5" ht="12.75" x14ac:dyDescent="0.2">
      <c r="C705" s="102"/>
      <c r="D705" s="102"/>
      <c r="E705" s="102"/>
    </row>
    <row r="706" spans="3:5" ht="12.75" x14ac:dyDescent="0.2">
      <c r="C706" s="102"/>
      <c r="D706" s="102"/>
      <c r="E706" s="102"/>
    </row>
    <row r="707" spans="3:5" ht="12.75" x14ac:dyDescent="0.2">
      <c r="C707" s="102"/>
      <c r="D707" s="102"/>
      <c r="E707" s="102"/>
    </row>
    <row r="708" spans="3:5" ht="12.75" x14ac:dyDescent="0.2">
      <c r="C708" s="102"/>
      <c r="D708" s="102"/>
      <c r="E708" s="102"/>
    </row>
    <row r="709" spans="3:5" ht="12.75" x14ac:dyDescent="0.2">
      <c r="C709" s="102"/>
      <c r="D709" s="102"/>
      <c r="E709" s="102"/>
    </row>
    <row r="710" spans="3:5" ht="12.75" x14ac:dyDescent="0.2">
      <c r="C710" s="102"/>
      <c r="D710" s="102"/>
      <c r="E710" s="102"/>
    </row>
    <row r="711" spans="3:5" ht="12.75" x14ac:dyDescent="0.2">
      <c r="C711" s="102"/>
      <c r="D711" s="102"/>
      <c r="E711" s="102"/>
    </row>
    <row r="712" spans="3:5" ht="12.75" x14ac:dyDescent="0.2">
      <c r="C712" s="102"/>
      <c r="D712" s="102"/>
      <c r="E712" s="102"/>
    </row>
    <row r="713" spans="3:5" ht="12.75" x14ac:dyDescent="0.2">
      <c r="C713" s="102"/>
      <c r="D713" s="102"/>
      <c r="E713" s="102"/>
    </row>
    <row r="714" spans="3:5" ht="12.75" x14ac:dyDescent="0.2">
      <c r="C714" s="102"/>
      <c r="D714" s="102"/>
      <c r="E714" s="102"/>
    </row>
    <row r="715" spans="3:5" ht="12.75" x14ac:dyDescent="0.2">
      <c r="C715" s="102"/>
      <c r="D715" s="102"/>
      <c r="E715" s="102"/>
    </row>
    <row r="716" spans="3:5" ht="12.75" x14ac:dyDescent="0.2">
      <c r="C716" s="102"/>
      <c r="D716" s="102"/>
      <c r="E716" s="102"/>
    </row>
    <row r="717" spans="3:5" ht="12.75" x14ac:dyDescent="0.2">
      <c r="C717" s="102"/>
      <c r="D717" s="102"/>
      <c r="E717" s="102"/>
    </row>
    <row r="718" spans="3:5" ht="12.75" x14ac:dyDescent="0.2">
      <c r="C718" s="102"/>
      <c r="D718" s="102"/>
      <c r="E718" s="102"/>
    </row>
    <row r="719" spans="3:5" ht="12.75" x14ac:dyDescent="0.2">
      <c r="C719" s="102"/>
      <c r="D719" s="102"/>
      <c r="E719" s="102"/>
    </row>
    <row r="720" spans="3:5" ht="12.75" x14ac:dyDescent="0.2">
      <c r="C720" s="102"/>
      <c r="D720" s="102"/>
      <c r="E720" s="102"/>
    </row>
    <row r="721" spans="3:5" ht="12.75" x14ac:dyDescent="0.2">
      <c r="C721" s="102"/>
      <c r="D721" s="102"/>
      <c r="E721" s="102"/>
    </row>
    <row r="722" spans="3:5" ht="12.75" x14ac:dyDescent="0.2">
      <c r="C722" s="102"/>
      <c r="D722" s="102"/>
      <c r="E722" s="102"/>
    </row>
    <row r="723" spans="3:5" ht="12.75" x14ac:dyDescent="0.2">
      <c r="C723" s="102"/>
      <c r="D723" s="102"/>
      <c r="E723" s="102"/>
    </row>
    <row r="724" spans="3:5" ht="12.75" x14ac:dyDescent="0.2">
      <c r="C724" s="102"/>
      <c r="D724" s="102"/>
      <c r="E724" s="102"/>
    </row>
    <row r="725" spans="3:5" ht="12.75" x14ac:dyDescent="0.2">
      <c r="C725" s="102"/>
      <c r="D725" s="102"/>
      <c r="E725" s="102"/>
    </row>
    <row r="726" spans="3:5" ht="12.75" x14ac:dyDescent="0.2">
      <c r="C726" s="102"/>
      <c r="D726" s="102"/>
      <c r="E726" s="102"/>
    </row>
    <row r="727" spans="3:5" ht="12.75" x14ac:dyDescent="0.2">
      <c r="C727" s="102"/>
      <c r="D727" s="102"/>
      <c r="E727" s="102"/>
    </row>
    <row r="728" spans="3:5" ht="12.75" x14ac:dyDescent="0.2">
      <c r="C728" s="102"/>
      <c r="D728" s="102"/>
      <c r="E728" s="102"/>
    </row>
    <row r="729" spans="3:5" ht="12.75" x14ac:dyDescent="0.2">
      <c r="C729" s="102"/>
      <c r="D729" s="102"/>
      <c r="E729" s="102"/>
    </row>
    <row r="730" spans="3:5" ht="12.75" x14ac:dyDescent="0.2">
      <c r="C730" s="102"/>
      <c r="D730" s="102"/>
      <c r="E730" s="102"/>
    </row>
    <row r="731" spans="3:5" ht="12.75" x14ac:dyDescent="0.2">
      <c r="C731" s="102"/>
      <c r="D731" s="102"/>
      <c r="E731" s="102"/>
    </row>
    <row r="732" spans="3:5" ht="12.75" x14ac:dyDescent="0.2">
      <c r="C732" s="102"/>
      <c r="D732" s="102"/>
      <c r="E732" s="102"/>
    </row>
    <row r="733" spans="3:5" ht="12.75" x14ac:dyDescent="0.2">
      <c r="C733" s="102"/>
      <c r="D733" s="102"/>
      <c r="E733" s="102"/>
    </row>
    <row r="734" spans="3:5" ht="12.75" x14ac:dyDescent="0.2">
      <c r="C734" s="102"/>
      <c r="D734" s="102"/>
      <c r="E734" s="102"/>
    </row>
    <row r="735" spans="3:5" ht="12.75" x14ac:dyDescent="0.2">
      <c r="C735" s="102"/>
      <c r="D735" s="102"/>
      <c r="E735" s="102"/>
    </row>
    <row r="736" spans="3:5" ht="12.75" x14ac:dyDescent="0.2">
      <c r="C736" s="102"/>
      <c r="D736" s="102"/>
      <c r="E736" s="102"/>
    </row>
    <row r="737" spans="3:5" ht="12.75" x14ac:dyDescent="0.2">
      <c r="C737" s="102"/>
      <c r="D737" s="102"/>
      <c r="E737" s="102"/>
    </row>
    <row r="738" spans="3:5" ht="12.75" x14ac:dyDescent="0.2">
      <c r="C738" s="102"/>
      <c r="D738" s="102"/>
      <c r="E738" s="102"/>
    </row>
    <row r="739" spans="3:5" ht="12.75" x14ac:dyDescent="0.2">
      <c r="C739" s="102"/>
      <c r="D739" s="102"/>
      <c r="E739" s="102"/>
    </row>
    <row r="740" spans="3:5" ht="12.75" x14ac:dyDescent="0.2">
      <c r="C740" s="102"/>
      <c r="D740" s="102"/>
      <c r="E740" s="102"/>
    </row>
    <row r="741" spans="3:5" ht="12.75" x14ac:dyDescent="0.2">
      <c r="C741" s="102"/>
      <c r="D741" s="102"/>
      <c r="E741" s="102"/>
    </row>
    <row r="742" spans="3:5" ht="12.75" x14ac:dyDescent="0.2">
      <c r="C742" s="102"/>
      <c r="D742" s="102"/>
      <c r="E742" s="102"/>
    </row>
    <row r="743" spans="3:5" ht="12.75" x14ac:dyDescent="0.2">
      <c r="C743" s="102"/>
      <c r="D743" s="102"/>
      <c r="E743" s="102"/>
    </row>
    <row r="744" spans="3:5" ht="12.75" x14ac:dyDescent="0.2">
      <c r="C744" s="102"/>
      <c r="D744" s="102"/>
      <c r="E744" s="102"/>
    </row>
    <row r="745" spans="3:5" ht="12.75" x14ac:dyDescent="0.2">
      <c r="C745" s="102"/>
      <c r="D745" s="102"/>
      <c r="E745" s="102"/>
    </row>
    <row r="746" spans="3:5" ht="12.75" x14ac:dyDescent="0.2">
      <c r="C746" s="102"/>
      <c r="D746" s="102"/>
      <c r="E746" s="102"/>
    </row>
    <row r="747" spans="3:5" ht="12.75" x14ac:dyDescent="0.2">
      <c r="C747" s="102"/>
      <c r="D747" s="102"/>
      <c r="E747" s="102"/>
    </row>
    <row r="748" spans="3:5" ht="12.75" x14ac:dyDescent="0.2">
      <c r="C748" s="102"/>
      <c r="D748" s="102"/>
      <c r="E748" s="102"/>
    </row>
    <row r="749" spans="3:5" ht="12.75" x14ac:dyDescent="0.2">
      <c r="C749" s="102"/>
      <c r="D749" s="102"/>
      <c r="E749" s="102"/>
    </row>
    <row r="750" spans="3:5" ht="12.75" x14ac:dyDescent="0.2">
      <c r="C750" s="102"/>
      <c r="D750" s="102"/>
      <c r="E750" s="102"/>
    </row>
    <row r="751" spans="3:5" ht="12.75" x14ac:dyDescent="0.2">
      <c r="C751" s="102"/>
      <c r="D751" s="102"/>
      <c r="E751" s="102"/>
    </row>
    <row r="752" spans="3:5" ht="12.75" x14ac:dyDescent="0.2">
      <c r="C752" s="102"/>
      <c r="D752" s="102"/>
      <c r="E752" s="102"/>
    </row>
    <row r="753" spans="3:5" ht="12.75" x14ac:dyDescent="0.2">
      <c r="C753" s="102"/>
      <c r="D753" s="102"/>
      <c r="E753" s="102"/>
    </row>
    <row r="754" spans="3:5" ht="12.75" x14ac:dyDescent="0.2">
      <c r="C754" s="102"/>
      <c r="D754" s="102"/>
      <c r="E754" s="102"/>
    </row>
    <row r="755" spans="3:5" ht="12.75" x14ac:dyDescent="0.2">
      <c r="C755" s="102"/>
      <c r="D755" s="102"/>
      <c r="E755" s="102"/>
    </row>
    <row r="756" spans="3:5" ht="12.75" x14ac:dyDescent="0.2">
      <c r="C756" s="102"/>
      <c r="D756" s="102"/>
      <c r="E756" s="102"/>
    </row>
    <row r="757" spans="3:5" ht="12.75" x14ac:dyDescent="0.2">
      <c r="C757" s="102"/>
      <c r="D757" s="102"/>
      <c r="E757" s="102"/>
    </row>
    <row r="758" spans="3:5" ht="12.75" x14ac:dyDescent="0.2">
      <c r="C758" s="102"/>
      <c r="D758" s="102"/>
      <c r="E758" s="102"/>
    </row>
    <row r="759" spans="3:5" ht="12.75" x14ac:dyDescent="0.2">
      <c r="C759" s="102"/>
      <c r="D759" s="102"/>
      <c r="E759" s="102"/>
    </row>
    <row r="760" spans="3:5" ht="12.75" x14ac:dyDescent="0.2">
      <c r="C760" s="102"/>
      <c r="D760" s="102"/>
      <c r="E760" s="102"/>
    </row>
    <row r="761" spans="3:5" ht="12.75" x14ac:dyDescent="0.2">
      <c r="C761" s="102"/>
      <c r="D761" s="102"/>
      <c r="E761" s="102"/>
    </row>
    <row r="762" spans="3:5" ht="12.75" x14ac:dyDescent="0.2">
      <c r="C762" s="102"/>
      <c r="D762" s="102"/>
      <c r="E762" s="102"/>
    </row>
    <row r="763" spans="3:5" ht="12.75" x14ac:dyDescent="0.2">
      <c r="C763" s="102"/>
      <c r="D763" s="102"/>
      <c r="E763" s="102"/>
    </row>
    <row r="764" spans="3:5" ht="12.75" x14ac:dyDescent="0.2">
      <c r="C764" s="102"/>
      <c r="D764" s="102"/>
      <c r="E764" s="102"/>
    </row>
    <row r="765" spans="3:5" ht="12.75" x14ac:dyDescent="0.2">
      <c r="C765" s="102"/>
      <c r="D765" s="102"/>
      <c r="E765" s="102"/>
    </row>
    <row r="766" spans="3:5" ht="12.75" x14ac:dyDescent="0.2">
      <c r="C766" s="102"/>
      <c r="D766" s="102"/>
      <c r="E766" s="102"/>
    </row>
    <row r="767" spans="3:5" ht="12.75" x14ac:dyDescent="0.2">
      <c r="C767" s="102"/>
      <c r="D767" s="102"/>
      <c r="E767" s="102"/>
    </row>
    <row r="768" spans="3:5" ht="12.75" x14ac:dyDescent="0.2">
      <c r="C768" s="102"/>
      <c r="D768" s="102"/>
      <c r="E768" s="102"/>
    </row>
    <row r="769" spans="3:5" ht="12.75" x14ac:dyDescent="0.2">
      <c r="C769" s="102"/>
      <c r="D769" s="102"/>
      <c r="E769" s="102"/>
    </row>
    <row r="770" spans="3:5" ht="12.75" x14ac:dyDescent="0.2">
      <c r="C770" s="102"/>
      <c r="D770" s="102"/>
      <c r="E770" s="102"/>
    </row>
    <row r="771" spans="3:5" ht="12.75" x14ac:dyDescent="0.2">
      <c r="C771" s="102"/>
      <c r="D771" s="102"/>
      <c r="E771" s="102"/>
    </row>
    <row r="772" spans="3:5" ht="12.75" x14ac:dyDescent="0.2">
      <c r="C772" s="102"/>
      <c r="D772" s="102"/>
      <c r="E772" s="102"/>
    </row>
    <row r="773" spans="3:5" ht="12.75" x14ac:dyDescent="0.2">
      <c r="C773" s="102"/>
      <c r="D773" s="102"/>
      <c r="E773" s="102"/>
    </row>
    <row r="774" spans="3:5" ht="12.75" x14ac:dyDescent="0.2">
      <c r="C774" s="102"/>
      <c r="D774" s="102"/>
      <c r="E774" s="102"/>
    </row>
    <row r="775" spans="3:5" ht="12.75" x14ac:dyDescent="0.2">
      <c r="C775" s="102"/>
      <c r="D775" s="102"/>
      <c r="E775" s="102"/>
    </row>
    <row r="776" spans="3:5" ht="12.75" x14ac:dyDescent="0.2">
      <c r="C776" s="102"/>
      <c r="D776" s="102"/>
      <c r="E776" s="102"/>
    </row>
    <row r="777" spans="3:5" ht="12.75" x14ac:dyDescent="0.2">
      <c r="C777" s="102"/>
      <c r="D777" s="102"/>
      <c r="E777" s="102"/>
    </row>
    <row r="778" spans="3:5" ht="12.75" x14ac:dyDescent="0.2">
      <c r="C778" s="102"/>
      <c r="D778" s="102"/>
      <c r="E778" s="102"/>
    </row>
    <row r="779" spans="3:5" ht="12.75" x14ac:dyDescent="0.2">
      <c r="C779" s="102"/>
      <c r="D779" s="102"/>
      <c r="E779" s="102"/>
    </row>
    <row r="780" spans="3:5" ht="12.75" x14ac:dyDescent="0.2">
      <c r="C780" s="102"/>
      <c r="D780" s="102"/>
      <c r="E780" s="102"/>
    </row>
    <row r="781" spans="3:5" ht="12.75" x14ac:dyDescent="0.2">
      <c r="C781" s="102"/>
      <c r="D781" s="102"/>
      <c r="E781" s="102"/>
    </row>
    <row r="782" spans="3:5" ht="12.75" x14ac:dyDescent="0.2">
      <c r="C782" s="102"/>
      <c r="D782" s="102"/>
      <c r="E782" s="102"/>
    </row>
    <row r="783" spans="3:5" ht="12.75" x14ac:dyDescent="0.2">
      <c r="C783" s="102"/>
      <c r="D783" s="102"/>
      <c r="E783" s="102"/>
    </row>
    <row r="784" spans="3:5" ht="12.75" x14ac:dyDescent="0.2">
      <c r="C784" s="102"/>
      <c r="D784" s="102"/>
      <c r="E784" s="102"/>
    </row>
    <row r="785" spans="3:5" ht="12.75" x14ac:dyDescent="0.2">
      <c r="C785" s="102"/>
      <c r="D785" s="102"/>
      <c r="E785" s="102"/>
    </row>
    <row r="786" spans="3:5" ht="12.75" x14ac:dyDescent="0.2">
      <c r="C786" s="102"/>
      <c r="D786" s="102"/>
      <c r="E786" s="102"/>
    </row>
    <row r="787" spans="3:5" ht="12.75" x14ac:dyDescent="0.2">
      <c r="C787" s="102"/>
      <c r="D787" s="102"/>
      <c r="E787" s="102"/>
    </row>
    <row r="788" spans="3:5" ht="12.75" x14ac:dyDescent="0.2">
      <c r="C788" s="102"/>
      <c r="D788" s="102"/>
      <c r="E788" s="102"/>
    </row>
    <row r="789" spans="3:5" ht="12.75" x14ac:dyDescent="0.2">
      <c r="C789" s="102"/>
      <c r="D789" s="102"/>
      <c r="E789" s="102"/>
    </row>
    <row r="790" spans="3:5" ht="12.75" x14ac:dyDescent="0.2">
      <c r="C790" s="102"/>
      <c r="D790" s="102"/>
      <c r="E790" s="102"/>
    </row>
    <row r="791" spans="3:5" ht="12.75" x14ac:dyDescent="0.2">
      <c r="C791" s="102"/>
      <c r="D791" s="102"/>
      <c r="E791" s="102"/>
    </row>
    <row r="792" spans="3:5" ht="12.75" x14ac:dyDescent="0.2">
      <c r="C792" s="102"/>
      <c r="D792" s="102"/>
      <c r="E792" s="102"/>
    </row>
    <row r="793" spans="3:5" ht="12.75" x14ac:dyDescent="0.2">
      <c r="C793" s="102"/>
      <c r="D793" s="102"/>
      <c r="E793" s="102"/>
    </row>
    <row r="794" spans="3:5" ht="12.75" x14ac:dyDescent="0.2">
      <c r="C794" s="102"/>
      <c r="D794" s="102"/>
      <c r="E794" s="102"/>
    </row>
    <row r="795" spans="3:5" ht="12.75" x14ac:dyDescent="0.2">
      <c r="C795" s="102"/>
      <c r="D795" s="102"/>
      <c r="E795" s="102"/>
    </row>
    <row r="796" spans="3:5" ht="12.75" x14ac:dyDescent="0.2">
      <c r="C796" s="102"/>
      <c r="D796" s="102"/>
      <c r="E796" s="102"/>
    </row>
    <row r="797" spans="3:5" ht="12.75" x14ac:dyDescent="0.2">
      <c r="C797" s="102"/>
      <c r="D797" s="102"/>
      <c r="E797" s="102"/>
    </row>
    <row r="798" spans="3:5" ht="12.75" x14ac:dyDescent="0.2">
      <c r="C798" s="102"/>
      <c r="D798" s="102"/>
      <c r="E798" s="102"/>
    </row>
    <row r="799" spans="3:5" ht="12.75" x14ac:dyDescent="0.2">
      <c r="C799" s="102"/>
      <c r="D799" s="102"/>
      <c r="E799" s="102"/>
    </row>
    <row r="800" spans="3:5" ht="12.75" x14ac:dyDescent="0.2">
      <c r="C800" s="102"/>
      <c r="D800" s="102"/>
      <c r="E800" s="102"/>
    </row>
    <row r="801" spans="3:5" ht="12.75" x14ac:dyDescent="0.2">
      <c r="C801" s="102"/>
      <c r="D801" s="102"/>
      <c r="E801" s="102"/>
    </row>
    <row r="802" spans="3:5" ht="12.75" x14ac:dyDescent="0.2">
      <c r="C802" s="102"/>
      <c r="D802" s="102"/>
      <c r="E802" s="102"/>
    </row>
    <row r="803" spans="3:5" ht="12.75" x14ac:dyDescent="0.2">
      <c r="C803" s="102"/>
      <c r="D803" s="102"/>
      <c r="E803" s="102"/>
    </row>
    <row r="804" spans="3:5" ht="12.75" x14ac:dyDescent="0.2">
      <c r="C804" s="102"/>
      <c r="D804" s="102"/>
      <c r="E804" s="102"/>
    </row>
    <row r="805" spans="3:5" ht="12.75" x14ac:dyDescent="0.2">
      <c r="C805" s="102"/>
      <c r="D805" s="102"/>
      <c r="E805" s="102"/>
    </row>
    <row r="806" spans="3:5" ht="12.75" x14ac:dyDescent="0.2">
      <c r="C806" s="102"/>
      <c r="D806" s="102"/>
      <c r="E806" s="102"/>
    </row>
    <row r="807" spans="3:5" ht="12.75" x14ac:dyDescent="0.2">
      <c r="C807" s="102"/>
      <c r="D807" s="102"/>
      <c r="E807" s="102"/>
    </row>
    <row r="808" spans="3:5" ht="12.75" x14ac:dyDescent="0.2">
      <c r="C808" s="102"/>
      <c r="D808" s="102"/>
      <c r="E808" s="102"/>
    </row>
    <row r="809" spans="3:5" ht="12.75" x14ac:dyDescent="0.2">
      <c r="C809" s="102"/>
      <c r="D809" s="102"/>
      <c r="E809" s="102"/>
    </row>
    <row r="810" spans="3:5" ht="12.75" x14ac:dyDescent="0.2">
      <c r="C810" s="102"/>
      <c r="D810" s="102"/>
      <c r="E810" s="102"/>
    </row>
    <row r="811" spans="3:5" ht="12.75" x14ac:dyDescent="0.2">
      <c r="C811" s="102"/>
      <c r="D811" s="102"/>
      <c r="E811" s="102"/>
    </row>
    <row r="812" spans="3:5" ht="12.75" x14ac:dyDescent="0.2">
      <c r="C812" s="102"/>
      <c r="D812" s="102"/>
      <c r="E812" s="102"/>
    </row>
    <row r="813" spans="3:5" ht="12.75" x14ac:dyDescent="0.2">
      <c r="C813" s="102"/>
      <c r="D813" s="102"/>
      <c r="E813" s="102"/>
    </row>
    <row r="814" spans="3:5" ht="12.75" x14ac:dyDescent="0.2">
      <c r="C814" s="102"/>
      <c r="D814" s="102"/>
      <c r="E814" s="102"/>
    </row>
    <row r="815" spans="3:5" ht="12.75" x14ac:dyDescent="0.2">
      <c r="C815" s="102"/>
      <c r="D815" s="102"/>
      <c r="E815" s="102"/>
    </row>
    <row r="816" spans="3:5" ht="12.75" x14ac:dyDescent="0.2">
      <c r="C816" s="102"/>
      <c r="D816" s="102"/>
      <c r="E816" s="102"/>
    </row>
    <row r="817" spans="3:5" ht="12.75" x14ac:dyDescent="0.2">
      <c r="C817" s="102"/>
      <c r="D817" s="102"/>
      <c r="E817" s="102"/>
    </row>
    <row r="818" spans="3:5" ht="12.75" x14ac:dyDescent="0.2">
      <c r="C818" s="102"/>
      <c r="D818" s="102"/>
      <c r="E818" s="102"/>
    </row>
    <row r="819" spans="3:5" ht="12.75" x14ac:dyDescent="0.2">
      <c r="C819" s="102"/>
      <c r="D819" s="102"/>
      <c r="E819" s="102"/>
    </row>
    <row r="820" spans="3:5" ht="12.75" x14ac:dyDescent="0.2">
      <c r="C820" s="102"/>
      <c r="D820" s="102"/>
      <c r="E820" s="102"/>
    </row>
    <row r="821" spans="3:5" ht="12.75" x14ac:dyDescent="0.2">
      <c r="C821" s="102"/>
      <c r="D821" s="102"/>
      <c r="E821" s="102"/>
    </row>
    <row r="822" spans="3:5" ht="12.75" x14ac:dyDescent="0.2">
      <c r="C822" s="102"/>
      <c r="D822" s="102"/>
      <c r="E822" s="102"/>
    </row>
    <row r="823" spans="3:5" ht="12.75" x14ac:dyDescent="0.2">
      <c r="C823" s="102"/>
      <c r="D823" s="102"/>
      <c r="E823" s="102"/>
    </row>
    <row r="824" spans="3:5" ht="12.75" x14ac:dyDescent="0.2">
      <c r="C824" s="102"/>
      <c r="D824" s="102"/>
      <c r="E824" s="102"/>
    </row>
    <row r="825" spans="3:5" ht="12.75" x14ac:dyDescent="0.2">
      <c r="C825" s="102"/>
      <c r="D825" s="102"/>
      <c r="E825" s="102"/>
    </row>
    <row r="826" spans="3:5" ht="12.75" x14ac:dyDescent="0.2">
      <c r="C826" s="102"/>
      <c r="D826" s="102"/>
      <c r="E826" s="102"/>
    </row>
    <row r="827" spans="3:5" ht="12.75" x14ac:dyDescent="0.2">
      <c r="C827" s="102"/>
      <c r="D827" s="102"/>
      <c r="E827" s="102"/>
    </row>
    <row r="828" spans="3:5" ht="12.75" x14ac:dyDescent="0.2">
      <c r="C828" s="102"/>
      <c r="D828" s="102"/>
      <c r="E828" s="102"/>
    </row>
    <row r="829" spans="3:5" ht="12.75" x14ac:dyDescent="0.2">
      <c r="C829" s="102"/>
      <c r="D829" s="102"/>
      <c r="E829" s="102"/>
    </row>
    <row r="830" spans="3:5" ht="12.75" x14ac:dyDescent="0.2">
      <c r="C830" s="102"/>
      <c r="D830" s="102"/>
      <c r="E830" s="102"/>
    </row>
    <row r="831" spans="3:5" ht="12.75" x14ac:dyDescent="0.2">
      <c r="C831" s="102"/>
      <c r="D831" s="102"/>
      <c r="E831" s="102"/>
    </row>
    <row r="832" spans="3:5" ht="12.75" x14ac:dyDescent="0.2">
      <c r="C832" s="102"/>
      <c r="D832" s="102"/>
      <c r="E832" s="102"/>
    </row>
    <row r="833" spans="3:5" ht="12.75" x14ac:dyDescent="0.2">
      <c r="C833" s="102"/>
      <c r="D833" s="102"/>
      <c r="E833" s="102"/>
    </row>
    <row r="834" spans="3:5" ht="12.75" x14ac:dyDescent="0.2">
      <c r="C834" s="102"/>
      <c r="D834" s="102"/>
      <c r="E834" s="102"/>
    </row>
    <row r="835" spans="3:5" ht="12.75" x14ac:dyDescent="0.2">
      <c r="C835" s="102"/>
      <c r="D835" s="102"/>
      <c r="E835" s="102"/>
    </row>
    <row r="836" spans="3:5" ht="12.75" x14ac:dyDescent="0.2">
      <c r="C836" s="102"/>
      <c r="D836" s="102"/>
      <c r="E836" s="102"/>
    </row>
    <row r="837" spans="3:5" ht="12.75" x14ac:dyDescent="0.2">
      <c r="C837" s="102"/>
      <c r="D837" s="102"/>
      <c r="E837" s="102"/>
    </row>
    <row r="838" spans="3:5" ht="12.75" x14ac:dyDescent="0.2">
      <c r="C838" s="102"/>
      <c r="D838" s="102"/>
      <c r="E838" s="102"/>
    </row>
    <row r="839" spans="3:5" ht="12.75" x14ac:dyDescent="0.2">
      <c r="C839" s="102"/>
      <c r="D839" s="102"/>
      <c r="E839" s="102"/>
    </row>
    <row r="840" spans="3:5" ht="12.75" x14ac:dyDescent="0.2">
      <c r="C840" s="102"/>
      <c r="D840" s="102"/>
      <c r="E840" s="102"/>
    </row>
    <row r="841" spans="3:5" ht="12.75" x14ac:dyDescent="0.2">
      <c r="C841" s="102"/>
      <c r="D841" s="102"/>
      <c r="E841" s="102"/>
    </row>
    <row r="842" spans="3:5" ht="12.75" x14ac:dyDescent="0.2">
      <c r="C842" s="102"/>
      <c r="D842" s="102"/>
      <c r="E842" s="102"/>
    </row>
    <row r="843" spans="3:5" ht="12.75" x14ac:dyDescent="0.2">
      <c r="C843" s="102"/>
      <c r="D843" s="102"/>
      <c r="E843" s="102"/>
    </row>
    <row r="844" spans="3:5" ht="12.75" x14ac:dyDescent="0.2">
      <c r="C844" s="102"/>
      <c r="D844" s="102"/>
      <c r="E844" s="102"/>
    </row>
    <row r="845" spans="3:5" ht="12.75" x14ac:dyDescent="0.2">
      <c r="C845" s="102"/>
      <c r="D845" s="102"/>
      <c r="E845" s="102"/>
    </row>
    <row r="846" spans="3:5" ht="12.75" x14ac:dyDescent="0.2">
      <c r="C846" s="102"/>
      <c r="D846" s="102"/>
      <c r="E846" s="102"/>
    </row>
    <row r="847" spans="3:5" ht="12.75" x14ac:dyDescent="0.2">
      <c r="C847" s="102"/>
      <c r="D847" s="102"/>
      <c r="E847" s="102"/>
    </row>
    <row r="848" spans="3:5" ht="12.75" x14ac:dyDescent="0.2">
      <c r="C848" s="102"/>
      <c r="D848" s="102"/>
      <c r="E848" s="102"/>
    </row>
    <row r="849" spans="3:5" ht="12.75" x14ac:dyDescent="0.2">
      <c r="C849" s="102"/>
      <c r="D849" s="102"/>
      <c r="E849" s="102"/>
    </row>
    <row r="850" spans="3:5" ht="12.75" x14ac:dyDescent="0.2">
      <c r="C850" s="102"/>
      <c r="D850" s="102"/>
      <c r="E850" s="102"/>
    </row>
    <row r="851" spans="3:5" ht="12.75" x14ac:dyDescent="0.2">
      <c r="C851" s="102"/>
      <c r="D851" s="102"/>
      <c r="E851" s="102"/>
    </row>
    <row r="852" spans="3:5" ht="12.75" x14ac:dyDescent="0.2">
      <c r="C852" s="102"/>
      <c r="D852" s="102"/>
      <c r="E852" s="102"/>
    </row>
    <row r="853" spans="3:5" ht="12.75" x14ac:dyDescent="0.2">
      <c r="C853" s="102"/>
      <c r="D853" s="102"/>
      <c r="E853" s="102"/>
    </row>
    <row r="854" spans="3:5" ht="12.75" x14ac:dyDescent="0.2">
      <c r="C854" s="102"/>
      <c r="D854" s="102"/>
      <c r="E854" s="102"/>
    </row>
    <row r="855" spans="3:5" ht="12.75" x14ac:dyDescent="0.2">
      <c r="C855" s="102"/>
      <c r="D855" s="102"/>
      <c r="E855" s="102"/>
    </row>
    <row r="856" spans="3:5" ht="12.75" x14ac:dyDescent="0.2">
      <c r="C856" s="102"/>
      <c r="D856" s="102"/>
      <c r="E856" s="102"/>
    </row>
    <row r="857" spans="3:5" ht="12.75" x14ac:dyDescent="0.2">
      <c r="C857" s="102"/>
      <c r="D857" s="102"/>
      <c r="E857" s="102"/>
    </row>
    <row r="858" spans="3:5" ht="12.75" x14ac:dyDescent="0.2">
      <c r="C858" s="102"/>
      <c r="D858" s="102"/>
      <c r="E858" s="102"/>
    </row>
    <row r="859" spans="3:5" ht="12.75" x14ac:dyDescent="0.2">
      <c r="C859" s="102"/>
      <c r="D859" s="102"/>
      <c r="E859" s="102"/>
    </row>
    <row r="860" spans="3:5" ht="12.75" x14ac:dyDescent="0.2">
      <c r="C860" s="102"/>
      <c r="D860" s="102"/>
      <c r="E860" s="102"/>
    </row>
    <row r="861" spans="3:5" ht="12.75" x14ac:dyDescent="0.2">
      <c r="C861" s="102"/>
      <c r="D861" s="102"/>
      <c r="E861" s="102"/>
    </row>
    <row r="862" spans="3:5" ht="12.75" x14ac:dyDescent="0.2">
      <c r="C862" s="102"/>
      <c r="D862" s="102"/>
      <c r="E862" s="102"/>
    </row>
    <row r="863" spans="3:5" ht="12.75" x14ac:dyDescent="0.2">
      <c r="C863" s="102"/>
      <c r="D863" s="102"/>
      <c r="E863" s="102"/>
    </row>
    <row r="864" spans="3:5" ht="12.75" x14ac:dyDescent="0.2">
      <c r="C864" s="102"/>
      <c r="D864" s="102"/>
      <c r="E864" s="102"/>
    </row>
    <row r="865" spans="3:5" ht="12.75" x14ac:dyDescent="0.2">
      <c r="C865" s="102"/>
      <c r="D865" s="102"/>
      <c r="E865" s="102"/>
    </row>
    <row r="866" spans="3:5" ht="12.75" x14ac:dyDescent="0.2">
      <c r="C866" s="102"/>
      <c r="D866" s="102"/>
      <c r="E866" s="102"/>
    </row>
    <row r="867" spans="3:5" ht="12.75" x14ac:dyDescent="0.2">
      <c r="C867" s="102"/>
      <c r="D867" s="102"/>
      <c r="E867" s="102"/>
    </row>
    <row r="868" spans="3:5" ht="12.75" x14ac:dyDescent="0.2">
      <c r="C868" s="102"/>
      <c r="D868" s="102"/>
      <c r="E868" s="102"/>
    </row>
    <row r="869" spans="3:5" ht="12.75" x14ac:dyDescent="0.2">
      <c r="C869" s="102"/>
      <c r="D869" s="102"/>
      <c r="E869" s="102"/>
    </row>
    <row r="870" spans="3:5" ht="12.75" x14ac:dyDescent="0.2">
      <c r="C870" s="102"/>
      <c r="D870" s="102"/>
      <c r="E870" s="102"/>
    </row>
    <row r="871" spans="3:5" ht="12.75" x14ac:dyDescent="0.2">
      <c r="C871" s="102"/>
      <c r="D871" s="102"/>
      <c r="E871" s="102"/>
    </row>
    <row r="872" spans="3:5" ht="12.75" x14ac:dyDescent="0.2">
      <c r="C872" s="102"/>
      <c r="D872" s="102"/>
      <c r="E872" s="102"/>
    </row>
    <row r="873" spans="3:5" ht="12.75" x14ac:dyDescent="0.2">
      <c r="C873" s="102"/>
      <c r="D873" s="102"/>
      <c r="E873" s="102"/>
    </row>
    <row r="874" spans="3:5" ht="12.75" x14ac:dyDescent="0.2">
      <c r="C874" s="102"/>
      <c r="D874" s="102"/>
      <c r="E874" s="102"/>
    </row>
    <row r="875" spans="3:5" ht="12.75" x14ac:dyDescent="0.2">
      <c r="C875" s="102"/>
      <c r="D875" s="102"/>
      <c r="E875" s="102"/>
    </row>
    <row r="876" spans="3:5" ht="12.75" x14ac:dyDescent="0.2">
      <c r="C876" s="102"/>
      <c r="D876" s="102"/>
      <c r="E876" s="102"/>
    </row>
    <row r="877" spans="3:5" ht="12.75" x14ac:dyDescent="0.2">
      <c r="C877" s="102"/>
      <c r="D877" s="102"/>
      <c r="E877" s="102"/>
    </row>
    <row r="878" spans="3:5" ht="12.75" x14ac:dyDescent="0.2">
      <c r="C878" s="102"/>
      <c r="D878" s="102"/>
      <c r="E878" s="102"/>
    </row>
    <row r="879" spans="3:5" ht="12.75" x14ac:dyDescent="0.2">
      <c r="C879" s="102"/>
      <c r="D879" s="102"/>
      <c r="E879" s="102"/>
    </row>
    <row r="880" spans="3:5" ht="12.75" x14ac:dyDescent="0.2">
      <c r="C880" s="102"/>
      <c r="D880" s="102"/>
      <c r="E880" s="102"/>
    </row>
    <row r="881" spans="3:5" ht="12.75" x14ac:dyDescent="0.2">
      <c r="C881" s="102"/>
      <c r="D881" s="102"/>
      <c r="E881" s="102"/>
    </row>
    <row r="882" spans="3:5" ht="12.75" x14ac:dyDescent="0.2">
      <c r="C882" s="102"/>
      <c r="D882" s="102"/>
      <c r="E882" s="102"/>
    </row>
    <row r="883" spans="3:5" ht="12.75" x14ac:dyDescent="0.2">
      <c r="C883" s="102"/>
      <c r="D883" s="102"/>
      <c r="E883" s="102"/>
    </row>
    <row r="884" spans="3:5" ht="12.75" x14ac:dyDescent="0.2">
      <c r="C884" s="102"/>
      <c r="D884" s="102"/>
      <c r="E884" s="102"/>
    </row>
    <row r="885" spans="3:5" ht="12.75" x14ac:dyDescent="0.2">
      <c r="C885" s="102"/>
      <c r="D885" s="102"/>
      <c r="E885" s="102"/>
    </row>
    <row r="886" spans="3:5" ht="12.75" x14ac:dyDescent="0.2">
      <c r="C886" s="102"/>
      <c r="D886" s="102"/>
      <c r="E886" s="102"/>
    </row>
    <row r="887" spans="3:5" ht="12.75" x14ac:dyDescent="0.2">
      <c r="C887" s="102"/>
      <c r="D887" s="102"/>
      <c r="E887" s="102"/>
    </row>
    <row r="888" spans="3:5" ht="12.75" x14ac:dyDescent="0.2">
      <c r="C888" s="102"/>
      <c r="D888" s="102"/>
      <c r="E888" s="102"/>
    </row>
    <row r="889" spans="3:5" ht="12.75" x14ac:dyDescent="0.2">
      <c r="C889" s="102"/>
      <c r="D889" s="102"/>
      <c r="E889" s="102"/>
    </row>
    <row r="890" spans="3:5" ht="12.75" x14ac:dyDescent="0.2">
      <c r="C890" s="102"/>
      <c r="D890" s="102"/>
      <c r="E890" s="102"/>
    </row>
    <row r="891" spans="3:5" ht="12.75" x14ac:dyDescent="0.2">
      <c r="C891" s="102"/>
      <c r="D891" s="102"/>
      <c r="E891" s="102"/>
    </row>
    <row r="892" spans="3:5" ht="12.75" x14ac:dyDescent="0.2">
      <c r="C892" s="102"/>
      <c r="D892" s="102"/>
      <c r="E892" s="102"/>
    </row>
    <row r="893" spans="3:5" ht="12.75" x14ac:dyDescent="0.2">
      <c r="C893" s="102"/>
      <c r="D893" s="102"/>
      <c r="E893" s="102"/>
    </row>
    <row r="894" spans="3:5" ht="12.75" x14ac:dyDescent="0.2">
      <c r="C894" s="102"/>
      <c r="D894" s="102"/>
      <c r="E894" s="102"/>
    </row>
    <row r="895" spans="3:5" ht="12.75" x14ac:dyDescent="0.2">
      <c r="C895" s="102"/>
      <c r="D895" s="102"/>
      <c r="E895" s="102"/>
    </row>
    <row r="896" spans="3:5" ht="12.75" x14ac:dyDescent="0.2">
      <c r="C896" s="102"/>
      <c r="D896" s="102"/>
      <c r="E896" s="102"/>
    </row>
    <row r="897" spans="3:5" ht="12.75" x14ac:dyDescent="0.2">
      <c r="C897" s="102"/>
      <c r="D897" s="102"/>
      <c r="E897" s="102"/>
    </row>
    <row r="898" spans="3:5" ht="12.75" x14ac:dyDescent="0.2">
      <c r="C898" s="102"/>
      <c r="D898" s="102"/>
      <c r="E898" s="102"/>
    </row>
    <row r="899" spans="3:5" ht="12.75" x14ac:dyDescent="0.2">
      <c r="C899" s="102"/>
      <c r="D899" s="102"/>
      <c r="E899" s="102"/>
    </row>
    <row r="900" spans="3:5" ht="12.75" x14ac:dyDescent="0.2">
      <c r="C900" s="102"/>
      <c r="D900" s="102"/>
      <c r="E900" s="102"/>
    </row>
    <row r="901" spans="3:5" ht="12.75" x14ac:dyDescent="0.2">
      <c r="C901" s="102"/>
      <c r="D901" s="102"/>
      <c r="E901" s="102"/>
    </row>
    <row r="902" spans="3:5" ht="12.75" x14ac:dyDescent="0.2">
      <c r="C902" s="102"/>
      <c r="D902" s="102"/>
      <c r="E902" s="102"/>
    </row>
    <row r="903" spans="3:5" ht="12.75" x14ac:dyDescent="0.2">
      <c r="C903" s="102"/>
      <c r="D903" s="102"/>
      <c r="E903" s="102"/>
    </row>
    <row r="904" spans="3:5" ht="12.75" x14ac:dyDescent="0.2">
      <c r="C904" s="102"/>
      <c r="D904" s="102"/>
      <c r="E904" s="102"/>
    </row>
    <row r="905" spans="3:5" ht="12.75" x14ac:dyDescent="0.2">
      <c r="C905" s="102"/>
      <c r="D905" s="102"/>
      <c r="E905" s="102"/>
    </row>
    <row r="906" spans="3:5" ht="12.75" x14ac:dyDescent="0.2">
      <c r="C906" s="102"/>
      <c r="D906" s="102"/>
      <c r="E906" s="102"/>
    </row>
    <row r="907" spans="3:5" ht="12.75" x14ac:dyDescent="0.2">
      <c r="C907" s="102"/>
      <c r="D907" s="102"/>
      <c r="E907" s="102"/>
    </row>
    <row r="908" spans="3:5" ht="12.75" x14ac:dyDescent="0.2">
      <c r="C908" s="102"/>
      <c r="D908" s="102"/>
      <c r="E908" s="102"/>
    </row>
    <row r="909" spans="3:5" ht="12.75" x14ac:dyDescent="0.2">
      <c r="C909" s="102"/>
      <c r="D909" s="102"/>
      <c r="E909" s="102"/>
    </row>
    <row r="910" spans="3:5" ht="12.75" x14ac:dyDescent="0.2">
      <c r="C910" s="102"/>
      <c r="D910" s="102"/>
      <c r="E910" s="102"/>
    </row>
    <row r="911" spans="3:5" ht="12.75" x14ac:dyDescent="0.2">
      <c r="C911" s="102"/>
      <c r="D911" s="102"/>
      <c r="E911" s="102"/>
    </row>
    <row r="912" spans="3:5" ht="12.75" x14ac:dyDescent="0.2">
      <c r="C912" s="102"/>
      <c r="D912" s="102"/>
      <c r="E912" s="102"/>
    </row>
    <row r="913" spans="3:5" ht="12.75" x14ac:dyDescent="0.2">
      <c r="C913" s="102"/>
      <c r="D913" s="102"/>
      <c r="E913" s="102"/>
    </row>
    <row r="914" spans="3:5" ht="12.75" x14ac:dyDescent="0.2">
      <c r="C914" s="102"/>
      <c r="D914" s="102"/>
      <c r="E914" s="102"/>
    </row>
    <row r="915" spans="3:5" ht="12.75" x14ac:dyDescent="0.2">
      <c r="C915" s="102"/>
      <c r="D915" s="102"/>
      <c r="E915" s="102"/>
    </row>
    <row r="916" spans="3:5" ht="12.75" x14ac:dyDescent="0.2">
      <c r="C916" s="102"/>
      <c r="D916" s="102"/>
      <c r="E916" s="102"/>
    </row>
    <row r="917" spans="3:5" ht="12.75" x14ac:dyDescent="0.2">
      <c r="C917" s="102"/>
      <c r="D917" s="102"/>
      <c r="E917" s="102"/>
    </row>
    <row r="918" spans="3:5" ht="12.75" x14ac:dyDescent="0.2">
      <c r="C918" s="102"/>
      <c r="D918" s="102"/>
      <c r="E918" s="102"/>
    </row>
    <row r="919" spans="3:5" ht="12.75" x14ac:dyDescent="0.2">
      <c r="C919" s="102"/>
      <c r="D919" s="102"/>
      <c r="E919" s="102"/>
    </row>
    <row r="920" spans="3:5" ht="12.75" x14ac:dyDescent="0.2">
      <c r="C920" s="102"/>
      <c r="D920" s="102"/>
      <c r="E920" s="102"/>
    </row>
    <row r="921" spans="3:5" ht="12.75" x14ac:dyDescent="0.2">
      <c r="C921" s="102"/>
      <c r="D921" s="102"/>
      <c r="E921" s="102"/>
    </row>
    <row r="922" spans="3:5" ht="12.75" x14ac:dyDescent="0.2">
      <c r="C922" s="102"/>
      <c r="D922" s="102"/>
      <c r="E922" s="102"/>
    </row>
    <row r="923" spans="3:5" ht="12.75" x14ac:dyDescent="0.2">
      <c r="C923" s="102"/>
      <c r="D923" s="102"/>
      <c r="E923" s="102"/>
    </row>
    <row r="924" spans="3:5" ht="12.75" x14ac:dyDescent="0.2">
      <c r="C924" s="102"/>
      <c r="D924" s="102"/>
      <c r="E924" s="102"/>
    </row>
    <row r="925" spans="3:5" ht="12.75" x14ac:dyDescent="0.2">
      <c r="C925" s="102"/>
      <c r="D925" s="102"/>
      <c r="E925" s="102"/>
    </row>
    <row r="926" spans="3:5" ht="12.75" x14ac:dyDescent="0.2">
      <c r="C926" s="102"/>
      <c r="D926" s="102"/>
      <c r="E926" s="102"/>
    </row>
    <row r="927" spans="3:5" ht="12.75" x14ac:dyDescent="0.2">
      <c r="C927" s="102"/>
      <c r="D927" s="102"/>
      <c r="E927" s="102"/>
    </row>
    <row r="928" spans="3:5" ht="12.75" x14ac:dyDescent="0.2">
      <c r="C928" s="102"/>
      <c r="D928" s="102"/>
      <c r="E928" s="102"/>
    </row>
    <row r="929" spans="3:5" ht="12.75" x14ac:dyDescent="0.2">
      <c r="C929" s="102"/>
      <c r="D929" s="102"/>
      <c r="E929" s="102"/>
    </row>
    <row r="930" spans="3:5" ht="12.75" x14ac:dyDescent="0.2">
      <c r="C930" s="102"/>
      <c r="D930" s="102"/>
      <c r="E930" s="102"/>
    </row>
    <row r="931" spans="3:5" ht="12.75" x14ac:dyDescent="0.2">
      <c r="C931" s="102"/>
      <c r="D931" s="102"/>
      <c r="E931" s="102"/>
    </row>
    <row r="932" spans="3:5" ht="12.75" x14ac:dyDescent="0.2">
      <c r="C932" s="102"/>
      <c r="D932" s="102"/>
      <c r="E932" s="102"/>
    </row>
    <row r="933" spans="3:5" ht="12.75" x14ac:dyDescent="0.2">
      <c r="C933" s="102"/>
      <c r="D933" s="102"/>
      <c r="E933" s="102"/>
    </row>
    <row r="934" spans="3:5" ht="12.75" x14ac:dyDescent="0.2">
      <c r="C934" s="102"/>
      <c r="D934" s="102"/>
      <c r="E934" s="102"/>
    </row>
    <row r="935" spans="3:5" ht="12.75" x14ac:dyDescent="0.2">
      <c r="C935" s="102"/>
      <c r="D935" s="102"/>
      <c r="E935" s="102"/>
    </row>
    <row r="936" spans="3:5" ht="12.75" x14ac:dyDescent="0.2">
      <c r="C936" s="102"/>
      <c r="D936" s="102"/>
      <c r="E936" s="102"/>
    </row>
    <row r="937" spans="3:5" ht="12.75" x14ac:dyDescent="0.2">
      <c r="C937" s="102"/>
      <c r="D937" s="102"/>
      <c r="E937" s="102"/>
    </row>
    <row r="938" spans="3:5" ht="12.75" x14ac:dyDescent="0.2">
      <c r="C938" s="102"/>
      <c r="D938" s="102"/>
      <c r="E938" s="102"/>
    </row>
    <row r="939" spans="3:5" ht="12.75" x14ac:dyDescent="0.2">
      <c r="C939" s="102"/>
      <c r="D939" s="102"/>
      <c r="E939" s="102"/>
    </row>
    <row r="940" spans="3:5" ht="12.75" x14ac:dyDescent="0.2">
      <c r="C940" s="102"/>
      <c r="D940" s="102"/>
      <c r="E940" s="102"/>
    </row>
    <row r="941" spans="3:5" ht="12.75" x14ac:dyDescent="0.2">
      <c r="C941" s="102"/>
      <c r="D941" s="102"/>
      <c r="E941" s="102"/>
    </row>
    <row r="942" spans="3:5" ht="12.75" x14ac:dyDescent="0.2">
      <c r="C942" s="102"/>
      <c r="D942" s="102"/>
      <c r="E942" s="102"/>
    </row>
    <row r="943" spans="3:5" ht="12.75" x14ac:dyDescent="0.2">
      <c r="C943" s="102"/>
      <c r="D943" s="102"/>
      <c r="E943" s="102"/>
    </row>
    <row r="944" spans="3:5" ht="12.75" x14ac:dyDescent="0.2">
      <c r="C944" s="102"/>
      <c r="D944" s="102"/>
      <c r="E944" s="102"/>
    </row>
    <row r="945" spans="3:5" ht="12.75" x14ac:dyDescent="0.2">
      <c r="C945" s="102"/>
      <c r="D945" s="102"/>
      <c r="E945" s="102"/>
    </row>
    <row r="946" spans="3:5" ht="12.75" x14ac:dyDescent="0.2">
      <c r="C946" s="102"/>
      <c r="D946" s="102"/>
      <c r="E946" s="102"/>
    </row>
    <row r="947" spans="3:5" ht="12.75" x14ac:dyDescent="0.2">
      <c r="C947" s="102"/>
      <c r="D947" s="102"/>
      <c r="E947" s="102"/>
    </row>
    <row r="948" spans="3:5" ht="12.75" x14ac:dyDescent="0.2">
      <c r="C948" s="102"/>
      <c r="D948" s="102"/>
      <c r="E948" s="102"/>
    </row>
    <row r="949" spans="3:5" ht="12.75" x14ac:dyDescent="0.2">
      <c r="C949" s="102"/>
      <c r="D949" s="102"/>
      <c r="E949" s="102"/>
    </row>
    <row r="950" spans="3:5" ht="12.75" x14ac:dyDescent="0.2">
      <c r="C950" s="102"/>
      <c r="D950" s="102"/>
      <c r="E950" s="102"/>
    </row>
    <row r="951" spans="3:5" ht="12.75" x14ac:dyDescent="0.2">
      <c r="C951" s="102"/>
      <c r="D951" s="102"/>
      <c r="E951" s="102"/>
    </row>
    <row r="952" spans="3:5" ht="12.75" x14ac:dyDescent="0.2">
      <c r="C952" s="102"/>
      <c r="D952" s="102"/>
      <c r="E952" s="102"/>
    </row>
    <row r="953" spans="3:5" ht="12.75" x14ac:dyDescent="0.2">
      <c r="C953" s="102"/>
      <c r="D953" s="102"/>
      <c r="E953" s="102"/>
    </row>
    <row r="954" spans="3:5" ht="12.75" x14ac:dyDescent="0.2">
      <c r="C954" s="102"/>
      <c r="D954" s="102"/>
      <c r="E954" s="102"/>
    </row>
    <row r="955" spans="3:5" ht="12.75" x14ac:dyDescent="0.2">
      <c r="C955" s="102"/>
      <c r="D955" s="102"/>
      <c r="E955" s="102"/>
    </row>
    <row r="956" spans="3:5" ht="12.75" x14ac:dyDescent="0.2">
      <c r="C956" s="102"/>
      <c r="D956" s="102"/>
      <c r="E956" s="102"/>
    </row>
    <row r="957" spans="3:5" ht="12.75" x14ac:dyDescent="0.2">
      <c r="C957" s="102"/>
      <c r="D957" s="102"/>
      <c r="E957" s="102"/>
    </row>
    <row r="958" spans="3:5" ht="12.75" x14ac:dyDescent="0.2">
      <c r="C958" s="102"/>
      <c r="D958" s="102"/>
      <c r="E958" s="102"/>
    </row>
    <row r="959" spans="3:5" ht="12.75" x14ac:dyDescent="0.2">
      <c r="C959" s="102"/>
      <c r="D959" s="102"/>
      <c r="E959" s="102"/>
    </row>
    <row r="960" spans="3:5" ht="12.75" x14ac:dyDescent="0.2">
      <c r="C960" s="102"/>
      <c r="D960" s="102"/>
      <c r="E960" s="102"/>
    </row>
    <row r="961" spans="3:5" ht="12.75" x14ac:dyDescent="0.2">
      <c r="C961" s="102"/>
      <c r="D961" s="102"/>
      <c r="E961" s="102"/>
    </row>
    <row r="962" spans="3:5" ht="12.75" x14ac:dyDescent="0.2">
      <c r="C962" s="102"/>
      <c r="D962" s="102"/>
      <c r="E962" s="102"/>
    </row>
    <row r="963" spans="3:5" ht="12.75" x14ac:dyDescent="0.2">
      <c r="C963" s="102"/>
      <c r="D963" s="102"/>
      <c r="E963" s="102"/>
    </row>
    <row r="964" spans="3:5" ht="12.75" x14ac:dyDescent="0.2">
      <c r="C964" s="102"/>
      <c r="D964" s="102"/>
      <c r="E964" s="102"/>
    </row>
    <row r="965" spans="3:5" ht="12.75" x14ac:dyDescent="0.2">
      <c r="C965" s="102"/>
      <c r="D965" s="102"/>
      <c r="E965" s="102"/>
    </row>
    <row r="966" spans="3:5" ht="12.75" x14ac:dyDescent="0.2">
      <c r="C966" s="102"/>
      <c r="D966" s="102"/>
      <c r="E966" s="102"/>
    </row>
    <row r="967" spans="3:5" ht="12.75" x14ac:dyDescent="0.2">
      <c r="C967" s="102"/>
      <c r="D967" s="102"/>
      <c r="E967" s="102"/>
    </row>
    <row r="968" spans="3:5" ht="12.75" x14ac:dyDescent="0.2">
      <c r="C968" s="102"/>
      <c r="D968" s="102"/>
      <c r="E968" s="102"/>
    </row>
    <row r="969" spans="3:5" ht="12.75" x14ac:dyDescent="0.2">
      <c r="C969" s="102"/>
      <c r="D969" s="102"/>
      <c r="E969" s="102"/>
    </row>
    <row r="970" spans="3:5" ht="12.75" x14ac:dyDescent="0.2">
      <c r="C970" s="102"/>
      <c r="D970" s="102"/>
      <c r="E970" s="102"/>
    </row>
    <row r="971" spans="3:5" ht="12.75" x14ac:dyDescent="0.2">
      <c r="C971" s="102"/>
      <c r="D971" s="102"/>
      <c r="E971" s="102"/>
    </row>
    <row r="972" spans="3:5" ht="12.75" x14ac:dyDescent="0.2">
      <c r="C972" s="102"/>
      <c r="D972" s="102"/>
      <c r="E972" s="102"/>
    </row>
    <row r="973" spans="3:5" ht="12.75" x14ac:dyDescent="0.2">
      <c r="C973" s="102"/>
      <c r="D973" s="102"/>
      <c r="E973" s="102"/>
    </row>
    <row r="974" spans="3:5" ht="12.75" x14ac:dyDescent="0.2">
      <c r="C974" s="102"/>
      <c r="D974" s="102"/>
      <c r="E974" s="102"/>
    </row>
    <row r="975" spans="3:5" ht="12.75" x14ac:dyDescent="0.2">
      <c r="C975" s="102"/>
      <c r="D975" s="102"/>
      <c r="E975" s="102"/>
    </row>
    <row r="976" spans="3:5" ht="12.75" x14ac:dyDescent="0.2">
      <c r="C976" s="102"/>
      <c r="D976" s="102"/>
      <c r="E976" s="102"/>
    </row>
    <row r="977" spans="3:5" ht="12.75" x14ac:dyDescent="0.2">
      <c r="C977" s="102"/>
      <c r="D977" s="102"/>
      <c r="E977" s="102"/>
    </row>
    <row r="978" spans="3:5" ht="12.75" x14ac:dyDescent="0.2">
      <c r="C978" s="102"/>
      <c r="D978" s="102"/>
      <c r="E978" s="102"/>
    </row>
    <row r="979" spans="3:5" ht="12.75" x14ac:dyDescent="0.2">
      <c r="C979" s="102"/>
      <c r="D979" s="102"/>
      <c r="E979" s="102"/>
    </row>
    <row r="980" spans="3:5" ht="12.75" x14ac:dyDescent="0.2">
      <c r="C980" s="102"/>
      <c r="D980" s="102"/>
      <c r="E980" s="102"/>
    </row>
    <row r="981" spans="3:5" ht="12.75" x14ac:dyDescent="0.2">
      <c r="C981" s="102"/>
      <c r="D981" s="102"/>
      <c r="E981" s="102"/>
    </row>
    <row r="982" spans="3:5" ht="12.75" x14ac:dyDescent="0.2">
      <c r="C982" s="102"/>
      <c r="D982" s="102"/>
      <c r="E982" s="102"/>
    </row>
    <row r="983" spans="3:5" ht="12.75" x14ac:dyDescent="0.2">
      <c r="C983" s="102"/>
      <c r="D983" s="102"/>
      <c r="E983" s="102"/>
    </row>
    <row r="984" spans="3:5" ht="12.75" x14ac:dyDescent="0.2">
      <c r="C984" s="102"/>
      <c r="D984" s="102"/>
      <c r="E984" s="102"/>
    </row>
    <row r="985" spans="3:5" ht="12.75" x14ac:dyDescent="0.2">
      <c r="C985" s="102"/>
      <c r="D985" s="102"/>
      <c r="E985" s="102"/>
    </row>
    <row r="986" spans="3:5" ht="12.75" x14ac:dyDescent="0.2">
      <c r="C986" s="102"/>
      <c r="D986" s="102"/>
      <c r="E986" s="102"/>
    </row>
    <row r="987" spans="3:5" ht="12.75" x14ac:dyDescent="0.2">
      <c r="C987" s="102"/>
      <c r="D987" s="102"/>
      <c r="E987" s="102"/>
    </row>
    <row r="988" spans="3:5" ht="12.75" x14ac:dyDescent="0.2">
      <c r="C988" s="102"/>
      <c r="D988" s="102"/>
      <c r="E988" s="102"/>
    </row>
    <row r="989" spans="3:5" ht="12.75" x14ac:dyDescent="0.2">
      <c r="C989" s="102"/>
      <c r="D989" s="102"/>
      <c r="E989" s="102"/>
    </row>
    <row r="990" spans="3:5" ht="12.75" x14ac:dyDescent="0.2">
      <c r="C990" s="102"/>
      <c r="D990" s="102"/>
      <c r="E990" s="102"/>
    </row>
    <row r="991" spans="3:5" ht="12.75" x14ac:dyDescent="0.2">
      <c r="C991" s="102"/>
      <c r="D991" s="102"/>
      <c r="E991" s="102"/>
    </row>
    <row r="992" spans="3:5" ht="12.75" x14ac:dyDescent="0.2">
      <c r="C992" s="102"/>
      <c r="D992" s="102"/>
      <c r="E992" s="102"/>
    </row>
    <row r="993" spans="3:5" ht="12.75" x14ac:dyDescent="0.2">
      <c r="C993" s="102"/>
      <c r="D993" s="102"/>
      <c r="E993" s="102"/>
    </row>
    <row r="994" spans="3:5" ht="12.75" x14ac:dyDescent="0.2">
      <c r="C994" s="102"/>
      <c r="D994" s="102"/>
      <c r="E994" s="102"/>
    </row>
    <row r="995" spans="3:5" ht="12.75" x14ac:dyDescent="0.2">
      <c r="C995" s="102"/>
      <c r="D995" s="102"/>
      <c r="E995" s="102"/>
    </row>
    <row r="996" spans="3:5" ht="12.75" x14ac:dyDescent="0.2">
      <c r="C996" s="102"/>
      <c r="D996" s="102"/>
      <c r="E996" s="102"/>
    </row>
    <row r="997" spans="3:5" ht="12.75" x14ac:dyDescent="0.2">
      <c r="C997" s="102"/>
      <c r="D997" s="102"/>
      <c r="E997" s="102"/>
    </row>
    <row r="998" spans="3:5" ht="12.75" x14ac:dyDescent="0.2">
      <c r="C998" s="102"/>
      <c r="D998" s="102"/>
      <c r="E998" s="102"/>
    </row>
    <row r="999" spans="3:5" ht="12.75" x14ac:dyDescent="0.2">
      <c r="C999" s="102"/>
      <c r="D999" s="102"/>
      <c r="E999" s="102"/>
    </row>
    <row r="1000" spans="3:5" ht="12.75" x14ac:dyDescent="0.2">
      <c r="C1000" s="102"/>
      <c r="D1000" s="102"/>
      <c r="E1000" s="102"/>
    </row>
    <row r="1001" spans="3:5" ht="12.75" x14ac:dyDescent="0.2">
      <c r="C1001" s="102"/>
      <c r="D1001" s="102"/>
      <c r="E1001" s="102"/>
    </row>
    <row r="1002" spans="3:5" ht="12.75" x14ac:dyDescent="0.2">
      <c r="C1002" s="102"/>
      <c r="D1002" s="102"/>
      <c r="E1002" s="102"/>
    </row>
    <row r="1003" spans="3:5" ht="12.75" x14ac:dyDescent="0.2">
      <c r="C1003" s="102"/>
      <c r="D1003" s="102"/>
      <c r="E1003" s="102"/>
    </row>
    <row r="1004" spans="3:5" ht="12.75" x14ac:dyDescent="0.2">
      <c r="C1004" s="102"/>
      <c r="D1004" s="102"/>
      <c r="E1004" s="102"/>
    </row>
  </sheetData>
  <phoneticPr fontId="30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939"/>
  <sheetViews>
    <sheetView tabSelected="1" workbookViewId="0">
      <selection activeCell="I15" sqref="I15"/>
    </sheetView>
  </sheetViews>
  <sheetFormatPr defaultColWidth="12.5703125" defaultRowHeight="15.75" customHeight="1" x14ac:dyDescent="0.2"/>
  <cols>
    <col min="2" max="2" width="40.42578125" customWidth="1"/>
    <col min="3" max="5" width="21.28515625" customWidth="1"/>
    <col min="6" max="6" width="21.5703125" style="106" customWidth="1"/>
    <col min="7" max="7" width="18.28515625" customWidth="1"/>
    <col min="8" max="8" width="17.28515625" customWidth="1"/>
  </cols>
  <sheetData>
    <row r="1" spans="1:8" ht="14.25" thickBot="1" x14ac:dyDescent="0.25">
      <c r="A1" s="103" t="s">
        <v>575</v>
      </c>
      <c r="B1" s="103" t="s">
        <v>795</v>
      </c>
      <c r="C1" s="102" t="s">
        <v>796</v>
      </c>
      <c r="D1" s="102" t="s">
        <v>797</v>
      </c>
      <c r="E1" s="102" t="s">
        <v>798</v>
      </c>
      <c r="F1" s="109" t="s">
        <v>984</v>
      </c>
      <c r="G1" s="112" t="s">
        <v>989</v>
      </c>
      <c r="H1" s="109" t="s">
        <v>985</v>
      </c>
    </row>
    <row r="2" spans="1:8" ht="13.5" thickBot="1" x14ac:dyDescent="0.25">
      <c r="A2" s="4" t="s">
        <v>54</v>
      </c>
      <c r="B2" s="4" t="s">
        <v>137</v>
      </c>
      <c r="C2" s="102" t="s">
        <v>611</v>
      </c>
      <c r="D2" s="102"/>
      <c r="E2" s="102"/>
      <c r="F2" s="105" t="s">
        <v>969</v>
      </c>
      <c r="G2" s="112" t="s">
        <v>969</v>
      </c>
      <c r="H2" s="110" t="s">
        <v>986</v>
      </c>
    </row>
    <row r="3" spans="1:8" ht="13.5" thickBot="1" x14ac:dyDescent="0.25">
      <c r="A3" s="4" t="s">
        <v>57</v>
      </c>
      <c r="B3" s="4" t="s">
        <v>117</v>
      </c>
      <c r="C3" s="102" t="s">
        <v>611</v>
      </c>
      <c r="D3" s="102"/>
      <c r="E3" s="102"/>
      <c r="F3" s="105" t="s">
        <v>970</v>
      </c>
      <c r="G3" s="112" t="s">
        <v>970</v>
      </c>
      <c r="H3" s="105" t="s">
        <v>970</v>
      </c>
    </row>
    <row r="4" spans="1:8" ht="13.5" thickBot="1" x14ac:dyDescent="0.25">
      <c r="A4" s="4" t="s">
        <v>18</v>
      </c>
      <c r="B4" s="4" t="s">
        <v>101</v>
      </c>
      <c r="C4" s="102" t="s">
        <v>611</v>
      </c>
      <c r="D4" s="102" t="s">
        <v>611</v>
      </c>
      <c r="E4" s="102" t="s">
        <v>611</v>
      </c>
      <c r="F4" s="105" t="s">
        <v>970</v>
      </c>
      <c r="G4" s="112" t="s">
        <v>970</v>
      </c>
      <c r="H4" s="105" t="s">
        <v>970</v>
      </c>
    </row>
    <row r="5" spans="1:8" ht="39" thickBot="1" x14ac:dyDescent="0.25">
      <c r="A5" s="4" t="s">
        <v>61</v>
      </c>
      <c r="B5" s="4" t="s">
        <v>145</v>
      </c>
      <c r="C5" s="102" t="s">
        <v>611</v>
      </c>
      <c r="D5" s="102"/>
      <c r="E5" s="102"/>
      <c r="F5" s="105" t="s">
        <v>971</v>
      </c>
      <c r="G5" s="113"/>
    </row>
    <row r="6" spans="1:8" ht="13.5" thickBot="1" x14ac:dyDescent="0.25">
      <c r="A6" s="4" t="s">
        <v>20</v>
      </c>
      <c r="B6" s="4" t="s">
        <v>103</v>
      </c>
      <c r="C6" s="102" t="s">
        <v>611</v>
      </c>
      <c r="D6" s="102" t="s">
        <v>611</v>
      </c>
      <c r="E6" s="102" t="s">
        <v>611</v>
      </c>
      <c r="F6" s="105" t="s">
        <v>969</v>
      </c>
      <c r="G6" s="112" t="s">
        <v>969</v>
      </c>
    </row>
    <row r="7" spans="1:8" ht="14.25" thickBot="1" x14ac:dyDescent="0.25">
      <c r="A7" s="4" t="s">
        <v>21</v>
      </c>
      <c r="B7" s="4" t="s">
        <v>104</v>
      </c>
      <c r="C7" s="102" t="s">
        <v>611</v>
      </c>
      <c r="D7" s="102" t="s">
        <v>611</v>
      </c>
      <c r="E7" s="102" t="s">
        <v>611</v>
      </c>
      <c r="F7" s="107" t="s">
        <v>981</v>
      </c>
      <c r="G7" s="108" t="s">
        <v>982</v>
      </c>
    </row>
    <row r="8" spans="1:8" ht="14.25" thickBot="1" x14ac:dyDescent="0.25">
      <c r="A8" s="4" t="s">
        <v>22</v>
      </c>
      <c r="B8" s="4" t="s">
        <v>105</v>
      </c>
      <c r="C8" s="102" t="s">
        <v>611</v>
      </c>
      <c r="D8" s="102" t="s">
        <v>611</v>
      </c>
      <c r="E8" s="102" t="s">
        <v>611</v>
      </c>
      <c r="F8" s="108" t="s">
        <v>982</v>
      </c>
      <c r="G8" s="108" t="s">
        <v>982</v>
      </c>
    </row>
    <row r="9" spans="1:8" ht="39" thickBot="1" x14ac:dyDescent="0.25">
      <c r="A9" s="4" t="s">
        <v>67</v>
      </c>
      <c r="B9" s="4" t="s">
        <v>148</v>
      </c>
      <c r="C9" s="102" t="s">
        <v>611</v>
      </c>
      <c r="D9" s="102"/>
      <c r="E9" s="102"/>
      <c r="F9" s="105" t="s">
        <v>971</v>
      </c>
      <c r="G9" s="112" t="s">
        <v>971</v>
      </c>
      <c r="H9" s="111" t="s">
        <v>987</v>
      </c>
    </row>
    <row r="10" spans="1:8" ht="39" thickBot="1" x14ac:dyDescent="0.25">
      <c r="A10" s="4" t="s">
        <v>69</v>
      </c>
      <c r="B10" s="4" t="s">
        <v>149</v>
      </c>
      <c r="C10" s="102" t="s">
        <v>611</v>
      </c>
      <c r="D10" s="102"/>
      <c r="E10" s="102"/>
      <c r="F10" s="105" t="s">
        <v>971</v>
      </c>
      <c r="G10" s="112" t="s">
        <v>971</v>
      </c>
    </row>
    <row r="11" spans="1:8" ht="39" thickBot="1" x14ac:dyDescent="0.25">
      <c r="A11" s="4" t="s">
        <v>73</v>
      </c>
      <c r="B11" s="4" t="s">
        <v>802</v>
      </c>
      <c r="C11" s="102" t="s">
        <v>611</v>
      </c>
      <c r="D11" s="102"/>
      <c r="E11" s="102"/>
      <c r="F11" s="105" t="s">
        <v>971</v>
      </c>
      <c r="G11" s="112" t="s">
        <v>971</v>
      </c>
    </row>
    <row r="12" spans="1:8" ht="39" thickBot="1" x14ac:dyDescent="0.25">
      <c r="A12" s="4" t="s">
        <v>76</v>
      </c>
      <c r="B12" s="4" t="s">
        <v>155</v>
      </c>
      <c r="C12" s="102" t="s">
        <v>611</v>
      </c>
      <c r="D12" s="102"/>
      <c r="E12" s="102"/>
      <c r="F12" s="105" t="s">
        <v>971</v>
      </c>
      <c r="G12" s="112" t="s">
        <v>971</v>
      </c>
    </row>
    <row r="13" spans="1:8" ht="39" thickBot="1" x14ac:dyDescent="0.25">
      <c r="A13" s="4" t="s">
        <v>78</v>
      </c>
      <c r="B13" s="4" t="s">
        <v>964</v>
      </c>
      <c r="C13" s="102" t="s">
        <v>611</v>
      </c>
      <c r="D13" s="102"/>
      <c r="E13" s="102"/>
      <c r="F13" s="105" t="s">
        <v>971</v>
      </c>
      <c r="G13" s="112" t="s">
        <v>971</v>
      </c>
    </row>
    <row r="14" spans="1:8" ht="41.25" thickBot="1" x14ac:dyDescent="0.25">
      <c r="A14" s="4" t="s">
        <v>23</v>
      </c>
      <c r="B14" s="4" t="s">
        <v>106</v>
      </c>
      <c r="C14" s="102" t="s">
        <v>611</v>
      </c>
      <c r="D14" s="102"/>
      <c r="E14" s="102"/>
      <c r="F14" s="109" t="s">
        <v>983</v>
      </c>
      <c r="G14" s="113" t="s">
        <v>990</v>
      </c>
    </row>
    <row r="15" spans="1:8" ht="41.25" thickBot="1" x14ac:dyDescent="0.25">
      <c r="A15" s="4" t="s">
        <v>24</v>
      </c>
      <c r="B15" s="4" t="s">
        <v>107</v>
      </c>
      <c r="C15" s="102" t="s">
        <v>611</v>
      </c>
      <c r="D15" s="102"/>
      <c r="E15" s="102"/>
      <c r="F15" s="109" t="s">
        <v>983</v>
      </c>
      <c r="G15" s="113" t="s">
        <v>990</v>
      </c>
    </row>
    <row r="16" spans="1:8" ht="13.5" thickBot="1" x14ac:dyDescent="0.25">
      <c r="A16" s="4" t="s">
        <v>26</v>
      </c>
      <c r="B16" s="4" t="s">
        <v>832</v>
      </c>
      <c r="C16" s="102" t="s">
        <v>611</v>
      </c>
      <c r="D16" s="102" t="s">
        <v>611</v>
      </c>
      <c r="E16" s="102" t="s">
        <v>611</v>
      </c>
      <c r="F16" s="105" t="s">
        <v>972</v>
      </c>
      <c r="G16" s="113" t="s">
        <v>972</v>
      </c>
    </row>
    <row r="17" spans="1:7" ht="13.5" thickBot="1" x14ac:dyDescent="0.25">
      <c r="A17" s="4" t="s">
        <v>27</v>
      </c>
      <c r="B17" s="4" t="s">
        <v>833</v>
      </c>
      <c r="C17" s="102" t="s">
        <v>611</v>
      </c>
      <c r="D17" s="102" t="s">
        <v>611</v>
      </c>
      <c r="E17" s="102" t="s">
        <v>611</v>
      </c>
      <c r="F17" s="105" t="s">
        <v>972</v>
      </c>
      <c r="G17" s="113" t="s">
        <v>972</v>
      </c>
    </row>
    <row r="18" spans="1:7" ht="13.5" thickBot="1" x14ac:dyDescent="0.25">
      <c r="A18" s="4" t="s">
        <v>28</v>
      </c>
      <c r="B18" s="4" t="s">
        <v>834</v>
      </c>
      <c r="C18" s="102" t="s">
        <v>611</v>
      </c>
      <c r="D18" s="102" t="s">
        <v>611</v>
      </c>
      <c r="E18" s="102" t="s">
        <v>611</v>
      </c>
      <c r="F18" s="105" t="s">
        <v>972</v>
      </c>
      <c r="G18" s="113" t="s">
        <v>972</v>
      </c>
    </row>
    <row r="19" spans="1:7" ht="13.5" thickBot="1" x14ac:dyDescent="0.25">
      <c r="A19" s="4" t="s">
        <v>29</v>
      </c>
      <c r="B19" s="4" t="s">
        <v>835</v>
      </c>
      <c r="C19" s="102" t="s">
        <v>611</v>
      </c>
      <c r="D19" s="102" t="s">
        <v>611</v>
      </c>
      <c r="E19" s="102" t="s">
        <v>611</v>
      </c>
      <c r="F19" s="105" t="s">
        <v>972</v>
      </c>
      <c r="G19" s="113" t="s">
        <v>972</v>
      </c>
    </row>
    <row r="20" spans="1:7" ht="13.5" thickBot="1" x14ac:dyDescent="0.25">
      <c r="A20" s="4" t="s">
        <v>30</v>
      </c>
      <c r="B20" s="4" t="s">
        <v>836</v>
      </c>
      <c r="C20" s="102" t="s">
        <v>611</v>
      </c>
      <c r="D20" s="102" t="s">
        <v>611</v>
      </c>
      <c r="E20" s="102" t="s">
        <v>611</v>
      </c>
      <c r="F20" s="105" t="s">
        <v>972</v>
      </c>
      <c r="G20" s="113" t="s">
        <v>972</v>
      </c>
    </row>
    <row r="21" spans="1:7" ht="13.5" thickBot="1" x14ac:dyDescent="0.25">
      <c r="A21" s="4" t="s">
        <v>31</v>
      </c>
      <c r="B21" s="4" t="s">
        <v>837</v>
      </c>
      <c r="C21" s="102" t="s">
        <v>611</v>
      </c>
      <c r="D21" s="102" t="s">
        <v>611</v>
      </c>
      <c r="E21" s="102" t="s">
        <v>611</v>
      </c>
      <c r="F21" s="105" t="s">
        <v>972</v>
      </c>
      <c r="G21" s="113" t="s">
        <v>972</v>
      </c>
    </row>
    <row r="22" spans="1:7" ht="13.5" thickBot="1" x14ac:dyDescent="0.25">
      <c r="A22" s="4" t="s">
        <v>32</v>
      </c>
      <c r="B22" s="4" t="s">
        <v>838</v>
      </c>
      <c r="C22" s="102" t="s">
        <v>611</v>
      </c>
      <c r="D22" s="102" t="s">
        <v>611</v>
      </c>
      <c r="E22" s="102" t="s">
        <v>611</v>
      </c>
      <c r="F22" s="105" t="s">
        <v>972</v>
      </c>
      <c r="G22" s="113" t="s">
        <v>972</v>
      </c>
    </row>
    <row r="23" spans="1:7" ht="13.5" thickBot="1" x14ac:dyDescent="0.25">
      <c r="A23" s="4" t="s">
        <v>33</v>
      </c>
      <c r="B23" s="4" t="s">
        <v>839</v>
      </c>
      <c r="C23" s="102" t="s">
        <v>611</v>
      </c>
      <c r="D23" s="102" t="s">
        <v>611</v>
      </c>
      <c r="E23" s="102" t="s">
        <v>611</v>
      </c>
      <c r="F23" s="105" t="s">
        <v>972</v>
      </c>
      <c r="G23" s="113" t="s">
        <v>972</v>
      </c>
    </row>
    <row r="24" spans="1:7" ht="39" thickBot="1" x14ac:dyDescent="0.25">
      <c r="A24" s="4" t="s">
        <v>93</v>
      </c>
      <c r="B24" s="4" t="s">
        <v>176</v>
      </c>
      <c r="C24" s="102" t="s">
        <v>611</v>
      </c>
      <c r="D24" s="102" t="s">
        <v>611</v>
      </c>
      <c r="E24" s="102" t="s">
        <v>611</v>
      </c>
      <c r="F24" s="105" t="s">
        <v>973</v>
      </c>
      <c r="G24" s="113" t="s">
        <v>973</v>
      </c>
    </row>
    <row r="25" spans="1:7" ht="39" thickBot="1" x14ac:dyDescent="0.25">
      <c r="A25" s="4" t="s">
        <v>36</v>
      </c>
      <c r="B25" s="4" t="s">
        <v>122</v>
      </c>
      <c r="C25" s="102" t="s">
        <v>611</v>
      </c>
      <c r="D25" s="102" t="s">
        <v>611</v>
      </c>
      <c r="E25" s="102" t="s">
        <v>611</v>
      </c>
      <c r="F25" s="105" t="s">
        <v>973</v>
      </c>
      <c r="G25" s="113" t="s">
        <v>973</v>
      </c>
    </row>
    <row r="26" spans="1:7" ht="39" thickBot="1" x14ac:dyDescent="0.25">
      <c r="A26" s="4" t="s">
        <v>37</v>
      </c>
      <c r="B26" s="4" t="s">
        <v>123</v>
      </c>
      <c r="C26" s="102" t="s">
        <v>611</v>
      </c>
      <c r="D26" s="102" t="s">
        <v>611</v>
      </c>
      <c r="E26" s="102" t="s">
        <v>611</v>
      </c>
      <c r="F26" s="105" t="s">
        <v>973</v>
      </c>
      <c r="G26" s="113" t="s">
        <v>973</v>
      </c>
    </row>
    <row r="27" spans="1:7" ht="39" thickBot="1" x14ac:dyDescent="0.25">
      <c r="A27" s="4" t="s">
        <v>94</v>
      </c>
      <c r="B27" s="4" t="s">
        <v>850</v>
      </c>
      <c r="C27" s="102" t="s">
        <v>611</v>
      </c>
      <c r="D27" s="102"/>
      <c r="E27" s="102"/>
      <c r="F27" s="105" t="s">
        <v>973</v>
      </c>
      <c r="G27" s="113" t="s">
        <v>973</v>
      </c>
    </row>
    <row r="28" spans="1:7" ht="39" thickBot="1" x14ac:dyDescent="0.25">
      <c r="A28" s="4" t="s">
        <v>96</v>
      </c>
      <c r="B28" s="4" t="s">
        <v>851</v>
      </c>
      <c r="C28" s="102" t="s">
        <v>611</v>
      </c>
      <c r="D28" s="102"/>
      <c r="E28" s="102"/>
      <c r="F28" s="105" t="s">
        <v>973</v>
      </c>
      <c r="G28" s="113" t="s">
        <v>973</v>
      </c>
    </row>
    <row r="29" spans="1:7" ht="39" thickBot="1" x14ac:dyDescent="0.25">
      <c r="A29" s="4" t="s">
        <v>39</v>
      </c>
      <c r="B29" s="4" t="s">
        <v>892</v>
      </c>
      <c r="C29" s="102" t="s">
        <v>611</v>
      </c>
      <c r="D29" s="102" t="s">
        <v>611</v>
      </c>
      <c r="E29" s="102" t="s">
        <v>611</v>
      </c>
      <c r="F29" s="105" t="s">
        <v>974</v>
      </c>
      <c r="G29" s="113"/>
    </row>
    <row r="30" spans="1:7" ht="39" thickBot="1" x14ac:dyDescent="0.25">
      <c r="A30" s="4" t="s">
        <v>40</v>
      </c>
      <c r="B30" s="4" t="s">
        <v>895</v>
      </c>
      <c r="C30" s="102" t="s">
        <v>611</v>
      </c>
      <c r="D30" s="102" t="s">
        <v>611</v>
      </c>
      <c r="E30" s="102" t="s">
        <v>611</v>
      </c>
      <c r="F30" s="105" t="s">
        <v>974</v>
      </c>
      <c r="G30" s="113"/>
    </row>
    <row r="31" spans="1:7" ht="51.75" thickBot="1" x14ac:dyDescent="0.25">
      <c r="A31" s="4" t="s">
        <v>41</v>
      </c>
      <c r="B31" s="4" t="s">
        <v>898</v>
      </c>
      <c r="C31" s="102" t="s">
        <v>611</v>
      </c>
      <c r="D31" s="102" t="s">
        <v>611</v>
      </c>
      <c r="E31" s="102" t="s">
        <v>611</v>
      </c>
      <c r="F31" s="105" t="s">
        <v>975</v>
      </c>
      <c r="G31" s="113" t="s">
        <v>991</v>
      </c>
    </row>
    <row r="32" spans="1:7" ht="51.75" thickBot="1" x14ac:dyDescent="0.25">
      <c r="A32" s="4" t="s">
        <v>42</v>
      </c>
      <c r="B32" s="4" t="s">
        <v>128</v>
      </c>
      <c r="C32" s="102" t="s">
        <v>611</v>
      </c>
      <c r="D32" s="102" t="s">
        <v>611</v>
      </c>
      <c r="E32" s="102" t="s">
        <v>611</v>
      </c>
      <c r="F32" s="105" t="s">
        <v>975</v>
      </c>
      <c r="G32" s="113" t="s">
        <v>991</v>
      </c>
    </row>
    <row r="33" spans="1:7" ht="51.75" thickBot="1" x14ac:dyDescent="0.25">
      <c r="A33" s="4" t="s">
        <v>43</v>
      </c>
      <c r="B33" s="4" t="s">
        <v>129</v>
      </c>
      <c r="C33" s="102" t="s">
        <v>611</v>
      </c>
      <c r="D33" s="102" t="s">
        <v>611</v>
      </c>
      <c r="E33" s="102" t="s">
        <v>611</v>
      </c>
      <c r="F33" s="105" t="s">
        <v>975</v>
      </c>
      <c r="G33" s="113" t="s">
        <v>991</v>
      </c>
    </row>
    <row r="34" spans="1:7" ht="39" thickBot="1" x14ac:dyDescent="0.25">
      <c r="A34" s="4" t="s">
        <v>110</v>
      </c>
      <c r="B34" s="4" t="s">
        <v>197</v>
      </c>
      <c r="C34" s="102" t="s">
        <v>611</v>
      </c>
      <c r="D34" s="102"/>
      <c r="E34" s="102"/>
      <c r="F34" s="105" t="s">
        <v>976</v>
      </c>
      <c r="G34" s="113" t="s">
        <v>976</v>
      </c>
    </row>
    <row r="35" spans="1:7" ht="39" thickBot="1" x14ac:dyDescent="0.25">
      <c r="A35" s="4" t="s">
        <v>111</v>
      </c>
      <c r="B35" s="4" t="s">
        <v>965</v>
      </c>
      <c r="C35" s="102" t="s">
        <v>611</v>
      </c>
      <c r="D35" s="102"/>
      <c r="E35" s="102"/>
      <c r="F35" s="105" t="s">
        <v>976</v>
      </c>
      <c r="G35" s="113" t="s">
        <v>976</v>
      </c>
    </row>
    <row r="36" spans="1:7" ht="39" thickBot="1" x14ac:dyDescent="0.25">
      <c r="A36" s="4" t="s">
        <v>44</v>
      </c>
      <c r="B36" s="4" t="s">
        <v>130</v>
      </c>
      <c r="C36" s="102" t="s">
        <v>611</v>
      </c>
      <c r="D36" s="102" t="s">
        <v>611</v>
      </c>
      <c r="E36" s="102" t="s">
        <v>611</v>
      </c>
      <c r="F36" s="105" t="s">
        <v>976</v>
      </c>
      <c r="G36" s="113" t="s">
        <v>976</v>
      </c>
    </row>
    <row r="37" spans="1:7" ht="39" thickBot="1" x14ac:dyDescent="0.25">
      <c r="A37" s="4" t="s">
        <v>45</v>
      </c>
      <c r="B37" s="4" t="s">
        <v>131</v>
      </c>
      <c r="C37" s="102" t="s">
        <v>611</v>
      </c>
      <c r="D37" s="102" t="s">
        <v>611</v>
      </c>
      <c r="E37" s="102" t="s">
        <v>611</v>
      </c>
      <c r="F37" s="105" t="s">
        <v>976</v>
      </c>
      <c r="G37" s="113" t="s">
        <v>976</v>
      </c>
    </row>
    <row r="38" spans="1:7" ht="39" thickBot="1" x14ac:dyDescent="0.25">
      <c r="A38" s="4" t="s">
        <v>46</v>
      </c>
      <c r="B38" s="4" t="s">
        <v>132</v>
      </c>
      <c r="C38" s="102" t="s">
        <v>611</v>
      </c>
      <c r="D38" s="102" t="s">
        <v>611</v>
      </c>
      <c r="E38" s="102" t="s">
        <v>611</v>
      </c>
      <c r="F38" s="105" t="s">
        <v>976</v>
      </c>
      <c r="G38" s="113" t="s">
        <v>976</v>
      </c>
    </row>
    <row r="39" spans="1:7" ht="39" thickBot="1" x14ac:dyDescent="0.25">
      <c r="A39" s="4" t="s">
        <v>47</v>
      </c>
      <c r="B39" s="4" t="s">
        <v>133</v>
      </c>
      <c r="C39" s="102" t="s">
        <v>611</v>
      </c>
      <c r="D39" s="102" t="s">
        <v>611</v>
      </c>
      <c r="E39" s="102" t="s">
        <v>611</v>
      </c>
      <c r="F39" s="105" t="s">
        <v>976</v>
      </c>
      <c r="G39" s="113" t="s">
        <v>976</v>
      </c>
    </row>
    <row r="40" spans="1:7" ht="39" thickBot="1" x14ac:dyDescent="0.25">
      <c r="A40" s="4" t="s">
        <v>50</v>
      </c>
      <c r="B40" s="4" t="s">
        <v>911</v>
      </c>
      <c r="C40" s="102" t="s">
        <v>611</v>
      </c>
      <c r="D40" s="102" t="s">
        <v>611</v>
      </c>
      <c r="E40" s="102" t="s">
        <v>611</v>
      </c>
      <c r="F40" s="105" t="s">
        <v>976</v>
      </c>
      <c r="G40" s="113" t="s">
        <v>976</v>
      </c>
    </row>
    <row r="41" spans="1:7" ht="39" thickBot="1" x14ac:dyDescent="0.25">
      <c r="A41" s="4" t="s">
        <v>48</v>
      </c>
      <c r="B41" s="4" t="s">
        <v>134</v>
      </c>
      <c r="C41" s="102" t="s">
        <v>611</v>
      </c>
      <c r="D41" s="102" t="s">
        <v>611</v>
      </c>
      <c r="E41" s="102" t="s">
        <v>611</v>
      </c>
      <c r="F41" s="105" t="s">
        <v>976</v>
      </c>
      <c r="G41" s="113" t="s">
        <v>976</v>
      </c>
    </row>
    <row r="42" spans="1:7" ht="39" thickBot="1" x14ac:dyDescent="0.25">
      <c r="A42" s="4" t="s">
        <v>914</v>
      </c>
      <c r="B42" s="4" t="s">
        <v>135</v>
      </c>
      <c r="C42" s="102" t="s">
        <v>611</v>
      </c>
      <c r="D42" s="102" t="s">
        <v>611</v>
      </c>
      <c r="E42" s="102" t="s">
        <v>611</v>
      </c>
      <c r="F42" s="105" t="s">
        <v>976</v>
      </c>
      <c r="G42" s="113" t="s">
        <v>976</v>
      </c>
    </row>
    <row r="43" spans="1:7" ht="39" thickBot="1" x14ac:dyDescent="0.25">
      <c r="A43" s="4" t="s">
        <v>966</v>
      </c>
      <c r="B43" s="4" t="s">
        <v>256</v>
      </c>
      <c r="C43" s="102" t="s">
        <v>611</v>
      </c>
      <c r="D43" s="102" t="s">
        <v>611</v>
      </c>
      <c r="E43" s="102" t="s">
        <v>611</v>
      </c>
      <c r="F43" s="105" t="s">
        <v>977</v>
      </c>
      <c r="G43" s="113" t="s">
        <v>992</v>
      </c>
    </row>
    <row r="44" spans="1:7" ht="39" thickBot="1" x14ac:dyDescent="0.25">
      <c r="A44" s="4" t="s">
        <v>967</v>
      </c>
      <c r="B44" s="4" t="s">
        <v>259</v>
      </c>
      <c r="C44" s="102" t="s">
        <v>611</v>
      </c>
      <c r="D44" s="102" t="s">
        <v>611</v>
      </c>
      <c r="E44" s="102" t="s">
        <v>611</v>
      </c>
      <c r="F44" s="105" t="s">
        <v>977</v>
      </c>
      <c r="G44" s="113" t="s">
        <v>992</v>
      </c>
    </row>
    <row r="45" spans="1:7" ht="13.5" thickBot="1" x14ac:dyDescent="0.25">
      <c r="A45" s="4" t="s">
        <v>99</v>
      </c>
      <c r="B45" s="4" t="s">
        <v>932</v>
      </c>
      <c r="C45" s="102" t="s">
        <v>611</v>
      </c>
      <c r="D45" s="102"/>
      <c r="E45" s="102"/>
      <c r="F45" s="105" t="s">
        <v>970</v>
      </c>
      <c r="G45" s="112" t="s">
        <v>970</v>
      </c>
    </row>
    <row r="46" spans="1:7" ht="13.5" thickBot="1" x14ac:dyDescent="0.25">
      <c r="A46" s="4" t="s">
        <v>58</v>
      </c>
      <c r="B46" s="4" t="s">
        <v>933</v>
      </c>
      <c r="C46" s="102" t="s">
        <v>611</v>
      </c>
      <c r="D46" s="102"/>
      <c r="E46" s="102"/>
      <c r="F46" s="105" t="s">
        <v>970</v>
      </c>
      <c r="G46" s="112" t="s">
        <v>970</v>
      </c>
    </row>
    <row r="47" spans="1:7" ht="13.5" thickBot="1" x14ac:dyDescent="0.25">
      <c r="A47" s="4" t="s">
        <v>60</v>
      </c>
      <c r="B47" s="4" t="s">
        <v>934</v>
      </c>
      <c r="C47" s="102" t="s">
        <v>611</v>
      </c>
      <c r="D47" s="102"/>
      <c r="E47" s="102"/>
      <c r="F47" s="105" t="s">
        <v>969</v>
      </c>
      <c r="G47" s="113" t="s">
        <v>969</v>
      </c>
    </row>
    <row r="48" spans="1:7" ht="26.25" thickBot="1" x14ac:dyDescent="0.25">
      <c r="A48" s="4" t="s">
        <v>62</v>
      </c>
      <c r="B48" s="4" t="s">
        <v>935</v>
      </c>
      <c r="C48" s="102" t="s">
        <v>611</v>
      </c>
      <c r="D48" s="102" t="s">
        <v>611</v>
      </c>
      <c r="E48" s="102" t="s">
        <v>611</v>
      </c>
      <c r="F48" s="105" t="s">
        <v>978</v>
      </c>
      <c r="G48" s="113"/>
    </row>
    <row r="49" spans="1:7" ht="26.25" thickBot="1" x14ac:dyDescent="0.25">
      <c r="A49" s="4" t="s">
        <v>63</v>
      </c>
      <c r="B49" s="4" t="s">
        <v>936</v>
      </c>
      <c r="C49" s="102" t="s">
        <v>611</v>
      </c>
      <c r="D49" s="102" t="s">
        <v>611</v>
      </c>
      <c r="E49" s="102" t="s">
        <v>611</v>
      </c>
      <c r="F49" s="105" t="s">
        <v>978</v>
      </c>
      <c r="G49" s="113"/>
    </row>
    <row r="50" spans="1:7" ht="39" thickBot="1" x14ac:dyDescent="0.25">
      <c r="A50" s="4" t="s">
        <v>64</v>
      </c>
      <c r="B50" s="4" t="s">
        <v>147</v>
      </c>
      <c r="C50" s="102" t="s">
        <v>611</v>
      </c>
      <c r="D50" s="102" t="s">
        <v>611</v>
      </c>
      <c r="E50" s="102" t="s">
        <v>611</v>
      </c>
      <c r="F50" s="105" t="s">
        <v>979</v>
      </c>
      <c r="G50" s="113" t="s">
        <v>8</v>
      </c>
    </row>
    <row r="51" spans="1:7" ht="39" thickBot="1" x14ac:dyDescent="0.25">
      <c r="A51" s="4" t="s">
        <v>65</v>
      </c>
      <c r="B51" s="4" t="s">
        <v>937</v>
      </c>
      <c r="C51" s="102" t="s">
        <v>611</v>
      </c>
      <c r="D51" s="102" t="s">
        <v>611</v>
      </c>
      <c r="E51" s="102" t="s">
        <v>611</v>
      </c>
      <c r="F51" s="105" t="s">
        <v>979</v>
      </c>
      <c r="G51" s="113" t="s">
        <v>8</v>
      </c>
    </row>
    <row r="52" spans="1:7" ht="39" thickBot="1" x14ac:dyDescent="0.25">
      <c r="A52" s="4" t="s">
        <v>66</v>
      </c>
      <c r="B52" s="4" t="s">
        <v>938</v>
      </c>
      <c r="C52" s="102" t="s">
        <v>611</v>
      </c>
      <c r="D52" s="102" t="s">
        <v>611</v>
      </c>
      <c r="E52" s="102" t="s">
        <v>611</v>
      </c>
      <c r="F52" s="105" t="s">
        <v>979</v>
      </c>
      <c r="G52" s="113" t="s">
        <v>8</v>
      </c>
    </row>
    <row r="53" spans="1:7" ht="39" thickBot="1" x14ac:dyDescent="0.25">
      <c r="A53" s="4" t="s">
        <v>68</v>
      </c>
      <c r="B53" s="4" t="s">
        <v>939</v>
      </c>
      <c r="C53" s="102" t="s">
        <v>611</v>
      </c>
      <c r="D53" s="102" t="s">
        <v>611</v>
      </c>
      <c r="E53" s="102" t="s">
        <v>611</v>
      </c>
      <c r="F53" s="105" t="s">
        <v>979</v>
      </c>
      <c r="G53" s="113" t="s">
        <v>8</v>
      </c>
    </row>
    <row r="54" spans="1:7" ht="39" thickBot="1" x14ac:dyDescent="0.25">
      <c r="A54" s="4" t="s">
        <v>70</v>
      </c>
      <c r="B54" s="4" t="s">
        <v>940</v>
      </c>
      <c r="C54" s="102" t="s">
        <v>611</v>
      </c>
      <c r="D54" s="102" t="s">
        <v>611</v>
      </c>
      <c r="E54" s="102" t="s">
        <v>611</v>
      </c>
      <c r="F54" s="105" t="s">
        <v>979</v>
      </c>
      <c r="G54" s="113" t="s">
        <v>8</v>
      </c>
    </row>
    <row r="55" spans="1:7" ht="39" thickBot="1" x14ac:dyDescent="0.25">
      <c r="A55" s="4" t="s">
        <v>71</v>
      </c>
      <c r="B55" s="4" t="s">
        <v>941</v>
      </c>
      <c r="C55" s="102" t="s">
        <v>611</v>
      </c>
      <c r="D55" s="102" t="s">
        <v>611</v>
      </c>
      <c r="E55" s="102" t="s">
        <v>611</v>
      </c>
      <c r="F55" s="105" t="s">
        <v>979</v>
      </c>
      <c r="G55" s="113" t="s">
        <v>8</v>
      </c>
    </row>
    <row r="56" spans="1:7" ht="39" thickBot="1" x14ac:dyDescent="0.25">
      <c r="A56" s="4" t="s">
        <v>72</v>
      </c>
      <c r="B56" s="4" t="s">
        <v>942</v>
      </c>
      <c r="C56" s="102" t="s">
        <v>611</v>
      </c>
      <c r="D56" s="102" t="s">
        <v>611</v>
      </c>
      <c r="E56" s="102" t="s">
        <v>611</v>
      </c>
      <c r="F56" s="105" t="s">
        <v>979</v>
      </c>
      <c r="G56" s="113" t="s">
        <v>8</v>
      </c>
    </row>
    <row r="57" spans="1:7" ht="39" thickBot="1" x14ac:dyDescent="0.25">
      <c r="A57" s="4" t="s">
        <v>75</v>
      </c>
      <c r="B57" s="4" t="s">
        <v>943</v>
      </c>
      <c r="C57" s="102" t="s">
        <v>611</v>
      </c>
      <c r="D57" s="102" t="s">
        <v>611</v>
      </c>
      <c r="E57" s="102" t="s">
        <v>611</v>
      </c>
      <c r="F57" s="105" t="s">
        <v>979</v>
      </c>
      <c r="G57" s="113" t="s">
        <v>8</v>
      </c>
    </row>
    <row r="58" spans="1:7" ht="39" thickBot="1" x14ac:dyDescent="0.25">
      <c r="A58" s="4" t="s">
        <v>77</v>
      </c>
      <c r="B58" s="4" t="s">
        <v>944</v>
      </c>
      <c r="C58" s="102" t="s">
        <v>611</v>
      </c>
      <c r="D58" s="102" t="s">
        <v>611</v>
      </c>
      <c r="E58" s="102" t="s">
        <v>611</v>
      </c>
      <c r="F58" s="105" t="s">
        <v>979</v>
      </c>
      <c r="G58" s="113" t="s">
        <v>8</v>
      </c>
    </row>
    <row r="59" spans="1:7" ht="39" thickBot="1" x14ac:dyDescent="0.25">
      <c r="A59" s="4" t="s">
        <v>79</v>
      </c>
      <c r="B59" s="4" t="s">
        <v>945</v>
      </c>
      <c r="C59" s="102" t="s">
        <v>611</v>
      </c>
      <c r="D59" s="102" t="s">
        <v>611</v>
      </c>
      <c r="E59" s="102" t="s">
        <v>611</v>
      </c>
      <c r="F59" s="105" t="s">
        <v>979</v>
      </c>
      <c r="G59" s="113" t="s">
        <v>8</v>
      </c>
    </row>
    <row r="60" spans="1:7" ht="39" thickBot="1" x14ac:dyDescent="0.25">
      <c r="A60" s="4" t="s">
        <v>80</v>
      </c>
      <c r="B60" s="4" t="s">
        <v>946</v>
      </c>
      <c r="C60" s="102" t="s">
        <v>611</v>
      </c>
      <c r="D60" s="102" t="s">
        <v>611</v>
      </c>
      <c r="E60" s="102" t="s">
        <v>611</v>
      </c>
      <c r="F60" s="105" t="s">
        <v>979</v>
      </c>
      <c r="G60" s="113" t="s">
        <v>8</v>
      </c>
    </row>
    <row r="61" spans="1:7" ht="39" thickBot="1" x14ac:dyDescent="0.25">
      <c r="A61" s="4" t="s">
        <v>81</v>
      </c>
      <c r="B61" s="4" t="s">
        <v>947</v>
      </c>
      <c r="C61" s="102" t="s">
        <v>611</v>
      </c>
      <c r="D61" s="102" t="s">
        <v>611</v>
      </c>
      <c r="E61" s="102" t="s">
        <v>611</v>
      </c>
      <c r="F61" s="105" t="s">
        <v>979</v>
      </c>
      <c r="G61" s="113" t="s">
        <v>8</v>
      </c>
    </row>
    <row r="62" spans="1:7" ht="39" thickBot="1" x14ac:dyDescent="0.25">
      <c r="A62" s="4" t="s">
        <v>83</v>
      </c>
      <c r="B62" s="4" t="s">
        <v>948</v>
      </c>
      <c r="C62" s="102" t="s">
        <v>611</v>
      </c>
      <c r="D62" s="102" t="s">
        <v>611</v>
      </c>
      <c r="E62" s="102" t="s">
        <v>611</v>
      </c>
      <c r="F62" s="105" t="s">
        <v>979</v>
      </c>
      <c r="G62" s="113" t="s">
        <v>8</v>
      </c>
    </row>
    <row r="63" spans="1:7" ht="39" thickBot="1" x14ac:dyDescent="0.25">
      <c r="A63" s="4" t="s">
        <v>84</v>
      </c>
      <c r="B63" s="4" t="s">
        <v>949</v>
      </c>
      <c r="C63" s="102" t="s">
        <v>611</v>
      </c>
      <c r="D63" s="102" t="s">
        <v>611</v>
      </c>
      <c r="E63" s="102" t="s">
        <v>611</v>
      </c>
      <c r="F63" s="105" t="s">
        <v>979</v>
      </c>
      <c r="G63" s="113" t="s">
        <v>8</v>
      </c>
    </row>
    <row r="64" spans="1:7" ht="39" thickBot="1" x14ac:dyDescent="0.25">
      <c r="A64" s="4" t="s">
        <v>85</v>
      </c>
      <c r="B64" s="4" t="s">
        <v>950</v>
      </c>
      <c r="C64" s="102" t="s">
        <v>611</v>
      </c>
      <c r="D64" s="102" t="s">
        <v>611</v>
      </c>
      <c r="E64" s="102" t="s">
        <v>611</v>
      </c>
      <c r="F64" s="105" t="s">
        <v>979</v>
      </c>
      <c r="G64" s="113" t="s">
        <v>8</v>
      </c>
    </row>
    <row r="65" spans="1:7" ht="39" thickBot="1" x14ac:dyDescent="0.25">
      <c r="A65" s="4" t="s">
        <v>102</v>
      </c>
      <c r="B65" s="4" t="s">
        <v>951</v>
      </c>
      <c r="C65" s="102" t="s">
        <v>611</v>
      </c>
      <c r="D65" s="102" t="s">
        <v>611</v>
      </c>
      <c r="E65" s="102" t="s">
        <v>611</v>
      </c>
      <c r="F65" s="105" t="s">
        <v>979</v>
      </c>
      <c r="G65" s="113" t="s">
        <v>8</v>
      </c>
    </row>
    <row r="66" spans="1:7" ht="39" thickBot="1" x14ac:dyDescent="0.25">
      <c r="A66" s="4" t="s">
        <v>86</v>
      </c>
      <c r="B66" s="4" t="s">
        <v>952</v>
      </c>
      <c r="C66" s="102" t="s">
        <v>611</v>
      </c>
      <c r="D66" s="102" t="s">
        <v>611</v>
      </c>
      <c r="E66" s="102" t="s">
        <v>611</v>
      </c>
      <c r="F66" s="105" t="s">
        <v>980</v>
      </c>
      <c r="G66" s="113" t="s">
        <v>993</v>
      </c>
    </row>
    <row r="67" spans="1:7" ht="39" thickBot="1" x14ac:dyDescent="0.25">
      <c r="A67" s="4" t="s">
        <v>87</v>
      </c>
      <c r="B67" s="4" t="s">
        <v>955</v>
      </c>
      <c r="C67" s="102" t="s">
        <v>611</v>
      </c>
      <c r="D67" s="102" t="s">
        <v>611</v>
      </c>
      <c r="E67" s="102" t="s">
        <v>611</v>
      </c>
      <c r="F67" s="105" t="s">
        <v>980</v>
      </c>
      <c r="G67" s="113" t="s">
        <v>993</v>
      </c>
    </row>
    <row r="68" spans="1:7" ht="39" thickBot="1" x14ac:dyDescent="0.25">
      <c r="A68" s="4" t="s">
        <v>88</v>
      </c>
      <c r="B68" s="4" t="s">
        <v>958</v>
      </c>
      <c r="C68" s="102" t="s">
        <v>611</v>
      </c>
      <c r="D68" s="102" t="s">
        <v>611</v>
      </c>
      <c r="E68" s="102" t="s">
        <v>611</v>
      </c>
      <c r="F68" s="105" t="s">
        <v>980</v>
      </c>
      <c r="G68" s="113" t="s">
        <v>993</v>
      </c>
    </row>
    <row r="69" spans="1:7" ht="13.5" thickBot="1" x14ac:dyDescent="0.25">
      <c r="A69" s="4" t="s">
        <v>89</v>
      </c>
      <c r="B69" s="4" t="s">
        <v>968</v>
      </c>
      <c r="C69" s="102" t="s">
        <v>611</v>
      </c>
      <c r="D69" s="102"/>
      <c r="E69" s="102"/>
      <c r="F69" s="105"/>
      <c r="G69" s="113"/>
    </row>
    <row r="70" spans="1:7" ht="51.75" thickBot="1" x14ac:dyDescent="0.25">
      <c r="A70" s="4" t="s">
        <v>90</v>
      </c>
      <c r="B70" s="4" t="s">
        <v>962</v>
      </c>
      <c r="C70" s="102" t="s">
        <v>611</v>
      </c>
      <c r="D70" s="102" t="s">
        <v>611</v>
      </c>
      <c r="E70" s="102" t="s">
        <v>611</v>
      </c>
      <c r="F70" s="105" t="s">
        <v>973</v>
      </c>
      <c r="G70" s="113" t="s">
        <v>994</v>
      </c>
    </row>
    <row r="71" spans="1:7" ht="51.75" thickBot="1" x14ac:dyDescent="0.25">
      <c r="A71" s="4" t="s">
        <v>91</v>
      </c>
      <c r="B71" s="4" t="s">
        <v>963</v>
      </c>
      <c r="C71" s="102" t="s">
        <v>611</v>
      </c>
      <c r="D71" s="102" t="s">
        <v>611</v>
      </c>
      <c r="E71" s="102" t="s">
        <v>611</v>
      </c>
      <c r="F71" s="109" t="s">
        <v>988</v>
      </c>
      <c r="G71" s="113" t="s">
        <v>994</v>
      </c>
    </row>
    <row r="72" spans="1:7" ht="51.75" thickBot="1" x14ac:dyDescent="0.25">
      <c r="A72" s="4" t="s">
        <v>92</v>
      </c>
      <c r="B72" s="4" t="s">
        <v>173</v>
      </c>
      <c r="C72" s="102" t="s">
        <v>611</v>
      </c>
      <c r="D72" s="102" t="s">
        <v>611</v>
      </c>
      <c r="E72" s="102" t="s">
        <v>611</v>
      </c>
      <c r="F72" s="105" t="s">
        <v>973</v>
      </c>
      <c r="G72" s="113" t="s">
        <v>994</v>
      </c>
    </row>
    <row r="73" spans="1:7" ht="13.5" thickBot="1" x14ac:dyDescent="0.25">
      <c r="C73" s="102"/>
      <c r="D73" s="102"/>
      <c r="E73" s="102"/>
      <c r="F73" s="105"/>
    </row>
    <row r="74" spans="1:7" ht="13.5" thickBot="1" x14ac:dyDescent="0.25">
      <c r="C74" s="102"/>
      <c r="D74" s="102"/>
      <c r="E74" s="102"/>
      <c r="F74" s="105"/>
    </row>
    <row r="75" spans="1:7" ht="13.5" thickBot="1" x14ac:dyDescent="0.25">
      <c r="C75" s="102"/>
      <c r="D75" s="102"/>
      <c r="E75" s="102"/>
      <c r="F75" s="105"/>
    </row>
    <row r="76" spans="1:7" ht="13.5" thickBot="1" x14ac:dyDescent="0.25">
      <c r="C76" s="102"/>
      <c r="D76" s="102"/>
      <c r="E76" s="102"/>
      <c r="F76" s="105"/>
    </row>
    <row r="77" spans="1:7" ht="13.5" thickBot="1" x14ac:dyDescent="0.25">
      <c r="C77" s="102"/>
      <c r="D77" s="102"/>
      <c r="E77" s="102"/>
      <c r="F77" s="105"/>
    </row>
    <row r="78" spans="1:7" ht="13.5" thickBot="1" x14ac:dyDescent="0.25">
      <c r="C78" s="102"/>
      <c r="D78" s="102"/>
      <c r="E78" s="102"/>
      <c r="F78" s="105"/>
    </row>
    <row r="79" spans="1:7" ht="13.5" thickBot="1" x14ac:dyDescent="0.25">
      <c r="C79" s="102"/>
      <c r="D79" s="102"/>
      <c r="E79" s="102"/>
      <c r="F79" s="105"/>
    </row>
    <row r="80" spans="1:7" ht="13.5" thickBot="1" x14ac:dyDescent="0.25">
      <c r="C80" s="102"/>
      <c r="D80" s="102"/>
      <c r="E80" s="102"/>
      <c r="F80" s="105"/>
    </row>
    <row r="81" spans="3:6" ht="13.5" thickBot="1" x14ac:dyDescent="0.25">
      <c r="C81" s="102"/>
      <c r="D81" s="102"/>
      <c r="E81" s="102"/>
      <c r="F81" s="105"/>
    </row>
    <row r="82" spans="3:6" ht="13.5" thickBot="1" x14ac:dyDescent="0.25">
      <c r="C82" s="102"/>
      <c r="D82" s="102"/>
      <c r="E82" s="102"/>
      <c r="F82" s="105"/>
    </row>
    <row r="83" spans="3:6" ht="13.5" thickBot="1" x14ac:dyDescent="0.25">
      <c r="C83" s="102"/>
      <c r="D83" s="102"/>
      <c r="E83" s="102"/>
      <c r="F83" s="105"/>
    </row>
    <row r="84" spans="3:6" ht="13.5" thickBot="1" x14ac:dyDescent="0.25">
      <c r="C84" s="102"/>
      <c r="D84" s="102"/>
      <c r="E84" s="102"/>
      <c r="F84" s="105"/>
    </row>
    <row r="85" spans="3:6" ht="13.5" thickBot="1" x14ac:dyDescent="0.25">
      <c r="C85" s="102"/>
      <c r="D85" s="102"/>
      <c r="E85" s="102"/>
      <c r="F85" s="105"/>
    </row>
    <row r="86" spans="3:6" ht="13.5" thickBot="1" x14ac:dyDescent="0.25">
      <c r="C86" s="102"/>
      <c r="D86" s="102"/>
      <c r="E86" s="102"/>
      <c r="F86" s="105"/>
    </row>
    <row r="87" spans="3:6" ht="13.5" thickBot="1" x14ac:dyDescent="0.25">
      <c r="C87" s="102"/>
      <c r="D87" s="102"/>
      <c r="E87" s="102"/>
      <c r="F87" s="105"/>
    </row>
    <row r="88" spans="3:6" ht="13.5" thickBot="1" x14ac:dyDescent="0.25">
      <c r="C88" s="102"/>
      <c r="D88" s="102"/>
      <c r="E88" s="102"/>
      <c r="F88" s="105"/>
    </row>
    <row r="89" spans="3:6" ht="13.5" thickBot="1" x14ac:dyDescent="0.25">
      <c r="C89" s="102"/>
      <c r="D89" s="102"/>
      <c r="E89" s="102"/>
      <c r="F89" s="105"/>
    </row>
    <row r="90" spans="3:6" ht="13.5" thickBot="1" x14ac:dyDescent="0.25">
      <c r="C90" s="102"/>
      <c r="D90" s="102"/>
      <c r="E90" s="102"/>
      <c r="F90" s="105"/>
    </row>
    <row r="91" spans="3:6" ht="13.5" thickBot="1" x14ac:dyDescent="0.25">
      <c r="C91" s="102"/>
      <c r="D91" s="102"/>
      <c r="E91" s="102"/>
      <c r="F91" s="105"/>
    </row>
    <row r="92" spans="3:6" ht="13.5" thickBot="1" x14ac:dyDescent="0.25">
      <c r="C92" s="102"/>
      <c r="D92" s="102"/>
      <c r="E92" s="102"/>
      <c r="F92" s="105"/>
    </row>
    <row r="93" spans="3:6" ht="13.5" thickBot="1" x14ac:dyDescent="0.25">
      <c r="C93" s="102"/>
      <c r="D93" s="102"/>
      <c r="E93" s="102"/>
      <c r="F93" s="105"/>
    </row>
    <row r="94" spans="3:6" ht="13.5" thickBot="1" x14ac:dyDescent="0.25">
      <c r="C94" s="102"/>
      <c r="D94" s="102"/>
      <c r="E94" s="102"/>
      <c r="F94" s="105"/>
    </row>
    <row r="95" spans="3:6" ht="13.5" thickBot="1" x14ac:dyDescent="0.25">
      <c r="C95" s="102"/>
      <c r="D95" s="102"/>
      <c r="E95" s="102"/>
      <c r="F95" s="105"/>
    </row>
    <row r="96" spans="3:6" ht="13.5" thickBot="1" x14ac:dyDescent="0.25">
      <c r="C96" s="102"/>
      <c r="D96" s="102"/>
      <c r="E96" s="102"/>
      <c r="F96" s="105"/>
    </row>
    <row r="97" spans="3:6" ht="13.5" thickBot="1" x14ac:dyDescent="0.25">
      <c r="C97" s="102"/>
      <c r="D97" s="102"/>
      <c r="E97" s="102"/>
      <c r="F97" s="105"/>
    </row>
    <row r="98" spans="3:6" ht="13.5" thickBot="1" x14ac:dyDescent="0.25">
      <c r="C98" s="102"/>
      <c r="D98" s="102"/>
      <c r="E98" s="102"/>
      <c r="F98" s="105"/>
    </row>
    <row r="99" spans="3:6" ht="13.5" thickBot="1" x14ac:dyDescent="0.25">
      <c r="C99" s="102"/>
      <c r="D99" s="102"/>
      <c r="E99" s="102"/>
      <c r="F99" s="105"/>
    </row>
    <row r="100" spans="3:6" ht="13.5" thickBot="1" x14ac:dyDescent="0.25">
      <c r="C100" s="102"/>
      <c r="D100" s="102"/>
      <c r="E100" s="102"/>
      <c r="F100" s="105"/>
    </row>
    <row r="101" spans="3:6" ht="13.5" thickBot="1" x14ac:dyDescent="0.25">
      <c r="C101" s="102"/>
      <c r="D101" s="102"/>
      <c r="E101" s="102"/>
      <c r="F101" s="105"/>
    </row>
    <row r="102" spans="3:6" ht="13.5" thickBot="1" x14ac:dyDescent="0.25">
      <c r="C102" s="102"/>
      <c r="D102" s="102"/>
      <c r="E102" s="102"/>
      <c r="F102" s="105"/>
    </row>
    <row r="103" spans="3:6" ht="13.5" thickBot="1" x14ac:dyDescent="0.25">
      <c r="C103" s="102"/>
      <c r="D103" s="102"/>
      <c r="E103" s="102"/>
      <c r="F103" s="105"/>
    </row>
    <row r="104" spans="3:6" ht="13.5" thickBot="1" x14ac:dyDescent="0.25">
      <c r="C104" s="102"/>
      <c r="D104" s="102"/>
      <c r="E104" s="102"/>
      <c r="F104" s="105"/>
    </row>
    <row r="105" spans="3:6" ht="13.5" thickBot="1" x14ac:dyDescent="0.25">
      <c r="C105" s="102"/>
      <c r="D105" s="102"/>
      <c r="E105" s="102"/>
      <c r="F105" s="105"/>
    </row>
    <row r="106" spans="3:6" ht="13.5" thickBot="1" x14ac:dyDescent="0.25">
      <c r="C106" s="102"/>
      <c r="D106" s="102"/>
      <c r="E106" s="102"/>
      <c r="F106" s="105"/>
    </row>
    <row r="107" spans="3:6" ht="13.5" thickBot="1" x14ac:dyDescent="0.25">
      <c r="C107" s="102"/>
      <c r="D107" s="102"/>
      <c r="E107" s="102"/>
      <c r="F107" s="105"/>
    </row>
    <row r="108" spans="3:6" ht="13.5" thickBot="1" x14ac:dyDescent="0.25">
      <c r="C108" s="102"/>
      <c r="D108" s="102"/>
      <c r="E108" s="102"/>
      <c r="F108" s="105"/>
    </row>
    <row r="109" spans="3:6" ht="13.5" thickBot="1" x14ac:dyDescent="0.25">
      <c r="C109" s="102"/>
      <c r="D109" s="102"/>
      <c r="E109" s="102"/>
      <c r="F109" s="105"/>
    </row>
    <row r="110" spans="3:6" ht="13.5" thickBot="1" x14ac:dyDescent="0.25">
      <c r="C110" s="102"/>
      <c r="D110" s="102"/>
      <c r="E110" s="102"/>
      <c r="F110" s="105"/>
    </row>
    <row r="111" spans="3:6" ht="13.5" thickBot="1" x14ac:dyDescent="0.25">
      <c r="C111" s="102"/>
      <c r="D111" s="102"/>
      <c r="E111" s="102"/>
      <c r="F111" s="105"/>
    </row>
    <row r="112" spans="3:6" ht="13.5" thickBot="1" x14ac:dyDescent="0.25">
      <c r="C112" s="102"/>
      <c r="D112" s="102"/>
      <c r="E112" s="102"/>
      <c r="F112" s="105"/>
    </row>
    <row r="113" spans="3:6" ht="13.5" thickBot="1" x14ac:dyDescent="0.25">
      <c r="C113" s="102"/>
      <c r="D113" s="102"/>
      <c r="E113" s="102"/>
      <c r="F113" s="105"/>
    </row>
    <row r="114" spans="3:6" ht="13.5" thickBot="1" x14ac:dyDescent="0.25">
      <c r="C114" s="102"/>
      <c r="D114" s="102"/>
      <c r="E114" s="102"/>
      <c r="F114" s="105"/>
    </row>
    <row r="115" spans="3:6" ht="13.5" thickBot="1" x14ac:dyDescent="0.25">
      <c r="C115" s="102"/>
      <c r="D115" s="102"/>
      <c r="E115" s="102"/>
      <c r="F115" s="105"/>
    </row>
    <row r="116" spans="3:6" ht="13.5" thickBot="1" x14ac:dyDescent="0.25">
      <c r="C116" s="102"/>
      <c r="D116" s="102"/>
      <c r="E116" s="102"/>
      <c r="F116" s="105"/>
    </row>
    <row r="117" spans="3:6" ht="13.5" thickBot="1" x14ac:dyDescent="0.25">
      <c r="C117" s="102"/>
      <c r="D117" s="102"/>
      <c r="E117" s="102"/>
      <c r="F117" s="105"/>
    </row>
    <row r="118" spans="3:6" ht="13.5" thickBot="1" x14ac:dyDescent="0.25">
      <c r="C118" s="102"/>
      <c r="D118" s="102"/>
      <c r="E118" s="102"/>
      <c r="F118" s="105"/>
    </row>
    <row r="119" spans="3:6" ht="13.5" thickBot="1" x14ac:dyDescent="0.25">
      <c r="C119" s="102"/>
      <c r="D119" s="102"/>
      <c r="E119" s="102"/>
      <c r="F119" s="105"/>
    </row>
    <row r="120" spans="3:6" ht="13.5" thickBot="1" x14ac:dyDescent="0.25">
      <c r="C120" s="102"/>
      <c r="D120" s="102"/>
      <c r="E120" s="102"/>
      <c r="F120" s="105"/>
    </row>
    <row r="121" spans="3:6" ht="13.5" thickBot="1" x14ac:dyDescent="0.25">
      <c r="C121" s="102"/>
      <c r="D121" s="102"/>
      <c r="E121" s="102"/>
      <c r="F121" s="105"/>
    </row>
    <row r="122" spans="3:6" ht="13.5" thickBot="1" x14ac:dyDescent="0.25">
      <c r="C122" s="102"/>
      <c r="D122" s="102"/>
      <c r="E122" s="102"/>
      <c r="F122" s="105"/>
    </row>
    <row r="123" spans="3:6" ht="13.5" thickBot="1" x14ac:dyDescent="0.25">
      <c r="C123" s="102"/>
      <c r="D123" s="102"/>
      <c r="E123" s="102"/>
      <c r="F123" s="105"/>
    </row>
    <row r="124" spans="3:6" ht="13.5" thickBot="1" x14ac:dyDescent="0.25">
      <c r="C124" s="102"/>
      <c r="D124" s="102"/>
      <c r="E124" s="102"/>
      <c r="F124" s="105"/>
    </row>
    <row r="125" spans="3:6" ht="13.5" thickBot="1" x14ac:dyDescent="0.25">
      <c r="C125" s="102"/>
      <c r="D125" s="102"/>
      <c r="E125" s="102"/>
      <c r="F125" s="105"/>
    </row>
    <row r="126" spans="3:6" ht="13.5" thickBot="1" x14ac:dyDescent="0.25">
      <c r="C126" s="102"/>
      <c r="D126" s="102"/>
      <c r="E126" s="102"/>
      <c r="F126" s="105"/>
    </row>
    <row r="127" spans="3:6" ht="13.5" thickBot="1" x14ac:dyDescent="0.25">
      <c r="C127" s="102"/>
      <c r="D127" s="102"/>
      <c r="E127" s="102"/>
      <c r="F127" s="105"/>
    </row>
    <row r="128" spans="3:6" ht="13.5" thickBot="1" x14ac:dyDescent="0.25">
      <c r="C128" s="102"/>
      <c r="D128" s="102"/>
      <c r="E128" s="102"/>
      <c r="F128" s="105"/>
    </row>
    <row r="129" spans="3:6" ht="13.5" thickBot="1" x14ac:dyDescent="0.25">
      <c r="C129" s="102"/>
      <c r="D129" s="102"/>
      <c r="E129" s="102"/>
      <c r="F129" s="105"/>
    </row>
    <row r="130" spans="3:6" ht="13.5" thickBot="1" x14ac:dyDescent="0.25">
      <c r="C130" s="102"/>
      <c r="D130" s="102"/>
      <c r="E130" s="102"/>
      <c r="F130" s="105"/>
    </row>
    <row r="131" spans="3:6" ht="13.5" thickBot="1" x14ac:dyDescent="0.25">
      <c r="C131" s="102"/>
      <c r="D131" s="102"/>
      <c r="E131" s="102"/>
      <c r="F131" s="105"/>
    </row>
    <row r="132" spans="3:6" ht="13.5" thickBot="1" x14ac:dyDescent="0.25">
      <c r="C132" s="102"/>
      <c r="D132" s="102"/>
      <c r="E132" s="102"/>
      <c r="F132" s="105"/>
    </row>
    <row r="133" spans="3:6" ht="13.5" thickBot="1" x14ac:dyDescent="0.25">
      <c r="C133" s="102"/>
      <c r="D133" s="102"/>
      <c r="E133" s="102"/>
      <c r="F133" s="105"/>
    </row>
    <row r="134" spans="3:6" ht="13.5" thickBot="1" x14ac:dyDescent="0.25">
      <c r="C134" s="102"/>
      <c r="D134" s="102"/>
      <c r="E134" s="102"/>
      <c r="F134" s="105"/>
    </row>
    <row r="135" spans="3:6" ht="13.5" thickBot="1" x14ac:dyDescent="0.25">
      <c r="C135" s="102"/>
      <c r="D135" s="102"/>
      <c r="E135" s="102"/>
      <c r="F135" s="105"/>
    </row>
    <row r="136" spans="3:6" ht="13.5" thickBot="1" x14ac:dyDescent="0.25">
      <c r="C136" s="102"/>
      <c r="D136" s="102"/>
      <c r="E136" s="102"/>
      <c r="F136" s="105"/>
    </row>
    <row r="137" spans="3:6" ht="13.5" thickBot="1" x14ac:dyDescent="0.25">
      <c r="C137" s="102"/>
      <c r="D137" s="102"/>
      <c r="E137" s="102"/>
      <c r="F137" s="105"/>
    </row>
    <row r="138" spans="3:6" ht="13.5" thickBot="1" x14ac:dyDescent="0.25">
      <c r="C138" s="102"/>
      <c r="D138" s="102"/>
      <c r="E138" s="102"/>
      <c r="F138" s="105"/>
    </row>
    <row r="139" spans="3:6" ht="13.5" thickBot="1" x14ac:dyDescent="0.25">
      <c r="C139" s="102"/>
      <c r="D139" s="102"/>
      <c r="E139" s="102"/>
      <c r="F139" s="105"/>
    </row>
    <row r="140" spans="3:6" ht="13.5" thickBot="1" x14ac:dyDescent="0.25">
      <c r="C140" s="102"/>
      <c r="D140" s="102"/>
      <c r="E140" s="102"/>
      <c r="F140" s="105"/>
    </row>
    <row r="141" spans="3:6" ht="13.5" thickBot="1" x14ac:dyDescent="0.25">
      <c r="C141" s="102"/>
      <c r="D141" s="102"/>
      <c r="E141" s="102"/>
      <c r="F141" s="105"/>
    </row>
    <row r="142" spans="3:6" ht="13.5" thickBot="1" x14ac:dyDescent="0.25">
      <c r="C142" s="102"/>
      <c r="D142" s="102"/>
      <c r="E142" s="102"/>
      <c r="F142" s="105"/>
    </row>
    <row r="143" spans="3:6" ht="13.5" thickBot="1" x14ac:dyDescent="0.25">
      <c r="C143" s="102"/>
      <c r="D143" s="102"/>
      <c r="E143" s="102"/>
      <c r="F143" s="105"/>
    </row>
    <row r="144" spans="3:6" ht="13.5" thickBot="1" x14ac:dyDescent="0.25">
      <c r="C144" s="102"/>
      <c r="D144" s="102"/>
      <c r="E144" s="102"/>
      <c r="F144" s="105"/>
    </row>
    <row r="145" spans="3:6" ht="13.5" thickBot="1" x14ac:dyDescent="0.25">
      <c r="C145" s="102"/>
      <c r="D145" s="102"/>
      <c r="E145" s="102"/>
      <c r="F145" s="105"/>
    </row>
    <row r="146" spans="3:6" ht="13.5" thickBot="1" x14ac:dyDescent="0.25">
      <c r="C146" s="102"/>
      <c r="D146" s="102"/>
      <c r="E146" s="102"/>
      <c r="F146" s="105"/>
    </row>
    <row r="147" spans="3:6" ht="13.5" thickBot="1" x14ac:dyDescent="0.25">
      <c r="C147" s="102"/>
      <c r="D147" s="102"/>
      <c r="E147" s="102"/>
      <c r="F147" s="105"/>
    </row>
    <row r="148" spans="3:6" ht="13.5" thickBot="1" x14ac:dyDescent="0.25">
      <c r="C148" s="102"/>
      <c r="D148" s="102"/>
      <c r="E148" s="102"/>
      <c r="F148" s="105"/>
    </row>
    <row r="149" spans="3:6" ht="13.5" thickBot="1" x14ac:dyDescent="0.25">
      <c r="C149" s="102"/>
      <c r="D149" s="102"/>
      <c r="E149" s="102"/>
      <c r="F149" s="105"/>
    </row>
    <row r="150" spans="3:6" ht="13.5" thickBot="1" x14ac:dyDescent="0.25">
      <c r="C150" s="102"/>
      <c r="D150" s="102"/>
      <c r="E150" s="102"/>
      <c r="F150" s="105"/>
    </row>
    <row r="151" spans="3:6" ht="13.5" thickBot="1" x14ac:dyDescent="0.25">
      <c r="C151" s="102"/>
      <c r="D151" s="102"/>
      <c r="E151" s="102"/>
      <c r="F151" s="105"/>
    </row>
    <row r="152" spans="3:6" ht="13.5" thickBot="1" x14ac:dyDescent="0.25">
      <c r="C152" s="102"/>
      <c r="D152" s="102"/>
      <c r="E152" s="102"/>
      <c r="F152" s="105"/>
    </row>
    <row r="153" spans="3:6" ht="13.5" thickBot="1" x14ac:dyDescent="0.25">
      <c r="C153" s="102"/>
      <c r="D153" s="102"/>
      <c r="E153" s="102"/>
      <c r="F153" s="105"/>
    </row>
    <row r="154" spans="3:6" ht="13.5" thickBot="1" x14ac:dyDescent="0.25">
      <c r="C154" s="102"/>
      <c r="D154" s="102"/>
      <c r="E154" s="102"/>
      <c r="F154" s="105"/>
    </row>
    <row r="155" spans="3:6" ht="13.5" thickBot="1" x14ac:dyDescent="0.25">
      <c r="C155" s="102"/>
      <c r="D155" s="102"/>
      <c r="E155" s="102"/>
      <c r="F155" s="105"/>
    </row>
    <row r="156" spans="3:6" ht="13.5" thickBot="1" x14ac:dyDescent="0.25">
      <c r="C156" s="102"/>
      <c r="D156" s="102"/>
      <c r="E156" s="102"/>
      <c r="F156" s="105"/>
    </row>
    <row r="157" spans="3:6" ht="13.5" thickBot="1" x14ac:dyDescent="0.25">
      <c r="C157" s="102"/>
      <c r="D157" s="102"/>
      <c r="E157" s="102"/>
      <c r="F157" s="105"/>
    </row>
    <row r="158" spans="3:6" ht="13.5" thickBot="1" x14ac:dyDescent="0.25">
      <c r="C158" s="102"/>
      <c r="D158" s="102"/>
      <c r="E158" s="102"/>
      <c r="F158" s="105"/>
    </row>
    <row r="159" spans="3:6" ht="13.5" thickBot="1" x14ac:dyDescent="0.25">
      <c r="C159" s="102"/>
      <c r="D159" s="102"/>
      <c r="E159" s="102"/>
      <c r="F159" s="105"/>
    </row>
    <row r="160" spans="3:6" ht="13.5" thickBot="1" x14ac:dyDescent="0.25">
      <c r="C160" s="102"/>
      <c r="D160" s="102"/>
      <c r="E160" s="102"/>
      <c r="F160" s="105"/>
    </row>
    <row r="161" spans="3:6" ht="13.5" thickBot="1" x14ac:dyDescent="0.25">
      <c r="C161" s="102"/>
      <c r="D161" s="102"/>
      <c r="E161" s="102"/>
      <c r="F161" s="105"/>
    </row>
    <row r="162" spans="3:6" ht="13.5" thickBot="1" x14ac:dyDescent="0.25">
      <c r="C162" s="102"/>
      <c r="D162" s="102"/>
      <c r="E162" s="102"/>
      <c r="F162" s="105"/>
    </row>
    <row r="163" spans="3:6" ht="13.5" thickBot="1" x14ac:dyDescent="0.25">
      <c r="C163" s="102"/>
      <c r="D163" s="102"/>
      <c r="E163" s="102"/>
      <c r="F163" s="105"/>
    </row>
    <row r="164" spans="3:6" ht="13.5" thickBot="1" x14ac:dyDescent="0.25">
      <c r="C164" s="102"/>
      <c r="D164" s="102"/>
      <c r="E164" s="102"/>
      <c r="F164" s="105"/>
    </row>
    <row r="165" spans="3:6" ht="13.5" thickBot="1" x14ac:dyDescent="0.25">
      <c r="C165" s="102"/>
      <c r="D165" s="102"/>
      <c r="E165" s="102"/>
      <c r="F165" s="105"/>
    </row>
    <row r="166" spans="3:6" ht="13.5" thickBot="1" x14ac:dyDescent="0.25">
      <c r="C166" s="102"/>
      <c r="D166" s="102"/>
      <c r="E166" s="102"/>
      <c r="F166" s="105"/>
    </row>
    <row r="167" spans="3:6" ht="13.5" thickBot="1" x14ac:dyDescent="0.25">
      <c r="C167" s="102"/>
      <c r="D167" s="102"/>
      <c r="E167" s="102"/>
      <c r="F167" s="105"/>
    </row>
    <row r="168" spans="3:6" ht="13.5" thickBot="1" x14ac:dyDescent="0.25">
      <c r="C168" s="102"/>
      <c r="D168" s="102"/>
      <c r="E168" s="102"/>
      <c r="F168" s="105"/>
    </row>
    <row r="169" spans="3:6" ht="13.5" thickBot="1" x14ac:dyDescent="0.25">
      <c r="C169" s="102"/>
      <c r="D169" s="102"/>
      <c r="E169" s="102"/>
      <c r="F169" s="105"/>
    </row>
    <row r="170" spans="3:6" ht="13.5" thickBot="1" x14ac:dyDescent="0.25">
      <c r="C170" s="102"/>
      <c r="D170" s="102"/>
      <c r="E170" s="102"/>
      <c r="F170" s="105"/>
    </row>
    <row r="171" spans="3:6" ht="13.5" thickBot="1" x14ac:dyDescent="0.25">
      <c r="C171" s="102"/>
      <c r="D171" s="102"/>
      <c r="E171" s="102"/>
      <c r="F171" s="105"/>
    </row>
    <row r="172" spans="3:6" ht="13.5" thickBot="1" x14ac:dyDescent="0.25">
      <c r="C172" s="102"/>
      <c r="D172" s="102"/>
      <c r="E172" s="102"/>
      <c r="F172" s="105"/>
    </row>
    <row r="173" spans="3:6" ht="13.5" thickBot="1" x14ac:dyDescent="0.25">
      <c r="C173" s="102"/>
      <c r="D173" s="102"/>
      <c r="E173" s="102"/>
      <c r="F173" s="105"/>
    </row>
    <row r="174" spans="3:6" ht="13.5" thickBot="1" x14ac:dyDescent="0.25">
      <c r="C174" s="102"/>
      <c r="D174" s="102"/>
      <c r="E174" s="102"/>
      <c r="F174" s="105"/>
    </row>
    <row r="175" spans="3:6" ht="13.5" thickBot="1" x14ac:dyDescent="0.25">
      <c r="C175" s="102"/>
      <c r="D175" s="102"/>
      <c r="E175" s="102"/>
      <c r="F175" s="105"/>
    </row>
    <row r="176" spans="3:6" ht="13.5" thickBot="1" x14ac:dyDescent="0.25">
      <c r="C176" s="102"/>
      <c r="D176" s="102"/>
      <c r="E176" s="102"/>
      <c r="F176" s="105"/>
    </row>
    <row r="177" spans="3:6" ht="13.5" thickBot="1" x14ac:dyDescent="0.25">
      <c r="C177" s="102"/>
      <c r="D177" s="102"/>
      <c r="E177" s="102"/>
      <c r="F177" s="105"/>
    </row>
    <row r="178" spans="3:6" ht="13.5" thickBot="1" x14ac:dyDescent="0.25">
      <c r="C178" s="102"/>
      <c r="D178" s="102"/>
      <c r="E178" s="102"/>
      <c r="F178" s="105"/>
    </row>
    <row r="179" spans="3:6" ht="13.5" thickBot="1" x14ac:dyDescent="0.25">
      <c r="C179" s="102"/>
      <c r="D179" s="102"/>
      <c r="E179" s="102"/>
      <c r="F179" s="105"/>
    </row>
    <row r="180" spans="3:6" ht="13.5" thickBot="1" x14ac:dyDescent="0.25">
      <c r="C180" s="102"/>
      <c r="D180" s="102"/>
      <c r="E180" s="102"/>
      <c r="F180" s="105"/>
    </row>
    <row r="181" spans="3:6" ht="13.5" thickBot="1" x14ac:dyDescent="0.25">
      <c r="C181" s="102"/>
      <c r="D181" s="102"/>
      <c r="E181" s="102"/>
      <c r="F181" s="105"/>
    </row>
    <row r="182" spans="3:6" ht="13.5" thickBot="1" x14ac:dyDescent="0.25">
      <c r="C182" s="102"/>
      <c r="D182" s="102"/>
      <c r="E182" s="102"/>
      <c r="F182" s="105"/>
    </row>
    <row r="183" spans="3:6" ht="13.5" thickBot="1" x14ac:dyDescent="0.25">
      <c r="C183" s="102"/>
      <c r="D183" s="102"/>
      <c r="E183" s="102"/>
      <c r="F183" s="105"/>
    </row>
    <row r="184" spans="3:6" ht="13.5" thickBot="1" x14ac:dyDescent="0.25">
      <c r="C184" s="102"/>
      <c r="D184" s="102"/>
      <c r="E184" s="102"/>
      <c r="F184" s="105"/>
    </row>
    <row r="185" spans="3:6" ht="13.5" thickBot="1" x14ac:dyDescent="0.25">
      <c r="C185" s="102"/>
      <c r="D185" s="102"/>
      <c r="E185" s="102"/>
      <c r="F185" s="105"/>
    </row>
    <row r="186" spans="3:6" ht="13.5" thickBot="1" x14ac:dyDescent="0.25">
      <c r="C186" s="102"/>
      <c r="D186" s="102"/>
      <c r="E186" s="102"/>
      <c r="F186" s="105"/>
    </row>
    <row r="187" spans="3:6" ht="13.5" thickBot="1" x14ac:dyDescent="0.25">
      <c r="C187" s="102"/>
      <c r="D187" s="102"/>
      <c r="E187" s="102"/>
      <c r="F187" s="105"/>
    </row>
    <row r="188" spans="3:6" ht="13.5" thickBot="1" x14ac:dyDescent="0.25">
      <c r="C188" s="102"/>
      <c r="D188" s="102"/>
      <c r="E188" s="102"/>
      <c r="F188" s="105"/>
    </row>
    <row r="189" spans="3:6" ht="13.5" thickBot="1" x14ac:dyDescent="0.25">
      <c r="C189" s="102"/>
      <c r="D189" s="102"/>
      <c r="E189" s="102"/>
      <c r="F189" s="105"/>
    </row>
    <row r="190" spans="3:6" ht="13.5" thickBot="1" x14ac:dyDescent="0.25">
      <c r="C190" s="102"/>
      <c r="D190" s="102"/>
      <c r="E190" s="102"/>
      <c r="F190" s="105"/>
    </row>
    <row r="191" spans="3:6" ht="13.5" thickBot="1" x14ac:dyDescent="0.25">
      <c r="C191" s="102"/>
      <c r="D191" s="102"/>
      <c r="E191" s="102"/>
      <c r="F191" s="105"/>
    </row>
    <row r="192" spans="3:6" ht="13.5" thickBot="1" x14ac:dyDescent="0.25">
      <c r="C192" s="102"/>
      <c r="D192" s="102"/>
      <c r="E192" s="102"/>
      <c r="F192" s="105"/>
    </row>
    <row r="193" spans="3:6" ht="13.5" thickBot="1" x14ac:dyDescent="0.25">
      <c r="C193" s="102"/>
      <c r="D193" s="102"/>
      <c r="E193" s="102"/>
      <c r="F193" s="105"/>
    </row>
    <row r="194" spans="3:6" ht="13.5" thickBot="1" x14ac:dyDescent="0.25">
      <c r="C194" s="102"/>
      <c r="D194" s="102"/>
      <c r="E194" s="102"/>
      <c r="F194" s="105"/>
    </row>
    <row r="195" spans="3:6" ht="13.5" thickBot="1" x14ac:dyDescent="0.25">
      <c r="C195" s="102"/>
      <c r="D195" s="102"/>
      <c r="E195" s="102"/>
      <c r="F195" s="105"/>
    </row>
    <row r="196" spans="3:6" ht="13.5" thickBot="1" x14ac:dyDescent="0.25">
      <c r="C196" s="102"/>
      <c r="D196" s="102"/>
      <c r="E196" s="102"/>
      <c r="F196" s="105"/>
    </row>
    <row r="197" spans="3:6" ht="13.5" thickBot="1" x14ac:dyDescent="0.25">
      <c r="C197" s="102"/>
      <c r="D197" s="102"/>
      <c r="E197" s="102"/>
      <c r="F197" s="105"/>
    </row>
    <row r="198" spans="3:6" ht="13.5" thickBot="1" x14ac:dyDescent="0.25">
      <c r="C198" s="102"/>
      <c r="D198" s="102"/>
      <c r="E198" s="102"/>
      <c r="F198" s="105"/>
    </row>
    <row r="199" spans="3:6" ht="13.5" thickBot="1" x14ac:dyDescent="0.25">
      <c r="C199" s="102"/>
      <c r="D199" s="102"/>
      <c r="E199" s="102"/>
      <c r="F199" s="105"/>
    </row>
    <row r="200" spans="3:6" ht="13.5" thickBot="1" x14ac:dyDescent="0.25">
      <c r="C200" s="102"/>
      <c r="D200" s="102"/>
      <c r="E200" s="102"/>
      <c r="F200" s="105"/>
    </row>
    <row r="201" spans="3:6" ht="13.5" thickBot="1" x14ac:dyDescent="0.25">
      <c r="C201" s="102"/>
      <c r="D201" s="102"/>
      <c r="E201" s="102"/>
      <c r="F201" s="105"/>
    </row>
    <row r="202" spans="3:6" ht="13.5" thickBot="1" x14ac:dyDescent="0.25">
      <c r="C202" s="102"/>
      <c r="D202" s="102"/>
      <c r="E202" s="102"/>
      <c r="F202" s="105"/>
    </row>
    <row r="203" spans="3:6" ht="13.5" thickBot="1" x14ac:dyDescent="0.25">
      <c r="C203" s="102"/>
      <c r="D203" s="102"/>
      <c r="E203" s="102"/>
      <c r="F203" s="105"/>
    </row>
    <row r="204" spans="3:6" ht="13.5" thickBot="1" x14ac:dyDescent="0.25">
      <c r="C204" s="102"/>
      <c r="D204" s="102"/>
      <c r="E204" s="102"/>
      <c r="F204" s="105"/>
    </row>
    <row r="205" spans="3:6" ht="13.5" thickBot="1" x14ac:dyDescent="0.25">
      <c r="C205" s="102"/>
      <c r="D205" s="102"/>
      <c r="E205" s="102"/>
      <c r="F205" s="105"/>
    </row>
    <row r="206" spans="3:6" ht="13.5" thickBot="1" x14ac:dyDescent="0.25">
      <c r="C206" s="102"/>
      <c r="D206" s="102"/>
      <c r="E206" s="102"/>
      <c r="F206" s="105"/>
    </row>
    <row r="207" spans="3:6" ht="13.5" thickBot="1" x14ac:dyDescent="0.25">
      <c r="C207" s="102"/>
      <c r="D207" s="102"/>
      <c r="E207" s="102"/>
      <c r="F207" s="105"/>
    </row>
    <row r="208" spans="3:6" ht="13.5" thickBot="1" x14ac:dyDescent="0.25">
      <c r="C208" s="102"/>
      <c r="D208" s="102"/>
      <c r="E208" s="102"/>
      <c r="F208" s="105"/>
    </row>
    <row r="209" spans="3:6" ht="13.5" thickBot="1" x14ac:dyDescent="0.25">
      <c r="C209" s="102"/>
      <c r="D209" s="102"/>
      <c r="E209" s="102"/>
      <c r="F209" s="105"/>
    </row>
    <row r="210" spans="3:6" ht="13.5" thickBot="1" x14ac:dyDescent="0.25">
      <c r="C210" s="102"/>
      <c r="D210" s="102"/>
      <c r="E210" s="102"/>
      <c r="F210" s="105"/>
    </row>
    <row r="211" spans="3:6" ht="13.5" thickBot="1" x14ac:dyDescent="0.25">
      <c r="C211" s="102"/>
      <c r="D211" s="102"/>
      <c r="E211" s="102"/>
      <c r="F211" s="105"/>
    </row>
    <row r="212" spans="3:6" ht="13.5" thickBot="1" x14ac:dyDescent="0.25">
      <c r="C212" s="102"/>
      <c r="D212" s="102"/>
      <c r="E212" s="102"/>
      <c r="F212" s="105"/>
    </row>
    <row r="213" spans="3:6" ht="13.5" thickBot="1" x14ac:dyDescent="0.25">
      <c r="C213" s="102"/>
      <c r="D213" s="102"/>
      <c r="E213" s="102"/>
      <c r="F213" s="105"/>
    </row>
    <row r="214" spans="3:6" ht="13.5" thickBot="1" x14ac:dyDescent="0.25">
      <c r="C214" s="102"/>
      <c r="D214" s="102"/>
      <c r="E214" s="102"/>
      <c r="F214" s="105"/>
    </row>
    <row r="215" spans="3:6" ht="13.5" thickBot="1" x14ac:dyDescent="0.25">
      <c r="C215" s="102"/>
      <c r="D215" s="102"/>
      <c r="E215" s="102"/>
      <c r="F215" s="105"/>
    </row>
    <row r="216" spans="3:6" ht="13.5" thickBot="1" x14ac:dyDescent="0.25">
      <c r="C216" s="102"/>
      <c r="D216" s="102"/>
      <c r="E216" s="102"/>
      <c r="F216" s="105"/>
    </row>
    <row r="217" spans="3:6" ht="13.5" thickBot="1" x14ac:dyDescent="0.25">
      <c r="C217" s="102"/>
      <c r="D217" s="102"/>
      <c r="E217" s="102"/>
      <c r="F217" s="105"/>
    </row>
    <row r="218" spans="3:6" ht="13.5" thickBot="1" x14ac:dyDescent="0.25">
      <c r="C218" s="102"/>
      <c r="D218" s="102"/>
      <c r="E218" s="102"/>
      <c r="F218" s="105"/>
    </row>
    <row r="219" spans="3:6" ht="13.5" thickBot="1" x14ac:dyDescent="0.25">
      <c r="C219" s="102"/>
      <c r="D219" s="102"/>
      <c r="E219" s="102"/>
      <c r="F219" s="105"/>
    </row>
    <row r="220" spans="3:6" ht="13.5" thickBot="1" x14ac:dyDescent="0.25">
      <c r="C220" s="102"/>
      <c r="D220" s="102"/>
      <c r="E220" s="102"/>
      <c r="F220" s="105"/>
    </row>
    <row r="221" spans="3:6" ht="13.5" thickBot="1" x14ac:dyDescent="0.25">
      <c r="C221" s="102"/>
      <c r="D221" s="102"/>
      <c r="E221" s="102"/>
      <c r="F221" s="105"/>
    </row>
    <row r="222" spans="3:6" ht="13.5" thickBot="1" x14ac:dyDescent="0.25">
      <c r="C222" s="102"/>
      <c r="D222" s="102"/>
      <c r="E222" s="102"/>
      <c r="F222" s="105"/>
    </row>
    <row r="223" spans="3:6" ht="13.5" thickBot="1" x14ac:dyDescent="0.25">
      <c r="C223" s="102"/>
      <c r="D223" s="102"/>
      <c r="E223" s="102"/>
      <c r="F223" s="105"/>
    </row>
    <row r="224" spans="3:6" ht="13.5" thickBot="1" x14ac:dyDescent="0.25">
      <c r="C224" s="102"/>
      <c r="D224" s="102"/>
      <c r="E224" s="102"/>
      <c r="F224" s="105"/>
    </row>
    <row r="225" spans="3:6" ht="13.5" thickBot="1" x14ac:dyDescent="0.25">
      <c r="C225" s="102"/>
      <c r="D225" s="102"/>
      <c r="E225" s="102"/>
      <c r="F225" s="105"/>
    </row>
    <row r="226" spans="3:6" ht="13.5" thickBot="1" x14ac:dyDescent="0.25">
      <c r="C226" s="102"/>
      <c r="D226" s="102"/>
      <c r="E226" s="102"/>
      <c r="F226" s="105"/>
    </row>
    <row r="227" spans="3:6" ht="13.5" thickBot="1" x14ac:dyDescent="0.25">
      <c r="C227" s="102"/>
      <c r="D227" s="102"/>
      <c r="E227" s="102"/>
      <c r="F227" s="105"/>
    </row>
    <row r="228" spans="3:6" ht="13.5" thickBot="1" x14ac:dyDescent="0.25">
      <c r="C228" s="102"/>
      <c r="D228" s="102"/>
      <c r="E228" s="102"/>
      <c r="F228" s="105"/>
    </row>
    <row r="229" spans="3:6" ht="13.5" thickBot="1" x14ac:dyDescent="0.25">
      <c r="C229" s="102"/>
      <c r="D229" s="102"/>
      <c r="E229" s="102"/>
      <c r="F229" s="105"/>
    </row>
    <row r="230" spans="3:6" ht="13.5" thickBot="1" x14ac:dyDescent="0.25">
      <c r="C230" s="102"/>
      <c r="D230" s="102"/>
      <c r="E230" s="102"/>
      <c r="F230" s="105"/>
    </row>
    <row r="231" spans="3:6" ht="13.5" thickBot="1" x14ac:dyDescent="0.25">
      <c r="C231" s="102"/>
      <c r="D231" s="102"/>
      <c r="E231" s="102"/>
      <c r="F231" s="105"/>
    </row>
    <row r="232" spans="3:6" ht="13.5" thickBot="1" x14ac:dyDescent="0.25">
      <c r="C232" s="102"/>
      <c r="D232" s="102"/>
      <c r="E232" s="102"/>
      <c r="F232" s="105"/>
    </row>
    <row r="233" spans="3:6" ht="13.5" thickBot="1" x14ac:dyDescent="0.25">
      <c r="C233" s="102"/>
      <c r="D233" s="102"/>
      <c r="E233" s="102"/>
      <c r="F233" s="105"/>
    </row>
    <row r="234" spans="3:6" ht="13.5" thickBot="1" x14ac:dyDescent="0.25">
      <c r="C234" s="102"/>
      <c r="D234" s="102"/>
      <c r="E234" s="102"/>
      <c r="F234" s="105"/>
    </row>
    <row r="235" spans="3:6" ht="13.5" thickBot="1" x14ac:dyDescent="0.25">
      <c r="C235" s="102"/>
      <c r="D235" s="102"/>
      <c r="E235" s="102"/>
      <c r="F235" s="105"/>
    </row>
    <row r="236" spans="3:6" ht="13.5" thickBot="1" x14ac:dyDescent="0.25">
      <c r="C236" s="102"/>
      <c r="D236" s="102"/>
      <c r="E236" s="102"/>
      <c r="F236" s="105"/>
    </row>
    <row r="237" spans="3:6" ht="13.5" thickBot="1" x14ac:dyDescent="0.25">
      <c r="C237" s="102"/>
      <c r="D237" s="102"/>
      <c r="E237" s="102"/>
      <c r="F237" s="105"/>
    </row>
    <row r="238" spans="3:6" ht="13.5" thickBot="1" x14ac:dyDescent="0.25">
      <c r="C238" s="102"/>
      <c r="D238" s="102"/>
      <c r="E238" s="102"/>
      <c r="F238" s="105"/>
    </row>
    <row r="239" spans="3:6" ht="13.5" thickBot="1" x14ac:dyDescent="0.25">
      <c r="C239" s="102"/>
      <c r="D239" s="102"/>
      <c r="E239" s="102"/>
      <c r="F239" s="105"/>
    </row>
    <row r="240" spans="3:6" ht="13.5" thickBot="1" x14ac:dyDescent="0.25">
      <c r="C240" s="102"/>
      <c r="D240" s="102"/>
      <c r="E240" s="102"/>
      <c r="F240" s="105"/>
    </row>
    <row r="241" spans="3:6" ht="13.5" thickBot="1" x14ac:dyDescent="0.25">
      <c r="C241" s="102"/>
      <c r="D241" s="102"/>
      <c r="E241" s="102"/>
      <c r="F241" s="105"/>
    </row>
    <row r="242" spans="3:6" ht="13.5" thickBot="1" x14ac:dyDescent="0.25">
      <c r="C242" s="102"/>
      <c r="D242" s="102"/>
      <c r="E242" s="102"/>
      <c r="F242" s="105"/>
    </row>
    <row r="243" spans="3:6" ht="13.5" thickBot="1" x14ac:dyDescent="0.25">
      <c r="C243" s="102"/>
      <c r="D243" s="102"/>
      <c r="E243" s="102"/>
      <c r="F243" s="105"/>
    </row>
    <row r="244" spans="3:6" ht="13.5" thickBot="1" x14ac:dyDescent="0.25">
      <c r="C244" s="102"/>
      <c r="D244" s="102"/>
      <c r="E244" s="102"/>
      <c r="F244" s="105"/>
    </row>
    <row r="245" spans="3:6" ht="13.5" thickBot="1" x14ac:dyDescent="0.25">
      <c r="C245" s="102"/>
      <c r="D245" s="102"/>
      <c r="E245" s="102"/>
      <c r="F245" s="105"/>
    </row>
    <row r="246" spans="3:6" ht="13.5" thickBot="1" x14ac:dyDescent="0.25">
      <c r="C246" s="102"/>
      <c r="D246" s="102"/>
      <c r="E246" s="102"/>
      <c r="F246" s="105"/>
    </row>
    <row r="247" spans="3:6" ht="13.5" thickBot="1" x14ac:dyDescent="0.25">
      <c r="C247" s="102"/>
      <c r="D247" s="102"/>
      <c r="E247" s="102"/>
      <c r="F247" s="105"/>
    </row>
    <row r="248" spans="3:6" ht="13.5" thickBot="1" x14ac:dyDescent="0.25">
      <c r="C248" s="102"/>
      <c r="D248" s="102"/>
      <c r="E248" s="102"/>
      <c r="F248" s="105"/>
    </row>
    <row r="249" spans="3:6" ht="13.5" thickBot="1" x14ac:dyDescent="0.25">
      <c r="C249" s="102"/>
      <c r="D249" s="102"/>
      <c r="E249" s="102"/>
      <c r="F249" s="105"/>
    </row>
    <row r="250" spans="3:6" ht="13.5" thickBot="1" x14ac:dyDescent="0.25">
      <c r="C250" s="102"/>
      <c r="D250" s="102"/>
      <c r="E250" s="102"/>
      <c r="F250" s="105"/>
    </row>
    <row r="251" spans="3:6" ht="13.5" thickBot="1" x14ac:dyDescent="0.25">
      <c r="C251" s="102"/>
      <c r="D251" s="102"/>
      <c r="E251" s="102"/>
      <c r="F251" s="105"/>
    </row>
    <row r="252" spans="3:6" ht="13.5" thickBot="1" x14ac:dyDescent="0.25">
      <c r="C252" s="102"/>
      <c r="D252" s="102"/>
      <c r="E252" s="102"/>
      <c r="F252" s="105"/>
    </row>
    <row r="253" spans="3:6" ht="13.5" thickBot="1" x14ac:dyDescent="0.25">
      <c r="C253" s="102"/>
      <c r="D253" s="102"/>
      <c r="E253" s="102"/>
      <c r="F253" s="105"/>
    </row>
    <row r="254" spans="3:6" ht="13.5" thickBot="1" x14ac:dyDescent="0.25">
      <c r="C254" s="102"/>
      <c r="D254" s="102"/>
      <c r="E254" s="102"/>
      <c r="F254" s="105"/>
    </row>
    <row r="255" spans="3:6" ht="13.5" thickBot="1" x14ac:dyDescent="0.25">
      <c r="C255" s="102"/>
      <c r="D255" s="102"/>
      <c r="E255" s="102"/>
      <c r="F255" s="105"/>
    </row>
    <row r="256" spans="3:6" ht="13.5" thickBot="1" x14ac:dyDescent="0.25">
      <c r="C256" s="102"/>
      <c r="D256" s="102"/>
      <c r="E256" s="102"/>
      <c r="F256" s="105"/>
    </row>
    <row r="257" spans="3:6" ht="13.5" thickBot="1" x14ac:dyDescent="0.25">
      <c r="C257" s="102"/>
      <c r="D257" s="102"/>
      <c r="E257" s="102"/>
      <c r="F257" s="105"/>
    </row>
    <row r="258" spans="3:6" ht="13.5" thickBot="1" x14ac:dyDescent="0.25">
      <c r="C258" s="102"/>
      <c r="D258" s="102"/>
      <c r="E258" s="102"/>
      <c r="F258" s="105"/>
    </row>
    <row r="259" spans="3:6" ht="13.5" thickBot="1" x14ac:dyDescent="0.25">
      <c r="C259" s="102"/>
      <c r="D259" s="102"/>
      <c r="E259" s="102"/>
      <c r="F259" s="105"/>
    </row>
    <row r="260" spans="3:6" ht="13.5" thickBot="1" x14ac:dyDescent="0.25">
      <c r="C260" s="102"/>
      <c r="D260" s="102"/>
      <c r="E260" s="102"/>
      <c r="F260" s="105"/>
    </row>
    <row r="261" spans="3:6" ht="13.5" thickBot="1" x14ac:dyDescent="0.25">
      <c r="C261" s="102"/>
      <c r="D261" s="102"/>
      <c r="E261" s="102"/>
      <c r="F261" s="105"/>
    </row>
    <row r="262" spans="3:6" ht="13.5" thickBot="1" x14ac:dyDescent="0.25">
      <c r="C262" s="102"/>
      <c r="D262" s="102"/>
      <c r="E262" s="102"/>
      <c r="F262" s="105"/>
    </row>
    <row r="263" spans="3:6" ht="13.5" thickBot="1" x14ac:dyDescent="0.25">
      <c r="C263" s="102"/>
      <c r="D263" s="102"/>
      <c r="E263" s="102"/>
      <c r="F263" s="105"/>
    </row>
    <row r="264" spans="3:6" ht="13.5" thickBot="1" x14ac:dyDescent="0.25">
      <c r="C264" s="102"/>
      <c r="D264" s="102"/>
      <c r="E264" s="102"/>
      <c r="F264" s="105"/>
    </row>
    <row r="265" spans="3:6" ht="13.5" thickBot="1" x14ac:dyDescent="0.25">
      <c r="C265" s="102"/>
      <c r="D265" s="102"/>
      <c r="E265" s="102"/>
      <c r="F265" s="105"/>
    </row>
    <row r="266" spans="3:6" ht="13.5" thickBot="1" x14ac:dyDescent="0.25">
      <c r="C266" s="102"/>
      <c r="D266" s="102"/>
      <c r="E266" s="102"/>
      <c r="F266" s="105"/>
    </row>
    <row r="267" spans="3:6" ht="13.5" thickBot="1" x14ac:dyDescent="0.25">
      <c r="C267" s="102"/>
      <c r="D267" s="102"/>
      <c r="E267" s="102"/>
      <c r="F267" s="105"/>
    </row>
    <row r="268" spans="3:6" ht="13.5" thickBot="1" x14ac:dyDescent="0.25">
      <c r="C268" s="102"/>
      <c r="D268" s="102"/>
      <c r="E268" s="102"/>
      <c r="F268" s="105"/>
    </row>
    <row r="269" spans="3:6" ht="13.5" thickBot="1" x14ac:dyDescent="0.25">
      <c r="C269" s="102"/>
      <c r="D269" s="102"/>
      <c r="E269" s="102"/>
      <c r="F269" s="105"/>
    </row>
    <row r="270" spans="3:6" ht="13.5" thickBot="1" x14ac:dyDescent="0.25">
      <c r="C270" s="102"/>
      <c r="D270" s="102"/>
      <c r="E270" s="102"/>
      <c r="F270" s="105"/>
    </row>
    <row r="271" spans="3:6" ht="13.5" thickBot="1" x14ac:dyDescent="0.25">
      <c r="C271" s="102"/>
      <c r="D271" s="102"/>
      <c r="E271" s="102"/>
      <c r="F271" s="105"/>
    </row>
    <row r="272" spans="3:6" ht="13.5" thickBot="1" x14ac:dyDescent="0.25">
      <c r="C272" s="102"/>
      <c r="D272" s="102"/>
      <c r="E272" s="102"/>
      <c r="F272" s="105"/>
    </row>
    <row r="273" spans="3:6" ht="13.5" thickBot="1" x14ac:dyDescent="0.25">
      <c r="C273" s="102"/>
      <c r="D273" s="102"/>
      <c r="E273" s="102"/>
      <c r="F273" s="105"/>
    </row>
    <row r="274" spans="3:6" ht="13.5" thickBot="1" x14ac:dyDescent="0.25">
      <c r="C274" s="102"/>
      <c r="D274" s="102"/>
      <c r="E274" s="102"/>
      <c r="F274" s="105"/>
    </row>
    <row r="275" spans="3:6" ht="13.5" thickBot="1" x14ac:dyDescent="0.25">
      <c r="C275" s="102"/>
      <c r="D275" s="102"/>
      <c r="E275" s="102"/>
      <c r="F275" s="105"/>
    </row>
    <row r="276" spans="3:6" ht="13.5" thickBot="1" x14ac:dyDescent="0.25">
      <c r="C276" s="102"/>
      <c r="D276" s="102"/>
      <c r="E276" s="102"/>
      <c r="F276" s="105"/>
    </row>
    <row r="277" spans="3:6" ht="13.5" thickBot="1" x14ac:dyDescent="0.25">
      <c r="C277" s="102"/>
      <c r="D277" s="102"/>
      <c r="E277" s="102"/>
      <c r="F277" s="105"/>
    </row>
    <row r="278" spans="3:6" ht="13.5" thickBot="1" x14ac:dyDescent="0.25">
      <c r="C278" s="102"/>
      <c r="D278" s="102"/>
      <c r="E278" s="102"/>
      <c r="F278" s="105"/>
    </row>
    <row r="279" spans="3:6" ht="13.5" thickBot="1" x14ac:dyDescent="0.25">
      <c r="C279" s="102"/>
      <c r="D279" s="102"/>
      <c r="E279" s="102"/>
      <c r="F279" s="105"/>
    </row>
    <row r="280" spans="3:6" ht="13.5" thickBot="1" x14ac:dyDescent="0.25">
      <c r="C280" s="102"/>
      <c r="D280" s="102"/>
      <c r="E280" s="102"/>
      <c r="F280" s="105"/>
    </row>
    <row r="281" spans="3:6" ht="13.5" thickBot="1" x14ac:dyDescent="0.25">
      <c r="C281" s="102"/>
      <c r="D281" s="102"/>
      <c r="E281" s="102"/>
      <c r="F281" s="105"/>
    </row>
    <row r="282" spans="3:6" ht="13.5" thickBot="1" x14ac:dyDescent="0.25">
      <c r="C282" s="102"/>
      <c r="D282" s="102"/>
      <c r="E282" s="102"/>
      <c r="F282" s="105"/>
    </row>
    <row r="283" spans="3:6" ht="13.5" thickBot="1" x14ac:dyDescent="0.25">
      <c r="C283" s="102"/>
      <c r="D283" s="102"/>
      <c r="E283" s="102"/>
      <c r="F283" s="105"/>
    </row>
    <row r="284" spans="3:6" ht="13.5" thickBot="1" x14ac:dyDescent="0.25">
      <c r="C284" s="102"/>
      <c r="D284" s="102"/>
      <c r="E284" s="102"/>
      <c r="F284" s="105"/>
    </row>
    <row r="285" spans="3:6" ht="13.5" thickBot="1" x14ac:dyDescent="0.25">
      <c r="C285" s="102"/>
      <c r="D285" s="102"/>
      <c r="E285" s="102"/>
      <c r="F285" s="105"/>
    </row>
    <row r="286" spans="3:6" ht="13.5" thickBot="1" x14ac:dyDescent="0.25">
      <c r="C286" s="102"/>
      <c r="D286" s="102"/>
      <c r="E286" s="102"/>
      <c r="F286" s="105"/>
    </row>
    <row r="287" spans="3:6" ht="13.5" thickBot="1" x14ac:dyDescent="0.25">
      <c r="C287" s="102"/>
      <c r="D287" s="102"/>
      <c r="E287" s="102"/>
      <c r="F287" s="105"/>
    </row>
    <row r="288" spans="3:6" ht="13.5" thickBot="1" x14ac:dyDescent="0.25">
      <c r="C288" s="102"/>
      <c r="D288" s="102"/>
      <c r="E288" s="102"/>
      <c r="F288" s="105"/>
    </row>
    <row r="289" spans="3:6" ht="13.5" thickBot="1" x14ac:dyDescent="0.25">
      <c r="C289" s="102"/>
      <c r="D289" s="102"/>
      <c r="E289" s="102"/>
      <c r="F289" s="105"/>
    </row>
    <row r="290" spans="3:6" ht="13.5" thickBot="1" x14ac:dyDescent="0.25">
      <c r="C290" s="102"/>
      <c r="D290" s="102"/>
      <c r="E290" s="102"/>
      <c r="F290" s="105"/>
    </row>
    <row r="291" spans="3:6" ht="13.5" thickBot="1" x14ac:dyDescent="0.25">
      <c r="C291" s="102"/>
      <c r="D291" s="102"/>
      <c r="E291" s="102"/>
      <c r="F291" s="105"/>
    </row>
    <row r="292" spans="3:6" ht="13.5" thickBot="1" x14ac:dyDescent="0.25">
      <c r="C292" s="102"/>
      <c r="D292" s="102"/>
      <c r="E292" s="102"/>
      <c r="F292" s="105"/>
    </row>
    <row r="293" spans="3:6" ht="13.5" thickBot="1" x14ac:dyDescent="0.25">
      <c r="C293" s="102"/>
      <c r="D293" s="102"/>
      <c r="E293" s="102"/>
      <c r="F293" s="105"/>
    </row>
    <row r="294" spans="3:6" ht="13.5" thickBot="1" x14ac:dyDescent="0.25">
      <c r="C294" s="102"/>
      <c r="D294" s="102"/>
      <c r="E294" s="102"/>
      <c r="F294" s="105"/>
    </row>
    <row r="295" spans="3:6" ht="13.5" thickBot="1" x14ac:dyDescent="0.25">
      <c r="C295" s="102"/>
      <c r="D295" s="102"/>
      <c r="E295" s="102"/>
      <c r="F295" s="105"/>
    </row>
    <row r="296" spans="3:6" ht="13.5" thickBot="1" x14ac:dyDescent="0.25">
      <c r="C296" s="102"/>
      <c r="D296" s="102"/>
      <c r="E296" s="102"/>
      <c r="F296" s="105"/>
    </row>
    <row r="297" spans="3:6" ht="13.5" thickBot="1" x14ac:dyDescent="0.25">
      <c r="C297" s="102"/>
      <c r="D297" s="102"/>
      <c r="E297" s="102"/>
      <c r="F297" s="105"/>
    </row>
    <row r="298" spans="3:6" ht="13.5" thickBot="1" x14ac:dyDescent="0.25">
      <c r="C298" s="102"/>
      <c r="D298" s="102"/>
      <c r="E298" s="102"/>
      <c r="F298" s="105"/>
    </row>
    <row r="299" spans="3:6" ht="13.5" thickBot="1" x14ac:dyDescent="0.25">
      <c r="C299" s="102"/>
      <c r="D299" s="102"/>
      <c r="E299" s="102"/>
      <c r="F299" s="105"/>
    </row>
    <row r="300" spans="3:6" ht="13.5" thickBot="1" x14ac:dyDescent="0.25">
      <c r="C300" s="102"/>
      <c r="D300" s="102"/>
      <c r="E300" s="102"/>
      <c r="F300" s="105"/>
    </row>
    <row r="301" spans="3:6" ht="13.5" thickBot="1" x14ac:dyDescent="0.25">
      <c r="C301" s="102"/>
      <c r="D301" s="102"/>
      <c r="E301" s="102"/>
      <c r="F301" s="105"/>
    </row>
    <row r="302" spans="3:6" ht="13.5" thickBot="1" x14ac:dyDescent="0.25">
      <c r="C302" s="102"/>
      <c r="D302" s="102"/>
      <c r="E302" s="102"/>
      <c r="F302" s="105"/>
    </row>
    <row r="303" spans="3:6" ht="13.5" thickBot="1" x14ac:dyDescent="0.25">
      <c r="C303" s="102"/>
      <c r="D303" s="102"/>
      <c r="E303" s="102"/>
      <c r="F303" s="105"/>
    </row>
    <row r="304" spans="3:6" ht="13.5" thickBot="1" x14ac:dyDescent="0.25">
      <c r="C304" s="102"/>
      <c r="D304" s="102"/>
      <c r="E304" s="102"/>
      <c r="F304" s="105"/>
    </row>
    <row r="305" spans="3:6" ht="13.5" thickBot="1" x14ac:dyDescent="0.25">
      <c r="C305" s="102"/>
      <c r="D305" s="102"/>
      <c r="E305" s="102"/>
      <c r="F305" s="105"/>
    </row>
    <row r="306" spans="3:6" ht="13.5" thickBot="1" x14ac:dyDescent="0.25">
      <c r="C306" s="102"/>
      <c r="D306" s="102"/>
      <c r="E306" s="102"/>
      <c r="F306" s="105"/>
    </row>
    <row r="307" spans="3:6" ht="13.5" thickBot="1" x14ac:dyDescent="0.25">
      <c r="C307" s="102"/>
      <c r="D307" s="102"/>
      <c r="E307" s="102"/>
      <c r="F307" s="105"/>
    </row>
    <row r="308" spans="3:6" ht="13.5" thickBot="1" x14ac:dyDescent="0.25">
      <c r="C308" s="102"/>
      <c r="D308" s="102"/>
      <c r="E308" s="102"/>
      <c r="F308" s="105"/>
    </row>
    <row r="309" spans="3:6" ht="13.5" thickBot="1" x14ac:dyDescent="0.25">
      <c r="C309" s="102"/>
      <c r="D309" s="102"/>
      <c r="E309" s="102"/>
      <c r="F309" s="105"/>
    </row>
    <row r="310" spans="3:6" ht="13.5" thickBot="1" x14ac:dyDescent="0.25">
      <c r="C310" s="102"/>
      <c r="D310" s="102"/>
      <c r="E310" s="102"/>
      <c r="F310" s="105"/>
    </row>
    <row r="311" spans="3:6" ht="13.5" thickBot="1" x14ac:dyDescent="0.25">
      <c r="C311" s="102"/>
      <c r="D311" s="102"/>
      <c r="E311" s="102"/>
      <c r="F311" s="105"/>
    </row>
    <row r="312" spans="3:6" ht="13.5" thickBot="1" x14ac:dyDescent="0.25">
      <c r="C312" s="102"/>
      <c r="D312" s="102"/>
      <c r="E312" s="102"/>
      <c r="F312" s="105"/>
    </row>
    <row r="313" spans="3:6" ht="13.5" thickBot="1" x14ac:dyDescent="0.25">
      <c r="C313" s="102"/>
      <c r="D313" s="102"/>
      <c r="E313" s="102"/>
      <c r="F313" s="105"/>
    </row>
    <row r="314" spans="3:6" ht="13.5" thickBot="1" x14ac:dyDescent="0.25">
      <c r="C314" s="102"/>
      <c r="D314" s="102"/>
      <c r="E314" s="102"/>
      <c r="F314" s="105"/>
    </row>
    <row r="315" spans="3:6" ht="13.5" thickBot="1" x14ac:dyDescent="0.25">
      <c r="C315" s="102"/>
      <c r="D315" s="102"/>
      <c r="E315" s="102"/>
      <c r="F315" s="105"/>
    </row>
    <row r="316" spans="3:6" ht="13.5" thickBot="1" x14ac:dyDescent="0.25">
      <c r="C316" s="102"/>
      <c r="D316" s="102"/>
      <c r="E316" s="102"/>
      <c r="F316" s="105"/>
    </row>
    <row r="317" spans="3:6" ht="13.5" thickBot="1" x14ac:dyDescent="0.25">
      <c r="C317" s="102"/>
      <c r="D317" s="102"/>
      <c r="E317" s="102"/>
      <c r="F317" s="105"/>
    </row>
    <row r="318" spans="3:6" ht="13.5" thickBot="1" x14ac:dyDescent="0.25">
      <c r="C318" s="102"/>
      <c r="D318" s="102"/>
      <c r="E318" s="102"/>
      <c r="F318" s="105"/>
    </row>
    <row r="319" spans="3:6" ht="13.5" thickBot="1" x14ac:dyDescent="0.25">
      <c r="C319" s="102"/>
      <c r="D319" s="102"/>
      <c r="E319" s="102"/>
      <c r="F319" s="105"/>
    </row>
    <row r="320" spans="3:6" ht="13.5" thickBot="1" x14ac:dyDescent="0.25">
      <c r="C320" s="102"/>
      <c r="D320" s="102"/>
      <c r="E320" s="102"/>
      <c r="F320" s="105"/>
    </row>
    <row r="321" spans="3:6" ht="13.5" thickBot="1" x14ac:dyDescent="0.25">
      <c r="C321" s="102"/>
      <c r="D321" s="102"/>
      <c r="E321" s="102"/>
      <c r="F321" s="105"/>
    </row>
    <row r="322" spans="3:6" ht="13.5" thickBot="1" x14ac:dyDescent="0.25">
      <c r="C322" s="102"/>
      <c r="D322" s="102"/>
      <c r="E322" s="102"/>
      <c r="F322" s="105"/>
    </row>
    <row r="323" spans="3:6" ht="13.5" thickBot="1" x14ac:dyDescent="0.25">
      <c r="C323" s="102"/>
      <c r="D323" s="102"/>
      <c r="E323" s="102"/>
      <c r="F323" s="105"/>
    </row>
    <row r="324" spans="3:6" ht="13.5" thickBot="1" x14ac:dyDescent="0.25">
      <c r="C324" s="102"/>
      <c r="D324" s="102"/>
      <c r="E324" s="102"/>
      <c r="F324" s="105"/>
    </row>
    <row r="325" spans="3:6" ht="13.5" thickBot="1" x14ac:dyDescent="0.25">
      <c r="C325" s="102"/>
      <c r="D325" s="102"/>
      <c r="E325" s="102"/>
      <c r="F325" s="105"/>
    </row>
    <row r="326" spans="3:6" ht="13.5" thickBot="1" x14ac:dyDescent="0.25">
      <c r="C326" s="102"/>
      <c r="D326" s="102"/>
      <c r="E326" s="102"/>
      <c r="F326" s="105"/>
    </row>
    <row r="327" spans="3:6" ht="13.5" thickBot="1" x14ac:dyDescent="0.25">
      <c r="C327" s="102"/>
      <c r="D327" s="102"/>
      <c r="E327" s="102"/>
      <c r="F327" s="105"/>
    </row>
    <row r="328" spans="3:6" ht="13.5" thickBot="1" x14ac:dyDescent="0.25">
      <c r="C328" s="102"/>
      <c r="D328" s="102"/>
      <c r="E328" s="102"/>
      <c r="F328" s="105"/>
    </row>
    <row r="329" spans="3:6" ht="13.5" thickBot="1" x14ac:dyDescent="0.25">
      <c r="C329" s="102"/>
      <c r="D329" s="102"/>
      <c r="E329" s="102"/>
      <c r="F329" s="105"/>
    </row>
    <row r="330" spans="3:6" ht="13.5" thickBot="1" x14ac:dyDescent="0.25">
      <c r="C330" s="102"/>
      <c r="D330" s="102"/>
      <c r="E330" s="102"/>
      <c r="F330" s="105"/>
    </row>
    <row r="331" spans="3:6" ht="13.5" thickBot="1" x14ac:dyDescent="0.25">
      <c r="C331" s="102"/>
      <c r="D331" s="102"/>
      <c r="E331" s="102"/>
      <c r="F331" s="105"/>
    </row>
    <row r="332" spans="3:6" ht="13.5" thickBot="1" x14ac:dyDescent="0.25">
      <c r="C332" s="102"/>
      <c r="D332" s="102"/>
      <c r="E332" s="102"/>
      <c r="F332" s="105"/>
    </row>
    <row r="333" spans="3:6" ht="13.5" thickBot="1" x14ac:dyDescent="0.25">
      <c r="C333" s="102"/>
      <c r="D333" s="102"/>
      <c r="E333" s="102"/>
      <c r="F333" s="105"/>
    </row>
    <row r="334" spans="3:6" ht="13.5" thickBot="1" x14ac:dyDescent="0.25">
      <c r="C334" s="102"/>
      <c r="D334" s="102"/>
      <c r="E334" s="102"/>
      <c r="F334" s="105"/>
    </row>
    <row r="335" spans="3:6" ht="13.5" thickBot="1" x14ac:dyDescent="0.25">
      <c r="C335" s="102"/>
      <c r="D335" s="102"/>
      <c r="E335" s="102"/>
      <c r="F335" s="105"/>
    </row>
    <row r="336" spans="3:6" ht="13.5" thickBot="1" x14ac:dyDescent="0.25">
      <c r="C336" s="102"/>
      <c r="D336" s="102"/>
      <c r="E336" s="102"/>
      <c r="F336" s="105"/>
    </row>
    <row r="337" spans="3:6" ht="13.5" thickBot="1" x14ac:dyDescent="0.25">
      <c r="C337" s="102"/>
      <c r="D337" s="102"/>
      <c r="E337" s="102"/>
      <c r="F337" s="105"/>
    </row>
    <row r="338" spans="3:6" ht="13.5" thickBot="1" x14ac:dyDescent="0.25">
      <c r="C338" s="102"/>
      <c r="D338" s="102"/>
      <c r="E338" s="102"/>
      <c r="F338" s="105"/>
    </row>
    <row r="339" spans="3:6" ht="13.5" thickBot="1" x14ac:dyDescent="0.25">
      <c r="C339" s="102"/>
      <c r="D339" s="102"/>
      <c r="E339" s="102"/>
      <c r="F339" s="105"/>
    </row>
    <row r="340" spans="3:6" ht="13.5" thickBot="1" x14ac:dyDescent="0.25">
      <c r="C340" s="102"/>
      <c r="D340" s="102"/>
      <c r="E340" s="102"/>
      <c r="F340" s="105"/>
    </row>
    <row r="341" spans="3:6" ht="13.5" thickBot="1" x14ac:dyDescent="0.25">
      <c r="C341" s="102"/>
      <c r="D341" s="102"/>
      <c r="E341" s="102"/>
      <c r="F341" s="105"/>
    </row>
    <row r="342" spans="3:6" ht="13.5" thickBot="1" x14ac:dyDescent="0.25">
      <c r="C342" s="102"/>
      <c r="D342" s="102"/>
      <c r="E342" s="102"/>
      <c r="F342" s="105"/>
    </row>
    <row r="343" spans="3:6" ht="13.5" thickBot="1" x14ac:dyDescent="0.25">
      <c r="C343" s="102"/>
      <c r="D343" s="102"/>
      <c r="E343" s="102"/>
      <c r="F343" s="105"/>
    </row>
    <row r="344" spans="3:6" ht="13.5" thickBot="1" x14ac:dyDescent="0.25">
      <c r="C344" s="102"/>
      <c r="D344" s="102"/>
      <c r="E344" s="102"/>
      <c r="F344" s="105"/>
    </row>
    <row r="345" spans="3:6" ht="13.5" thickBot="1" x14ac:dyDescent="0.25">
      <c r="C345" s="102"/>
      <c r="D345" s="102"/>
      <c r="E345" s="102"/>
      <c r="F345" s="105"/>
    </row>
    <row r="346" spans="3:6" ht="13.5" thickBot="1" x14ac:dyDescent="0.25">
      <c r="C346" s="102"/>
      <c r="D346" s="102"/>
      <c r="E346" s="102"/>
      <c r="F346" s="105"/>
    </row>
    <row r="347" spans="3:6" ht="13.5" thickBot="1" x14ac:dyDescent="0.25">
      <c r="C347" s="102"/>
      <c r="D347" s="102"/>
      <c r="E347" s="102"/>
      <c r="F347" s="105"/>
    </row>
    <row r="348" spans="3:6" ht="13.5" thickBot="1" x14ac:dyDescent="0.25">
      <c r="C348" s="102"/>
      <c r="D348" s="102"/>
      <c r="E348" s="102"/>
      <c r="F348" s="105"/>
    </row>
    <row r="349" spans="3:6" ht="13.5" thickBot="1" x14ac:dyDescent="0.25">
      <c r="C349" s="102"/>
      <c r="D349" s="102"/>
      <c r="E349" s="102"/>
      <c r="F349" s="105"/>
    </row>
    <row r="350" spans="3:6" ht="13.5" thickBot="1" x14ac:dyDescent="0.25">
      <c r="C350" s="102"/>
      <c r="D350" s="102"/>
      <c r="E350" s="102"/>
      <c r="F350" s="105"/>
    </row>
    <row r="351" spans="3:6" ht="13.5" thickBot="1" x14ac:dyDescent="0.25">
      <c r="C351" s="102"/>
      <c r="D351" s="102"/>
      <c r="E351" s="102"/>
      <c r="F351" s="105"/>
    </row>
    <row r="352" spans="3:6" ht="13.5" thickBot="1" x14ac:dyDescent="0.25">
      <c r="C352" s="102"/>
      <c r="D352" s="102"/>
      <c r="E352" s="102"/>
      <c r="F352" s="105"/>
    </row>
    <row r="353" spans="3:6" ht="13.5" thickBot="1" x14ac:dyDescent="0.25">
      <c r="C353" s="102"/>
      <c r="D353" s="102"/>
      <c r="E353" s="102"/>
      <c r="F353" s="105"/>
    </row>
    <row r="354" spans="3:6" ht="13.5" thickBot="1" x14ac:dyDescent="0.25">
      <c r="C354" s="102"/>
      <c r="D354" s="102"/>
      <c r="E354" s="102"/>
      <c r="F354" s="105"/>
    </row>
    <row r="355" spans="3:6" ht="13.5" thickBot="1" x14ac:dyDescent="0.25">
      <c r="C355" s="102"/>
      <c r="D355" s="102"/>
      <c r="E355" s="102"/>
      <c r="F355" s="105"/>
    </row>
    <row r="356" spans="3:6" ht="13.5" thickBot="1" x14ac:dyDescent="0.25">
      <c r="C356" s="102"/>
      <c r="D356" s="102"/>
      <c r="E356" s="102"/>
      <c r="F356" s="105"/>
    </row>
    <row r="357" spans="3:6" ht="13.5" thickBot="1" x14ac:dyDescent="0.25">
      <c r="C357" s="102"/>
      <c r="D357" s="102"/>
      <c r="E357" s="102"/>
      <c r="F357" s="105"/>
    </row>
    <row r="358" spans="3:6" ht="13.5" thickBot="1" x14ac:dyDescent="0.25">
      <c r="C358" s="102"/>
      <c r="D358" s="102"/>
      <c r="E358" s="102"/>
      <c r="F358" s="105"/>
    </row>
    <row r="359" spans="3:6" ht="13.5" thickBot="1" x14ac:dyDescent="0.25">
      <c r="C359" s="102"/>
      <c r="D359" s="102"/>
      <c r="E359" s="102"/>
      <c r="F359" s="105"/>
    </row>
    <row r="360" spans="3:6" ht="13.5" thickBot="1" x14ac:dyDescent="0.25">
      <c r="C360" s="102"/>
      <c r="D360" s="102"/>
      <c r="E360" s="102"/>
      <c r="F360" s="105"/>
    </row>
    <row r="361" spans="3:6" ht="13.5" thickBot="1" x14ac:dyDescent="0.25">
      <c r="C361" s="102"/>
      <c r="D361" s="102"/>
      <c r="E361" s="102"/>
      <c r="F361" s="105"/>
    </row>
    <row r="362" spans="3:6" ht="13.5" thickBot="1" x14ac:dyDescent="0.25">
      <c r="C362" s="102"/>
      <c r="D362" s="102"/>
      <c r="E362" s="102"/>
      <c r="F362" s="105"/>
    </row>
    <row r="363" spans="3:6" ht="13.5" thickBot="1" x14ac:dyDescent="0.25">
      <c r="C363" s="102"/>
      <c r="D363" s="102"/>
      <c r="E363" s="102"/>
      <c r="F363" s="105"/>
    </row>
    <row r="364" spans="3:6" ht="13.5" thickBot="1" x14ac:dyDescent="0.25">
      <c r="C364" s="102"/>
      <c r="D364" s="102"/>
      <c r="E364" s="102"/>
      <c r="F364" s="105"/>
    </row>
    <row r="365" spans="3:6" ht="13.5" thickBot="1" x14ac:dyDescent="0.25">
      <c r="C365" s="102"/>
      <c r="D365" s="102"/>
      <c r="E365" s="102"/>
      <c r="F365" s="105"/>
    </row>
    <row r="366" spans="3:6" ht="13.5" thickBot="1" x14ac:dyDescent="0.25">
      <c r="C366" s="102"/>
      <c r="D366" s="102"/>
      <c r="E366" s="102"/>
      <c r="F366" s="105"/>
    </row>
    <row r="367" spans="3:6" ht="13.5" thickBot="1" x14ac:dyDescent="0.25">
      <c r="C367" s="102"/>
      <c r="D367" s="102"/>
      <c r="E367" s="102"/>
      <c r="F367" s="105"/>
    </row>
    <row r="368" spans="3:6" ht="13.5" thickBot="1" x14ac:dyDescent="0.25">
      <c r="C368" s="102"/>
      <c r="D368" s="102"/>
      <c r="E368" s="102"/>
      <c r="F368" s="105"/>
    </row>
    <row r="369" spans="3:6" ht="13.5" thickBot="1" x14ac:dyDescent="0.25">
      <c r="C369" s="102"/>
      <c r="D369" s="102"/>
      <c r="E369" s="102"/>
      <c r="F369" s="105"/>
    </row>
    <row r="370" spans="3:6" ht="13.5" thickBot="1" x14ac:dyDescent="0.25">
      <c r="C370" s="102"/>
      <c r="D370" s="102"/>
      <c r="E370" s="102"/>
      <c r="F370" s="105"/>
    </row>
    <row r="371" spans="3:6" ht="13.5" thickBot="1" x14ac:dyDescent="0.25">
      <c r="C371" s="102"/>
      <c r="D371" s="102"/>
      <c r="E371" s="102"/>
      <c r="F371" s="105"/>
    </row>
    <row r="372" spans="3:6" ht="13.5" thickBot="1" x14ac:dyDescent="0.25">
      <c r="C372" s="102"/>
      <c r="D372" s="102"/>
      <c r="E372" s="102"/>
      <c r="F372" s="105"/>
    </row>
    <row r="373" spans="3:6" ht="13.5" thickBot="1" x14ac:dyDescent="0.25">
      <c r="C373" s="102"/>
      <c r="D373" s="102"/>
      <c r="E373" s="102"/>
      <c r="F373" s="105"/>
    </row>
    <row r="374" spans="3:6" ht="13.5" thickBot="1" x14ac:dyDescent="0.25">
      <c r="C374" s="102"/>
      <c r="D374" s="102"/>
      <c r="E374" s="102"/>
      <c r="F374" s="105"/>
    </row>
    <row r="375" spans="3:6" ht="13.5" thickBot="1" x14ac:dyDescent="0.25">
      <c r="C375" s="102"/>
      <c r="D375" s="102"/>
      <c r="E375" s="102"/>
      <c r="F375" s="105"/>
    </row>
    <row r="376" spans="3:6" ht="13.5" thickBot="1" x14ac:dyDescent="0.25">
      <c r="C376" s="102"/>
      <c r="D376" s="102"/>
      <c r="E376" s="102"/>
      <c r="F376" s="105"/>
    </row>
    <row r="377" spans="3:6" ht="13.5" thickBot="1" x14ac:dyDescent="0.25">
      <c r="C377" s="102"/>
      <c r="D377" s="102"/>
      <c r="E377" s="102"/>
      <c r="F377" s="105"/>
    </row>
    <row r="378" spans="3:6" ht="13.5" thickBot="1" x14ac:dyDescent="0.25">
      <c r="C378" s="102"/>
      <c r="D378" s="102"/>
      <c r="E378" s="102"/>
      <c r="F378" s="105"/>
    </row>
    <row r="379" spans="3:6" ht="13.5" thickBot="1" x14ac:dyDescent="0.25">
      <c r="C379" s="102"/>
      <c r="D379" s="102"/>
      <c r="E379" s="102"/>
      <c r="F379" s="105"/>
    </row>
    <row r="380" spans="3:6" ht="13.5" thickBot="1" x14ac:dyDescent="0.25">
      <c r="C380" s="102"/>
      <c r="D380" s="102"/>
      <c r="E380" s="102"/>
      <c r="F380" s="105"/>
    </row>
    <row r="381" spans="3:6" ht="13.5" thickBot="1" x14ac:dyDescent="0.25">
      <c r="C381" s="102"/>
      <c r="D381" s="102"/>
      <c r="E381" s="102"/>
      <c r="F381" s="105"/>
    </row>
    <row r="382" spans="3:6" ht="13.5" thickBot="1" x14ac:dyDescent="0.25">
      <c r="C382" s="102"/>
      <c r="D382" s="102"/>
      <c r="E382" s="102"/>
      <c r="F382" s="105"/>
    </row>
    <row r="383" spans="3:6" ht="13.5" thickBot="1" x14ac:dyDescent="0.25">
      <c r="C383" s="102"/>
      <c r="D383" s="102"/>
      <c r="E383" s="102"/>
      <c r="F383" s="105"/>
    </row>
    <row r="384" spans="3:6" ht="13.5" thickBot="1" x14ac:dyDescent="0.25">
      <c r="C384" s="102"/>
      <c r="D384" s="102"/>
      <c r="E384" s="102"/>
      <c r="F384" s="105"/>
    </row>
    <row r="385" spans="3:6" ht="13.5" thickBot="1" x14ac:dyDescent="0.25">
      <c r="C385" s="102"/>
      <c r="D385" s="102"/>
      <c r="E385" s="102"/>
      <c r="F385" s="105"/>
    </row>
    <row r="386" spans="3:6" ht="13.5" thickBot="1" x14ac:dyDescent="0.25">
      <c r="C386" s="102"/>
      <c r="D386" s="102"/>
      <c r="E386" s="102"/>
      <c r="F386" s="105"/>
    </row>
    <row r="387" spans="3:6" ht="13.5" thickBot="1" x14ac:dyDescent="0.25">
      <c r="C387" s="102"/>
      <c r="D387" s="102"/>
      <c r="E387" s="102"/>
      <c r="F387" s="105"/>
    </row>
    <row r="388" spans="3:6" ht="13.5" thickBot="1" x14ac:dyDescent="0.25">
      <c r="C388" s="102"/>
      <c r="D388" s="102"/>
      <c r="E388" s="102"/>
      <c r="F388" s="105"/>
    </row>
    <row r="389" spans="3:6" ht="13.5" thickBot="1" x14ac:dyDescent="0.25">
      <c r="C389" s="102"/>
      <c r="D389" s="102"/>
      <c r="E389" s="102"/>
      <c r="F389" s="105"/>
    </row>
    <row r="390" spans="3:6" ht="13.5" thickBot="1" x14ac:dyDescent="0.25">
      <c r="C390" s="102"/>
      <c r="D390" s="102"/>
      <c r="E390" s="102"/>
      <c r="F390" s="105"/>
    </row>
    <row r="391" spans="3:6" ht="13.5" thickBot="1" x14ac:dyDescent="0.25">
      <c r="C391" s="102"/>
      <c r="D391" s="102"/>
      <c r="E391" s="102"/>
      <c r="F391" s="105"/>
    </row>
    <row r="392" spans="3:6" ht="13.5" thickBot="1" x14ac:dyDescent="0.25">
      <c r="C392" s="102"/>
      <c r="D392" s="102"/>
      <c r="E392" s="102"/>
      <c r="F392" s="105"/>
    </row>
    <row r="393" spans="3:6" ht="13.5" thickBot="1" x14ac:dyDescent="0.25">
      <c r="C393" s="102"/>
      <c r="D393" s="102"/>
      <c r="E393" s="102"/>
      <c r="F393" s="105"/>
    </row>
    <row r="394" spans="3:6" ht="13.5" thickBot="1" x14ac:dyDescent="0.25">
      <c r="C394" s="102"/>
      <c r="D394" s="102"/>
      <c r="E394" s="102"/>
      <c r="F394" s="105"/>
    </row>
    <row r="395" spans="3:6" ht="13.5" thickBot="1" x14ac:dyDescent="0.25">
      <c r="C395" s="102"/>
      <c r="D395" s="102"/>
      <c r="E395" s="102"/>
      <c r="F395" s="105"/>
    </row>
    <row r="396" spans="3:6" ht="13.5" thickBot="1" x14ac:dyDescent="0.25">
      <c r="C396" s="102"/>
      <c r="D396" s="102"/>
      <c r="E396" s="102"/>
      <c r="F396" s="105"/>
    </row>
    <row r="397" spans="3:6" ht="13.5" thickBot="1" x14ac:dyDescent="0.25">
      <c r="C397" s="102"/>
      <c r="D397" s="102"/>
      <c r="E397" s="102"/>
      <c r="F397" s="105"/>
    </row>
    <row r="398" spans="3:6" ht="13.5" thickBot="1" x14ac:dyDescent="0.25">
      <c r="C398" s="102"/>
      <c r="D398" s="102"/>
      <c r="E398" s="102"/>
      <c r="F398" s="105"/>
    </row>
    <row r="399" spans="3:6" ht="13.5" thickBot="1" x14ac:dyDescent="0.25">
      <c r="C399" s="102"/>
      <c r="D399" s="102"/>
      <c r="E399" s="102"/>
      <c r="F399" s="105"/>
    </row>
    <row r="400" spans="3:6" ht="13.5" thickBot="1" x14ac:dyDescent="0.25">
      <c r="C400" s="102"/>
      <c r="D400" s="102"/>
      <c r="E400" s="102"/>
      <c r="F400" s="105"/>
    </row>
    <row r="401" spans="3:6" ht="13.5" thickBot="1" x14ac:dyDescent="0.25">
      <c r="C401" s="102"/>
      <c r="D401" s="102"/>
      <c r="E401" s="102"/>
      <c r="F401" s="105"/>
    </row>
    <row r="402" spans="3:6" ht="13.5" thickBot="1" x14ac:dyDescent="0.25">
      <c r="C402" s="102"/>
      <c r="D402" s="102"/>
      <c r="E402" s="102"/>
      <c r="F402" s="105"/>
    </row>
    <row r="403" spans="3:6" ht="13.5" thickBot="1" x14ac:dyDescent="0.25">
      <c r="C403" s="102"/>
      <c r="D403" s="102"/>
      <c r="E403" s="102"/>
      <c r="F403" s="105"/>
    </row>
    <row r="404" spans="3:6" ht="13.5" thickBot="1" x14ac:dyDescent="0.25">
      <c r="C404" s="102"/>
      <c r="D404" s="102"/>
      <c r="E404" s="102"/>
      <c r="F404" s="105"/>
    </row>
    <row r="405" spans="3:6" ht="13.5" thickBot="1" x14ac:dyDescent="0.25">
      <c r="C405" s="102"/>
      <c r="D405" s="102"/>
      <c r="E405" s="102"/>
      <c r="F405" s="105"/>
    </row>
    <row r="406" spans="3:6" ht="13.5" thickBot="1" x14ac:dyDescent="0.25">
      <c r="C406" s="102"/>
      <c r="D406" s="102"/>
      <c r="E406" s="102"/>
      <c r="F406" s="105"/>
    </row>
    <row r="407" spans="3:6" ht="13.5" thickBot="1" x14ac:dyDescent="0.25">
      <c r="C407" s="102"/>
      <c r="D407" s="102"/>
      <c r="E407" s="102"/>
      <c r="F407" s="105"/>
    </row>
    <row r="408" spans="3:6" ht="13.5" thickBot="1" x14ac:dyDescent="0.25">
      <c r="C408" s="102"/>
      <c r="D408" s="102"/>
      <c r="E408" s="102"/>
      <c r="F408" s="105"/>
    </row>
    <row r="409" spans="3:6" ht="13.5" thickBot="1" x14ac:dyDescent="0.25">
      <c r="C409" s="102"/>
      <c r="D409" s="102"/>
      <c r="E409" s="102"/>
      <c r="F409" s="105"/>
    </row>
    <row r="410" spans="3:6" ht="13.5" thickBot="1" x14ac:dyDescent="0.25">
      <c r="C410" s="102"/>
      <c r="D410" s="102"/>
      <c r="E410" s="102"/>
      <c r="F410" s="105"/>
    </row>
    <row r="411" spans="3:6" ht="13.5" thickBot="1" x14ac:dyDescent="0.25">
      <c r="C411" s="102"/>
      <c r="D411" s="102"/>
      <c r="E411" s="102"/>
      <c r="F411" s="105"/>
    </row>
    <row r="412" spans="3:6" ht="13.5" thickBot="1" x14ac:dyDescent="0.25">
      <c r="C412" s="102"/>
      <c r="D412" s="102"/>
      <c r="E412" s="102"/>
      <c r="F412" s="105"/>
    </row>
    <row r="413" spans="3:6" ht="13.5" thickBot="1" x14ac:dyDescent="0.25">
      <c r="C413" s="102"/>
      <c r="D413" s="102"/>
      <c r="E413" s="102"/>
      <c r="F413" s="105"/>
    </row>
    <row r="414" spans="3:6" ht="13.5" thickBot="1" x14ac:dyDescent="0.25">
      <c r="C414" s="102"/>
      <c r="D414" s="102"/>
      <c r="E414" s="102"/>
      <c r="F414" s="105"/>
    </row>
    <row r="415" spans="3:6" ht="13.5" thickBot="1" x14ac:dyDescent="0.25">
      <c r="C415" s="102"/>
      <c r="D415" s="102"/>
      <c r="E415" s="102"/>
      <c r="F415" s="105"/>
    </row>
    <row r="416" spans="3:6" ht="13.5" thickBot="1" x14ac:dyDescent="0.25">
      <c r="C416" s="102"/>
      <c r="D416" s="102"/>
      <c r="E416" s="102"/>
      <c r="F416" s="105"/>
    </row>
    <row r="417" spans="3:6" ht="13.5" thickBot="1" x14ac:dyDescent="0.25">
      <c r="C417" s="102"/>
      <c r="D417" s="102"/>
      <c r="E417" s="102"/>
      <c r="F417" s="105"/>
    </row>
    <row r="418" spans="3:6" ht="13.5" thickBot="1" x14ac:dyDescent="0.25">
      <c r="C418" s="102"/>
      <c r="D418" s="102"/>
      <c r="E418" s="102"/>
      <c r="F418" s="105"/>
    </row>
    <row r="419" spans="3:6" ht="13.5" thickBot="1" x14ac:dyDescent="0.25">
      <c r="C419" s="102"/>
      <c r="D419" s="102"/>
      <c r="E419" s="102"/>
      <c r="F419" s="105"/>
    </row>
    <row r="420" spans="3:6" ht="13.5" thickBot="1" x14ac:dyDescent="0.25">
      <c r="C420" s="102"/>
      <c r="D420" s="102"/>
      <c r="E420" s="102"/>
      <c r="F420" s="105"/>
    </row>
    <row r="421" spans="3:6" ht="13.5" thickBot="1" x14ac:dyDescent="0.25">
      <c r="C421" s="102"/>
      <c r="D421" s="102"/>
      <c r="E421" s="102"/>
      <c r="F421" s="105"/>
    </row>
    <row r="422" spans="3:6" ht="13.5" thickBot="1" x14ac:dyDescent="0.25">
      <c r="C422" s="102"/>
      <c r="D422" s="102"/>
      <c r="E422" s="102"/>
      <c r="F422" s="105"/>
    </row>
    <row r="423" spans="3:6" ht="13.5" thickBot="1" x14ac:dyDescent="0.25">
      <c r="C423" s="102"/>
      <c r="D423" s="102"/>
      <c r="E423" s="102"/>
      <c r="F423" s="105"/>
    </row>
    <row r="424" spans="3:6" ht="13.5" thickBot="1" x14ac:dyDescent="0.25">
      <c r="C424" s="102"/>
      <c r="D424" s="102"/>
      <c r="E424" s="102"/>
      <c r="F424" s="105"/>
    </row>
    <row r="425" spans="3:6" ht="13.5" thickBot="1" x14ac:dyDescent="0.25">
      <c r="C425" s="102"/>
      <c r="D425" s="102"/>
      <c r="E425" s="102"/>
      <c r="F425" s="105"/>
    </row>
    <row r="426" spans="3:6" ht="13.5" thickBot="1" x14ac:dyDescent="0.25">
      <c r="C426" s="102"/>
      <c r="D426" s="102"/>
      <c r="E426" s="102"/>
      <c r="F426" s="105"/>
    </row>
    <row r="427" spans="3:6" ht="13.5" thickBot="1" x14ac:dyDescent="0.25">
      <c r="C427" s="102"/>
      <c r="D427" s="102"/>
      <c r="E427" s="102"/>
      <c r="F427" s="105"/>
    </row>
    <row r="428" spans="3:6" ht="13.5" thickBot="1" x14ac:dyDescent="0.25">
      <c r="C428" s="102"/>
      <c r="D428" s="102"/>
      <c r="E428" s="102"/>
      <c r="F428" s="105"/>
    </row>
    <row r="429" spans="3:6" ht="13.5" thickBot="1" x14ac:dyDescent="0.25">
      <c r="C429" s="102"/>
      <c r="D429" s="102"/>
      <c r="E429" s="102"/>
      <c r="F429" s="105"/>
    </row>
    <row r="430" spans="3:6" ht="13.5" thickBot="1" x14ac:dyDescent="0.25">
      <c r="C430" s="102"/>
      <c r="D430" s="102"/>
      <c r="E430" s="102"/>
      <c r="F430" s="105"/>
    </row>
    <row r="431" spans="3:6" ht="13.5" thickBot="1" x14ac:dyDescent="0.25">
      <c r="C431" s="102"/>
      <c r="D431" s="102"/>
      <c r="E431" s="102"/>
      <c r="F431" s="105"/>
    </row>
    <row r="432" spans="3:6" ht="13.5" thickBot="1" x14ac:dyDescent="0.25">
      <c r="C432" s="102"/>
      <c r="D432" s="102"/>
      <c r="E432" s="102"/>
      <c r="F432" s="105"/>
    </row>
    <row r="433" spans="3:6" ht="13.5" thickBot="1" x14ac:dyDescent="0.25">
      <c r="C433" s="102"/>
      <c r="D433" s="102"/>
      <c r="E433" s="102"/>
      <c r="F433" s="105"/>
    </row>
    <row r="434" spans="3:6" ht="13.5" thickBot="1" x14ac:dyDescent="0.25">
      <c r="C434" s="102"/>
      <c r="D434" s="102"/>
      <c r="E434" s="102"/>
      <c r="F434" s="105"/>
    </row>
    <row r="435" spans="3:6" ht="13.5" thickBot="1" x14ac:dyDescent="0.25">
      <c r="C435" s="102"/>
      <c r="D435" s="102"/>
      <c r="E435" s="102"/>
      <c r="F435" s="105"/>
    </row>
    <row r="436" spans="3:6" ht="13.5" thickBot="1" x14ac:dyDescent="0.25">
      <c r="C436" s="102"/>
      <c r="D436" s="102"/>
      <c r="E436" s="102"/>
      <c r="F436" s="105"/>
    </row>
    <row r="437" spans="3:6" ht="13.5" thickBot="1" x14ac:dyDescent="0.25">
      <c r="C437" s="102"/>
      <c r="D437" s="102"/>
      <c r="E437" s="102"/>
      <c r="F437" s="105"/>
    </row>
    <row r="438" spans="3:6" ht="13.5" thickBot="1" x14ac:dyDescent="0.25">
      <c r="C438" s="102"/>
      <c r="D438" s="102"/>
      <c r="E438" s="102"/>
      <c r="F438" s="105"/>
    </row>
    <row r="439" spans="3:6" ht="13.5" thickBot="1" x14ac:dyDescent="0.25">
      <c r="C439" s="102"/>
      <c r="D439" s="102"/>
      <c r="E439" s="102"/>
      <c r="F439" s="105"/>
    </row>
    <row r="440" spans="3:6" ht="13.5" thickBot="1" x14ac:dyDescent="0.25">
      <c r="C440" s="102"/>
      <c r="D440" s="102"/>
      <c r="E440" s="102"/>
      <c r="F440" s="105"/>
    </row>
    <row r="441" spans="3:6" ht="13.5" thickBot="1" x14ac:dyDescent="0.25">
      <c r="C441" s="102"/>
      <c r="D441" s="102"/>
      <c r="E441" s="102"/>
      <c r="F441" s="105"/>
    </row>
    <row r="442" spans="3:6" ht="13.5" thickBot="1" x14ac:dyDescent="0.25">
      <c r="C442" s="102"/>
      <c r="D442" s="102"/>
      <c r="E442" s="102"/>
      <c r="F442" s="105"/>
    </row>
    <row r="443" spans="3:6" ht="13.5" thickBot="1" x14ac:dyDescent="0.25">
      <c r="C443" s="102"/>
      <c r="D443" s="102"/>
      <c r="E443" s="102"/>
      <c r="F443" s="105"/>
    </row>
    <row r="444" spans="3:6" ht="13.5" thickBot="1" x14ac:dyDescent="0.25">
      <c r="C444" s="102"/>
      <c r="D444" s="102"/>
      <c r="E444" s="102"/>
      <c r="F444" s="105"/>
    </row>
    <row r="445" spans="3:6" ht="13.5" thickBot="1" x14ac:dyDescent="0.25">
      <c r="C445" s="102"/>
      <c r="D445" s="102"/>
      <c r="E445" s="102"/>
      <c r="F445" s="105"/>
    </row>
    <row r="446" spans="3:6" ht="13.5" thickBot="1" x14ac:dyDescent="0.25">
      <c r="C446" s="102"/>
      <c r="D446" s="102"/>
      <c r="E446" s="102"/>
      <c r="F446" s="105"/>
    </row>
    <row r="447" spans="3:6" ht="13.5" thickBot="1" x14ac:dyDescent="0.25">
      <c r="C447" s="102"/>
      <c r="D447" s="102"/>
      <c r="E447" s="102"/>
      <c r="F447" s="105"/>
    </row>
    <row r="448" spans="3:6" ht="13.5" thickBot="1" x14ac:dyDescent="0.25">
      <c r="C448" s="102"/>
      <c r="D448" s="102"/>
      <c r="E448" s="102"/>
      <c r="F448" s="105"/>
    </row>
    <row r="449" spans="3:6" ht="13.5" thickBot="1" x14ac:dyDescent="0.25">
      <c r="C449" s="102"/>
      <c r="D449" s="102"/>
      <c r="E449" s="102"/>
      <c r="F449" s="105"/>
    </row>
    <row r="450" spans="3:6" ht="13.5" thickBot="1" x14ac:dyDescent="0.25">
      <c r="C450" s="102"/>
      <c r="D450" s="102"/>
      <c r="E450" s="102"/>
      <c r="F450" s="105"/>
    </row>
    <row r="451" spans="3:6" ht="13.5" thickBot="1" x14ac:dyDescent="0.25">
      <c r="C451" s="102"/>
      <c r="D451" s="102"/>
      <c r="E451" s="102"/>
      <c r="F451" s="105"/>
    </row>
    <row r="452" spans="3:6" ht="13.5" thickBot="1" x14ac:dyDescent="0.25">
      <c r="C452" s="102"/>
      <c r="D452" s="102"/>
      <c r="E452" s="102"/>
      <c r="F452" s="105"/>
    </row>
    <row r="453" spans="3:6" ht="13.5" thickBot="1" x14ac:dyDescent="0.25">
      <c r="C453" s="102"/>
      <c r="D453" s="102"/>
      <c r="E453" s="102"/>
      <c r="F453" s="105"/>
    </row>
    <row r="454" spans="3:6" ht="13.5" thickBot="1" x14ac:dyDescent="0.25">
      <c r="C454" s="102"/>
      <c r="D454" s="102"/>
      <c r="E454" s="102"/>
      <c r="F454" s="105"/>
    </row>
    <row r="455" spans="3:6" ht="13.5" thickBot="1" x14ac:dyDescent="0.25">
      <c r="C455" s="102"/>
      <c r="D455" s="102"/>
      <c r="E455" s="102"/>
      <c r="F455" s="105"/>
    </row>
    <row r="456" spans="3:6" ht="13.5" thickBot="1" x14ac:dyDescent="0.25">
      <c r="C456" s="102"/>
      <c r="D456" s="102"/>
      <c r="E456" s="102"/>
      <c r="F456" s="105"/>
    </row>
    <row r="457" spans="3:6" ht="13.5" thickBot="1" x14ac:dyDescent="0.25">
      <c r="C457" s="102"/>
      <c r="D457" s="102"/>
      <c r="E457" s="102"/>
      <c r="F457" s="105"/>
    </row>
    <row r="458" spans="3:6" ht="13.5" thickBot="1" x14ac:dyDescent="0.25">
      <c r="C458" s="102"/>
      <c r="D458" s="102"/>
      <c r="E458" s="102"/>
      <c r="F458" s="105"/>
    </row>
    <row r="459" spans="3:6" ht="13.5" thickBot="1" x14ac:dyDescent="0.25">
      <c r="C459" s="102"/>
      <c r="D459" s="102"/>
      <c r="E459" s="102"/>
      <c r="F459" s="105"/>
    </row>
    <row r="460" spans="3:6" ht="13.5" thickBot="1" x14ac:dyDescent="0.25">
      <c r="C460" s="102"/>
      <c r="D460" s="102"/>
      <c r="E460" s="102"/>
      <c r="F460" s="105"/>
    </row>
    <row r="461" spans="3:6" ht="13.5" thickBot="1" x14ac:dyDescent="0.25">
      <c r="C461" s="102"/>
      <c r="D461" s="102"/>
      <c r="E461" s="102"/>
      <c r="F461" s="105"/>
    </row>
    <row r="462" spans="3:6" ht="13.5" thickBot="1" x14ac:dyDescent="0.25">
      <c r="C462" s="102"/>
      <c r="D462" s="102"/>
      <c r="E462" s="102"/>
      <c r="F462" s="105"/>
    </row>
    <row r="463" spans="3:6" ht="13.5" thickBot="1" x14ac:dyDescent="0.25">
      <c r="C463" s="102"/>
      <c r="D463" s="102"/>
      <c r="E463" s="102"/>
      <c r="F463" s="105"/>
    </row>
    <row r="464" spans="3:6" ht="13.5" thickBot="1" x14ac:dyDescent="0.25">
      <c r="C464" s="102"/>
      <c r="D464" s="102"/>
      <c r="E464" s="102"/>
      <c r="F464" s="105"/>
    </row>
    <row r="465" spans="3:6" ht="13.5" thickBot="1" x14ac:dyDescent="0.25">
      <c r="C465" s="102"/>
      <c r="D465" s="102"/>
      <c r="E465" s="102"/>
      <c r="F465" s="105"/>
    </row>
    <row r="466" spans="3:6" ht="13.5" thickBot="1" x14ac:dyDescent="0.25">
      <c r="C466" s="102"/>
      <c r="D466" s="102"/>
      <c r="E466" s="102"/>
      <c r="F466" s="105"/>
    </row>
    <row r="467" spans="3:6" ht="13.5" thickBot="1" x14ac:dyDescent="0.25">
      <c r="C467" s="102"/>
      <c r="D467" s="102"/>
      <c r="E467" s="102"/>
      <c r="F467" s="105"/>
    </row>
    <row r="468" spans="3:6" ht="13.5" thickBot="1" x14ac:dyDescent="0.25">
      <c r="C468" s="102"/>
      <c r="D468" s="102"/>
      <c r="E468" s="102"/>
      <c r="F468" s="105"/>
    </row>
    <row r="469" spans="3:6" ht="13.5" thickBot="1" x14ac:dyDescent="0.25">
      <c r="C469" s="102"/>
      <c r="D469" s="102"/>
      <c r="E469" s="102"/>
      <c r="F469" s="105"/>
    </row>
    <row r="470" spans="3:6" ht="13.5" thickBot="1" x14ac:dyDescent="0.25">
      <c r="C470" s="102"/>
      <c r="D470" s="102"/>
      <c r="E470" s="102"/>
      <c r="F470" s="105"/>
    </row>
    <row r="471" spans="3:6" ht="13.5" thickBot="1" x14ac:dyDescent="0.25">
      <c r="C471" s="102"/>
      <c r="D471" s="102"/>
      <c r="E471" s="102"/>
      <c r="F471" s="105"/>
    </row>
    <row r="472" spans="3:6" ht="13.5" thickBot="1" x14ac:dyDescent="0.25">
      <c r="C472" s="102"/>
      <c r="D472" s="102"/>
      <c r="E472" s="102"/>
      <c r="F472" s="105"/>
    </row>
    <row r="473" spans="3:6" ht="13.5" thickBot="1" x14ac:dyDescent="0.25">
      <c r="C473" s="102"/>
      <c r="D473" s="102"/>
      <c r="E473" s="102"/>
      <c r="F473" s="105"/>
    </row>
    <row r="474" spans="3:6" ht="13.5" thickBot="1" x14ac:dyDescent="0.25">
      <c r="C474" s="102"/>
      <c r="D474" s="102"/>
      <c r="E474" s="102"/>
      <c r="F474" s="105"/>
    </row>
    <row r="475" spans="3:6" ht="13.5" thickBot="1" x14ac:dyDescent="0.25">
      <c r="C475" s="102"/>
      <c r="D475" s="102"/>
      <c r="E475" s="102"/>
      <c r="F475" s="105"/>
    </row>
    <row r="476" spans="3:6" ht="13.5" thickBot="1" x14ac:dyDescent="0.25">
      <c r="C476" s="102"/>
      <c r="D476" s="102"/>
      <c r="E476" s="102"/>
      <c r="F476" s="105"/>
    </row>
    <row r="477" spans="3:6" ht="13.5" thickBot="1" x14ac:dyDescent="0.25">
      <c r="C477" s="102"/>
      <c r="D477" s="102"/>
      <c r="E477" s="102"/>
      <c r="F477" s="105"/>
    </row>
    <row r="478" spans="3:6" ht="13.5" thickBot="1" x14ac:dyDescent="0.25">
      <c r="C478" s="102"/>
      <c r="D478" s="102"/>
      <c r="E478" s="102"/>
      <c r="F478" s="105"/>
    </row>
    <row r="479" spans="3:6" ht="13.5" thickBot="1" x14ac:dyDescent="0.25">
      <c r="C479" s="102"/>
      <c r="D479" s="102"/>
      <c r="E479" s="102"/>
      <c r="F479" s="105"/>
    </row>
    <row r="480" spans="3:6" ht="13.5" thickBot="1" x14ac:dyDescent="0.25">
      <c r="C480" s="102"/>
      <c r="D480" s="102"/>
      <c r="E480" s="102"/>
      <c r="F480" s="105"/>
    </row>
    <row r="481" spans="3:6" ht="13.5" thickBot="1" x14ac:dyDescent="0.25">
      <c r="C481" s="102"/>
      <c r="D481" s="102"/>
      <c r="E481" s="102"/>
      <c r="F481" s="105"/>
    </row>
    <row r="482" spans="3:6" ht="13.5" thickBot="1" x14ac:dyDescent="0.25">
      <c r="C482" s="102"/>
      <c r="D482" s="102"/>
      <c r="E482" s="102"/>
      <c r="F482" s="105"/>
    </row>
    <row r="483" spans="3:6" ht="13.5" thickBot="1" x14ac:dyDescent="0.25">
      <c r="C483" s="102"/>
      <c r="D483" s="102"/>
      <c r="E483" s="102"/>
      <c r="F483" s="105"/>
    </row>
    <row r="484" spans="3:6" ht="13.5" thickBot="1" x14ac:dyDescent="0.25">
      <c r="C484" s="102"/>
      <c r="D484" s="102"/>
      <c r="E484" s="102"/>
      <c r="F484" s="105"/>
    </row>
    <row r="485" spans="3:6" ht="13.5" thickBot="1" x14ac:dyDescent="0.25">
      <c r="C485" s="102"/>
      <c r="D485" s="102"/>
      <c r="E485" s="102"/>
      <c r="F485" s="105"/>
    </row>
    <row r="486" spans="3:6" ht="13.5" thickBot="1" x14ac:dyDescent="0.25">
      <c r="C486" s="102"/>
      <c r="D486" s="102"/>
      <c r="E486" s="102"/>
      <c r="F486" s="105"/>
    </row>
    <row r="487" spans="3:6" ht="13.5" thickBot="1" x14ac:dyDescent="0.25">
      <c r="C487" s="102"/>
      <c r="D487" s="102"/>
      <c r="E487" s="102"/>
      <c r="F487" s="105"/>
    </row>
    <row r="488" spans="3:6" ht="13.5" thickBot="1" x14ac:dyDescent="0.25">
      <c r="C488" s="102"/>
      <c r="D488" s="102"/>
      <c r="E488" s="102"/>
      <c r="F488" s="105"/>
    </row>
    <row r="489" spans="3:6" ht="13.5" thickBot="1" x14ac:dyDescent="0.25">
      <c r="C489" s="102"/>
      <c r="D489" s="102"/>
      <c r="E489" s="102"/>
      <c r="F489" s="105"/>
    </row>
    <row r="490" spans="3:6" ht="13.5" thickBot="1" x14ac:dyDescent="0.25">
      <c r="C490" s="102"/>
      <c r="D490" s="102"/>
      <c r="E490" s="102"/>
      <c r="F490" s="105"/>
    </row>
    <row r="491" spans="3:6" ht="13.5" thickBot="1" x14ac:dyDescent="0.25">
      <c r="C491" s="102"/>
      <c r="D491" s="102"/>
      <c r="E491" s="102"/>
      <c r="F491" s="105"/>
    </row>
    <row r="492" spans="3:6" ht="13.5" thickBot="1" x14ac:dyDescent="0.25">
      <c r="C492" s="102"/>
      <c r="D492" s="102"/>
      <c r="E492" s="102"/>
      <c r="F492" s="105"/>
    </row>
    <row r="493" spans="3:6" ht="13.5" thickBot="1" x14ac:dyDescent="0.25">
      <c r="C493" s="102"/>
      <c r="D493" s="102"/>
      <c r="E493" s="102"/>
      <c r="F493" s="105"/>
    </row>
    <row r="494" spans="3:6" ht="13.5" thickBot="1" x14ac:dyDescent="0.25">
      <c r="C494" s="102"/>
      <c r="D494" s="102"/>
      <c r="E494" s="102"/>
      <c r="F494" s="105"/>
    </row>
    <row r="495" spans="3:6" ht="13.5" thickBot="1" x14ac:dyDescent="0.25">
      <c r="C495" s="102"/>
      <c r="D495" s="102"/>
      <c r="E495" s="102"/>
      <c r="F495" s="105"/>
    </row>
    <row r="496" spans="3:6" ht="13.5" thickBot="1" x14ac:dyDescent="0.25">
      <c r="C496" s="102"/>
      <c r="D496" s="102"/>
      <c r="E496" s="102"/>
      <c r="F496" s="105"/>
    </row>
    <row r="497" spans="3:6" ht="13.5" thickBot="1" x14ac:dyDescent="0.25">
      <c r="C497" s="102"/>
      <c r="D497" s="102"/>
      <c r="E497" s="102"/>
      <c r="F497" s="105"/>
    </row>
    <row r="498" spans="3:6" ht="13.5" thickBot="1" x14ac:dyDescent="0.25">
      <c r="C498" s="102"/>
      <c r="D498" s="102"/>
      <c r="E498" s="102"/>
      <c r="F498" s="105"/>
    </row>
    <row r="499" spans="3:6" ht="13.5" thickBot="1" x14ac:dyDescent="0.25">
      <c r="C499" s="102"/>
      <c r="D499" s="102"/>
      <c r="E499" s="102"/>
      <c r="F499" s="105"/>
    </row>
    <row r="500" spans="3:6" ht="13.5" thickBot="1" x14ac:dyDescent="0.25">
      <c r="C500" s="102"/>
      <c r="D500" s="102"/>
      <c r="E500" s="102"/>
      <c r="F500" s="105"/>
    </row>
    <row r="501" spans="3:6" ht="13.5" thickBot="1" x14ac:dyDescent="0.25">
      <c r="C501" s="102"/>
      <c r="D501" s="102"/>
      <c r="E501" s="102"/>
      <c r="F501" s="105"/>
    </row>
    <row r="502" spans="3:6" ht="13.5" thickBot="1" x14ac:dyDescent="0.25">
      <c r="C502" s="102"/>
      <c r="D502" s="102"/>
      <c r="E502" s="102"/>
      <c r="F502" s="105"/>
    </row>
    <row r="503" spans="3:6" ht="13.5" thickBot="1" x14ac:dyDescent="0.25">
      <c r="C503" s="102"/>
      <c r="D503" s="102"/>
      <c r="E503" s="102"/>
      <c r="F503" s="105"/>
    </row>
    <row r="504" spans="3:6" ht="13.5" thickBot="1" x14ac:dyDescent="0.25">
      <c r="C504" s="102"/>
      <c r="D504" s="102"/>
      <c r="E504" s="102"/>
      <c r="F504" s="105"/>
    </row>
    <row r="505" spans="3:6" ht="13.5" thickBot="1" x14ac:dyDescent="0.25">
      <c r="C505" s="102"/>
      <c r="D505" s="102"/>
      <c r="E505" s="102"/>
      <c r="F505" s="105"/>
    </row>
    <row r="506" spans="3:6" ht="13.5" thickBot="1" x14ac:dyDescent="0.25">
      <c r="C506" s="102"/>
      <c r="D506" s="102"/>
      <c r="E506" s="102"/>
      <c r="F506" s="105"/>
    </row>
    <row r="507" spans="3:6" ht="13.5" thickBot="1" x14ac:dyDescent="0.25">
      <c r="C507" s="102"/>
      <c r="D507" s="102"/>
      <c r="E507" s="102"/>
      <c r="F507" s="105"/>
    </row>
    <row r="508" spans="3:6" ht="13.5" thickBot="1" x14ac:dyDescent="0.25">
      <c r="C508" s="102"/>
      <c r="D508" s="102"/>
      <c r="E508" s="102"/>
      <c r="F508" s="105"/>
    </row>
    <row r="509" spans="3:6" ht="13.5" thickBot="1" x14ac:dyDescent="0.25">
      <c r="C509" s="102"/>
      <c r="D509" s="102"/>
      <c r="E509" s="102"/>
      <c r="F509" s="105"/>
    </row>
    <row r="510" spans="3:6" ht="13.5" thickBot="1" x14ac:dyDescent="0.25">
      <c r="C510" s="102"/>
      <c r="D510" s="102"/>
      <c r="E510" s="102"/>
      <c r="F510" s="105"/>
    </row>
    <row r="511" spans="3:6" ht="13.5" thickBot="1" x14ac:dyDescent="0.25">
      <c r="C511" s="102"/>
      <c r="D511" s="102"/>
      <c r="E511" s="102"/>
      <c r="F511" s="105"/>
    </row>
    <row r="512" spans="3:6" ht="13.5" thickBot="1" x14ac:dyDescent="0.25">
      <c r="C512" s="102"/>
      <c r="D512" s="102"/>
      <c r="E512" s="102"/>
      <c r="F512" s="105"/>
    </row>
    <row r="513" spans="3:6" ht="13.5" thickBot="1" x14ac:dyDescent="0.25">
      <c r="C513" s="102"/>
      <c r="D513" s="102"/>
      <c r="E513" s="102"/>
      <c r="F513" s="105"/>
    </row>
    <row r="514" spans="3:6" ht="13.5" thickBot="1" x14ac:dyDescent="0.25">
      <c r="C514" s="102"/>
      <c r="D514" s="102"/>
      <c r="E514" s="102"/>
      <c r="F514" s="105"/>
    </row>
    <row r="515" spans="3:6" ht="13.5" thickBot="1" x14ac:dyDescent="0.25">
      <c r="C515" s="102"/>
      <c r="D515" s="102"/>
      <c r="E515" s="102"/>
      <c r="F515" s="105"/>
    </row>
    <row r="516" spans="3:6" ht="13.5" thickBot="1" x14ac:dyDescent="0.25">
      <c r="C516" s="102"/>
      <c r="D516" s="102"/>
      <c r="E516" s="102"/>
      <c r="F516" s="105"/>
    </row>
    <row r="517" spans="3:6" ht="13.5" thickBot="1" x14ac:dyDescent="0.25">
      <c r="C517" s="102"/>
      <c r="D517" s="102"/>
      <c r="E517" s="102"/>
      <c r="F517" s="105"/>
    </row>
    <row r="518" spans="3:6" ht="13.5" thickBot="1" x14ac:dyDescent="0.25">
      <c r="C518" s="102"/>
      <c r="D518" s="102"/>
      <c r="E518" s="102"/>
      <c r="F518" s="105"/>
    </row>
    <row r="519" spans="3:6" ht="13.5" thickBot="1" x14ac:dyDescent="0.25">
      <c r="C519" s="102"/>
      <c r="D519" s="102"/>
      <c r="E519" s="102"/>
      <c r="F519" s="105"/>
    </row>
    <row r="520" spans="3:6" ht="13.5" thickBot="1" x14ac:dyDescent="0.25">
      <c r="C520" s="102"/>
      <c r="D520" s="102"/>
      <c r="E520" s="102"/>
      <c r="F520" s="105"/>
    </row>
    <row r="521" spans="3:6" ht="13.5" thickBot="1" x14ac:dyDescent="0.25">
      <c r="C521" s="102"/>
      <c r="D521" s="102"/>
      <c r="E521" s="102"/>
      <c r="F521" s="105"/>
    </row>
    <row r="522" spans="3:6" ht="13.5" thickBot="1" x14ac:dyDescent="0.25">
      <c r="C522" s="102"/>
      <c r="D522" s="102"/>
      <c r="E522" s="102"/>
      <c r="F522" s="105"/>
    </row>
    <row r="523" spans="3:6" ht="13.5" thickBot="1" x14ac:dyDescent="0.25">
      <c r="C523" s="102"/>
      <c r="D523" s="102"/>
      <c r="E523" s="102"/>
      <c r="F523" s="105"/>
    </row>
    <row r="524" spans="3:6" ht="13.5" thickBot="1" x14ac:dyDescent="0.25">
      <c r="C524" s="102"/>
      <c r="D524" s="102"/>
      <c r="E524" s="102"/>
      <c r="F524" s="105"/>
    </row>
    <row r="525" spans="3:6" ht="13.5" thickBot="1" x14ac:dyDescent="0.25">
      <c r="C525" s="102"/>
      <c r="D525" s="102"/>
      <c r="E525" s="102"/>
      <c r="F525" s="105"/>
    </row>
    <row r="526" spans="3:6" ht="13.5" thickBot="1" x14ac:dyDescent="0.25">
      <c r="C526" s="102"/>
      <c r="D526" s="102"/>
      <c r="E526" s="102"/>
      <c r="F526" s="105"/>
    </row>
    <row r="527" spans="3:6" ht="13.5" thickBot="1" x14ac:dyDescent="0.25">
      <c r="C527" s="102"/>
      <c r="D527" s="102"/>
      <c r="E527" s="102"/>
      <c r="F527" s="105"/>
    </row>
    <row r="528" spans="3:6" ht="13.5" thickBot="1" x14ac:dyDescent="0.25">
      <c r="C528" s="102"/>
      <c r="D528" s="102"/>
      <c r="E528" s="102"/>
      <c r="F528" s="105"/>
    </row>
    <row r="529" spans="3:6" ht="13.5" thickBot="1" x14ac:dyDescent="0.25">
      <c r="C529" s="102"/>
      <c r="D529" s="102"/>
      <c r="E529" s="102"/>
      <c r="F529" s="105"/>
    </row>
    <row r="530" spans="3:6" ht="13.5" thickBot="1" x14ac:dyDescent="0.25">
      <c r="C530" s="102"/>
      <c r="D530" s="102"/>
      <c r="E530" s="102"/>
      <c r="F530" s="105"/>
    </row>
    <row r="531" spans="3:6" ht="13.5" thickBot="1" x14ac:dyDescent="0.25">
      <c r="C531" s="102"/>
      <c r="D531" s="102"/>
      <c r="E531" s="102"/>
      <c r="F531" s="105"/>
    </row>
    <row r="532" spans="3:6" ht="13.5" thickBot="1" x14ac:dyDescent="0.25">
      <c r="C532" s="102"/>
      <c r="D532" s="102"/>
      <c r="E532" s="102"/>
      <c r="F532" s="105"/>
    </row>
    <row r="533" spans="3:6" ht="13.5" thickBot="1" x14ac:dyDescent="0.25">
      <c r="C533" s="102"/>
      <c r="D533" s="102"/>
      <c r="E533" s="102"/>
      <c r="F533" s="105"/>
    </row>
    <row r="534" spans="3:6" ht="13.5" thickBot="1" x14ac:dyDescent="0.25">
      <c r="C534" s="102"/>
      <c r="D534" s="102"/>
      <c r="E534" s="102"/>
      <c r="F534" s="105"/>
    </row>
    <row r="535" spans="3:6" ht="13.5" thickBot="1" x14ac:dyDescent="0.25">
      <c r="C535" s="102"/>
      <c r="D535" s="102"/>
      <c r="E535" s="102"/>
      <c r="F535" s="105"/>
    </row>
    <row r="536" spans="3:6" ht="13.5" thickBot="1" x14ac:dyDescent="0.25">
      <c r="C536" s="102"/>
      <c r="D536" s="102"/>
      <c r="E536" s="102"/>
      <c r="F536" s="105"/>
    </row>
    <row r="537" spans="3:6" ht="13.5" thickBot="1" x14ac:dyDescent="0.25">
      <c r="C537" s="102"/>
      <c r="D537" s="102"/>
      <c r="E537" s="102"/>
      <c r="F537" s="105"/>
    </row>
    <row r="538" spans="3:6" ht="13.5" thickBot="1" x14ac:dyDescent="0.25">
      <c r="C538" s="102"/>
      <c r="D538" s="102"/>
      <c r="E538" s="102"/>
      <c r="F538" s="105"/>
    </row>
    <row r="539" spans="3:6" ht="13.5" thickBot="1" x14ac:dyDescent="0.25">
      <c r="C539" s="102"/>
      <c r="D539" s="102"/>
      <c r="E539" s="102"/>
      <c r="F539" s="105"/>
    </row>
    <row r="540" spans="3:6" ht="13.5" thickBot="1" x14ac:dyDescent="0.25">
      <c r="C540" s="102"/>
      <c r="D540" s="102"/>
      <c r="E540" s="102"/>
      <c r="F540" s="105"/>
    </row>
    <row r="541" spans="3:6" ht="13.5" thickBot="1" x14ac:dyDescent="0.25">
      <c r="C541" s="102"/>
      <c r="D541" s="102"/>
      <c r="E541" s="102"/>
      <c r="F541" s="105"/>
    </row>
    <row r="542" spans="3:6" ht="13.5" thickBot="1" x14ac:dyDescent="0.25">
      <c r="C542" s="102"/>
      <c r="D542" s="102"/>
      <c r="E542" s="102"/>
      <c r="F542" s="105"/>
    </row>
    <row r="543" spans="3:6" ht="13.5" thickBot="1" x14ac:dyDescent="0.25">
      <c r="C543" s="102"/>
      <c r="D543" s="102"/>
      <c r="E543" s="102"/>
      <c r="F543" s="105"/>
    </row>
    <row r="544" spans="3:6" ht="13.5" thickBot="1" x14ac:dyDescent="0.25">
      <c r="C544" s="102"/>
      <c r="D544" s="102"/>
      <c r="E544" s="102"/>
      <c r="F544" s="105"/>
    </row>
    <row r="545" spans="3:6" ht="13.5" thickBot="1" x14ac:dyDescent="0.25">
      <c r="C545" s="102"/>
      <c r="D545" s="102"/>
      <c r="E545" s="102"/>
      <c r="F545" s="105"/>
    </row>
    <row r="546" spans="3:6" ht="13.5" thickBot="1" x14ac:dyDescent="0.25">
      <c r="C546" s="102"/>
      <c r="D546" s="102"/>
      <c r="E546" s="102"/>
      <c r="F546" s="105"/>
    </row>
    <row r="547" spans="3:6" ht="13.5" thickBot="1" x14ac:dyDescent="0.25">
      <c r="C547" s="102"/>
      <c r="D547" s="102"/>
      <c r="E547" s="102"/>
      <c r="F547" s="105"/>
    </row>
    <row r="548" spans="3:6" ht="13.5" thickBot="1" x14ac:dyDescent="0.25">
      <c r="C548" s="102"/>
      <c r="D548" s="102"/>
      <c r="E548" s="102"/>
      <c r="F548" s="105"/>
    </row>
    <row r="549" spans="3:6" ht="13.5" thickBot="1" x14ac:dyDescent="0.25">
      <c r="C549" s="102"/>
      <c r="D549" s="102"/>
      <c r="E549" s="102"/>
      <c r="F549" s="105"/>
    </row>
    <row r="550" spans="3:6" ht="13.5" thickBot="1" x14ac:dyDescent="0.25">
      <c r="C550" s="102"/>
      <c r="D550" s="102"/>
      <c r="E550" s="102"/>
      <c r="F550" s="105"/>
    </row>
    <row r="551" spans="3:6" ht="13.5" thickBot="1" x14ac:dyDescent="0.25">
      <c r="C551" s="102"/>
      <c r="D551" s="102"/>
      <c r="E551" s="102"/>
      <c r="F551" s="105"/>
    </row>
    <row r="552" spans="3:6" ht="13.5" thickBot="1" x14ac:dyDescent="0.25">
      <c r="C552" s="102"/>
      <c r="D552" s="102"/>
      <c r="E552" s="102"/>
      <c r="F552" s="105"/>
    </row>
    <row r="553" spans="3:6" ht="13.5" thickBot="1" x14ac:dyDescent="0.25">
      <c r="C553" s="102"/>
      <c r="D553" s="102"/>
      <c r="E553" s="102"/>
      <c r="F553" s="105"/>
    </row>
    <row r="554" spans="3:6" ht="13.5" thickBot="1" x14ac:dyDescent="0.25">
      <c r="C554" s="102"/>
      <c r="D554" s="102"/>
      <c r="E554" s="102"/>
      <c r="F554" s="105"/>
    </row>
    <row r="555" spans="3:6" ht="13.5" thickBot="1" x14ac:dyDescent="0.25">
      <c r="C555" s="102"/>
      <c r="D555" s="102"/>
      <c r="E555" s="102"/>
      <c r="F555" s="105"/>
    </row>
    <row r="556" spans="3:6" ht="13.5" thickBot="1" x14ac:dyDescent="0.25">
      <c r="C556" s="102"/>
      <c r="D556" s="102"/>
      <c r="E556" s="102"/>
      <c r="F556" s="105"/>
    </row>
    <row r="557" spans="3:6" ht="13.5" thickBot="1" x14ac:dyDescent="0.25">
      <c r="C557" s="102"/>
      <c r="D557" s="102"/>
      <c r="E557" s="102"/>
      <c r="F557" s="105"/>
    </row>
    <row r="558" spans="3:6" ht="13.5" thickBot="1" x14ac:dyDescent="0.25">
      <c r="C558" s="102"/>
      <c r="D558" s="102"/>
      <c r="E558" s="102"/>
      <c r="F558" s="105"/>
    </row>
    <row r="559" spans="3:6" ht="13.5" thickBot="1" x14ac:dyDescent="0.25">
      <c r="C559" s="102"/>
      <c r="D559" s="102"/>
      <c r="E559" s="102"/>
      <c r="F559" s="105"/>
    </row>
    <row r="560" spans="3:6" ht="13.5" thickBot="1" x14ac:dyDescent="0.25">
      <c r="C560" s="102"/>
      <c r="D560" s="102"/>
      <c r="E560" s="102"/>
      <c r="F560" s="105"/>
    </row>
    <row r="561" spans="3:6" ht="13.5" thickBot="1" x14ac:dyDescent="0.25">
      <c r="C561" s="102"/>
      <c r="D561" s="102"/>
      <c r="E561" s="102"/>
      <c r="F561" s="105"/>
    </row>
    <row r="562" spans="3:6" ht="13.5" thickBot="1" x14ac:dyDescent="0.25">
      <c r="C562" s="102"/>
      <c r="D562" s="102"/>
      <c r="E562" s="102"/>
      <c r="F562" s="105"/>
    </row>
    <row r="563" spans="3:6" ht="13.5" thickBot="1" x14ac:dyDescent="0.25">
      <c r="C563" s="102"/>
      <c r="D563" s="102"/>
      <c r="E563" s="102"/>
      <c r="F563" s="105"/>
    </row>
    <row r="564" spans="3:6" ht="13.5" thickBot="1" x14ac:dyDescent="0.25">
      <c r="C564" s="102"/>
      <c r="D564" s="102"/>
      <c r="E564" s="102"/>
      <c r="F564" s="105"/>
    </row>
    <row r="565" spans="3:6" ht="13.5" thickBot="1" x14ac:dyDescent="0.25">
      <c r="C565" s="102"/>
      <c r="D565" s="102"/>
      <c r="E565" s="102"/>
      <c r="F565" s="105"/>
    </row>
    <row r="566" spans="3:6" ht="13.5" thickBot="1" x14ac:dyDescent="0.25">
      <c r="C566" s="102"/>
      <c r="D566" s="102"/>
      <c r="E566" s="102"/>
      <c r="F566" s="105"/>
    </row>
    <row r="567" spans="3:6" ht="13.5" thickBot="1" x14ac:dyDescent="0.25">
      <c r="C567" s="102"/>
      <c r="D567" s="102"/>
      <c r="E567" s="102"/>
      <c r="F567" s="105"/>
    </row>
    <row r="568" spans="3:6" ht="13.5" thickBot="1" x14ac:dyDescent="0.25">
      <c r="C568" s="102"/>
      <c r="D568" s="102"/>
      <c r="E568" s="102"/>
      <c r="F568" s="105"/>
    </row>
    <row r="569" spans="3:6" ht="13.5" thickBot="1" x14ac:dyDescent="0.25">
      <c r="C569" s="102"/>
      <c r="D569" s="102"/>
      <c r="E569" s="102"/>
      <c r="F569" s="105"/>
    </row>
    <row r="570" spans="3:6" ht="13.5" thickBot="1" x14ac:dyDescent="0.25">
      <c r="C570" s="102"/>
      <c r="D570" s="102"/>
      <c r="E570" s="102"/>
      <c r="F570" s="105"/>
    </row>
    <row r="571" spans="3:6" ht="13.5" thickBot="1" x14ac:dyDescent="0.25">
      <c r="C571" s="102"/>
      <c r="D571" s="102"/>
      <c r="E571" s="102"/>
      <c r="F571" s="105"/>
    </row>
    <row r="572" spans="3:6" ht="13.5" thickBot="1" x14ac:dyDescent="0.25">
      <c r="C572" s="102"/>
      <c r="D572" s="102"/>
      <c r="E572" s="102"/>
      <c r="F572" s="105"/>
    </row>
    <row r="573" spans="3:6" ht="13.5" thickBot="1" x14ac:dyDescent="0.25">
      <c r="C573" s="102"/>
      <c r="D573" s="102"/>
      <c r="E573" s="102"/>
      <c r="F573" s="105"/>
    </row>
    <row r="574" spans="3:6" ht="13.5" thickBot="1" x14ac:dyDescent="0.25">
      <c r="C574" s="102"/>
      <c r="D574" s="102"/>
      <c r="E574" s="102"/>
      <c r="F574" s="105"/>
    </row>
    <row r="575" spans="3:6" ht="13.5" thickBot="1" x14ac:dyDescent="0.25">
      <c r="C575" s="102"/>
      <c r="D575" s="102"/>
      <c r="E575" s="102"/>
      <c r="F575" s="105"/>
    </row>
    <row r="576" spans="3:6" ht="13.5" thickBot="1" x14ac:dyDescent="0.25">
      <c r="C576" s="102"/>
      <c r="D576" s="102"/>
      <c r="E576" s="102"/>
      <c r="F576" s="105"/>
    </row>
    <row r="577" spans="3:6" ht="13.5" thickBot="1" x14ac:dyDescent="0.25">
      <c r="C577" s="102"/>
      <c r="D577" s="102"/>
      <c r="E577" s="102"/>
      <c r="F577" s="105"/>
    </row>
    <row r="578" spans="3:6" ht="13.5" thickBot="1" x14ac:dyDescent="0.25">
      <c r="C578" s="102"/>
      <c r="D578" s="102"/>
      <c r="E578" s="102"/>
      <c r="F578" s="105"/>
    </row>
    <row r="579" spans="3:6" ht="13.5" thickBot="1" x14ac:dyDescent="0.25">
      <c r="C579" s="102"/>
      <c r="D579" s="102"/>
      <c r="E579" s="102"/>
      <c r="F579" s="105"/>
    </row>
    <row r="580" spans="3:6" ht="13.5" thickBot="1" x14ac:dyDescent="0.25">
      <c r="C580" s="102"/>
      <c r="D580" s="102"/>
      <c r="E580" s="102"/>
      <c r="F580" s="105"/>
    </row>
    <row r="581" spans="3:6" ht="13.5" thickBot="1" x14ac:dyDescent="0.25">
      <c r="C581" s="102"/>
      <c r="D581" s="102"/>
      <c r="E581" s="102"/>
      <c r="F581" s="105"/>
    </row>
    <row r="582" spans="3:6" ht="13.5" thickBot="1" x14ac:dyDescent="0.25">
      <c r="C582" s="102"/>
      <c r="D582" s="102"/>
      <c r="E582" s="102"/>
      <c r="F582" s="105"/>
    </row>
    <row r="583" spans="3:6" ht="13.5" thickBot="1" x14ac:dyDescent="0.25">
      <c r="C583" s="102"/>
      <c r="D583" s="102"/>
      <c r="E583" s="102"/>
      <c r="F583" s="105"/>
    </row>
    <row r="584" spans="3:6" ht="13.5" thickBot="1" x14ac:dyDescent="0.25">
      <c r="C584" s="102"/>
      <c r="D584" s="102"/>
      <c r="E584" s="102"/>
      <c r="F584" s="105"/>
    </row>
    <row r="585" spans="3:6" ht="13.5" thickBot="1" x14ac:dyDescent="0.25">
      <c r="C585" s="102"/>
      <c r="D585" s="102"/>
      <c r="E585" s="102"/>
      <c r="F585" s="105"/>
    </row>
    <row r="586" spans="3:6" ht="13.5" thickBot="1" x14ac:dyDescent="0.25">
      <c r="C586" s="102"/>
      <c r="D586" s="102"/>
      <c r="E586" s="102"/>
      <c r="F586" s="105"/>
    </row>
    <row r="587" spans="3:6" ht="13.5" thickBot="1" x14ac:dyDescent="0.25">
      <c r="C587" s="102"/>
      <c r="D587" s="102"/>
      <c r="E587" s="102"/>
      <c r="F587" s="105"/>
    </row>
    <row r="588" spans="3:6" ht="13.5" thickBot="1" x14ac:dyDescent="0.25">
      <c r="C588" s="102"/>
      <c r="D588" s="102"/>
      <c r="E588" s="102"/>
      <c r="F588" s="105"/>
    </row>
    <row r="589" spans="3:6" ht="13.5" thickBot="1" x14ac:dyDescent="0.25">
      <c r="C589" s="102"/>
      <c r="D589" s="102"/>
      <c r="E589" s="102"/>
      <c r="F589" s="105"/>
    </row>
    <row r="590" spans="3:6" ht="13.5" thickBot="1" x14ac:dyDescent="0.25">
      <c r="C590" s="102"/>
      <c r="D590" s="102"/>
      <c r="E590" s="102"/>
      <c r="F590" s="105"/>
    </row>
    <row r="591" spans="3:6" ht="13.5" thickBot="1" x14ac:dyDescent="0.25">
      <c r="C591" s="102"/>
      <c r="D591" s="102"/>
      <c r="E591" s="102"/>
      <c r="F591" s="105"/>
    </row>
    <row r="592" spans="3:6" ht="13.5" thickBot="1" x14ac:dyDescent="0.25">
      <c r="C592" s="102"/>
      <c r="D592" s="102"/>
      <c r="E592" s="102"/>
      <c r="F592" s="105"/>
    </row>
    <row r="593" spans="3:6" ht="13.5" thickBot="1" x14ac:dyDescent="0.25">
      <c r="C593" s="102"/>
      <c r="D593" s="102"/>
      <c r="E593" s="102"/>
      <c r="F593" s="105"/>
    </row>
    <row r="594" spans="3:6" ht="13.5" thickBot="1" x14ac:dyDescent="0.25">
      <c r="C594" s="102"/>
      <c r="D594" s="102"/>
      <c r="E594" s="102"/>
      <c r="F594" s="105"/>
    </row>
    <row r="595" spans="3:6" ht="13.5" thickBot="1" x14ac:dyDescent="0.25">
      <c r="C595" s="102"/>
      <c r="D595" s="102"/>
      <c r="E595" s="102"/>
      <c r="F595" s="105"/>
    </row>
    <row r="596" spans="3:6" ht="13.5" thickBot="1" x14ac:dyDescent="0.25">
      <c r="C596" s="102"/>
      <c r="D596" s="102"/>
      <c r="E596" s="102"/>
      <c r="F596" s="105"/>
    </row>
    <row r="597" spans="3:6" ht="13.5" thickBot="1" x14ac:dyDescent="0.25">
      <c r="C597" s="102"/>
      <c r="D597" s="102"/>
      <c r="E597" s="102"/>
      <c r="F597" s="105"/>
    </row>
    <row r="598" spans="3:6" ht="13.5" thickBot="1" x14ac:dyDescent="0.25">
      <c r="C598" s="102"/>
      <c r="D598" s="102"/>
      <c r="E598" s="102"/>
      <c r="F598" s="105"/>
    </row>
    <row r="599" spans="3:6" ht="13.5" thickBot="1" x14ac:dyDescent="0.25">
      <c r="C599" s="102"/>
      <c r="D599" s="102"/>
      <c r="E599" s="102"/>
      <c r="F599" s="105"/>
    </row>
    <row r="600" spans="3:6" ht="13.5" thickBot="1" x14ac:dyDescent="0.25">
      <c r="C600" s="102"/>
      <c r="D600" s="102"/>
      <c r="E600" s="102"/>
      <c r="F600" s="105"/>
    </row>
    <row r="601" spans="3:6" ht="13.5" thickBot="1" x14ac:dyDescent="0.25">
      <c r="C601" s="102"/>
      <c r="D601" s="102"/>
      <c r="E601" s="102"/>
      <c r="F601" s="105"/>
    </row>
    <row r="602" spans="3:6" ht="13.5" thickBot="1" x14ac:dyDescent="0.25">
      <c r="C602" s="102"/>
      <c r="D602" s="102"/>
      <c r="E602" s="102"/>
      <c r="F602" s="105"/>
    </row>
    <row r="603" spans="3:6" ht="13.5" thickBot="1" x14ac:dyDescent="0.25">
      <c r="C603" s="102"/>
      <c r="D603" s="102"/>
      <c r="E603" s="102"/>
      <c r="F603" s="105"/>
    </row>
    <row r="604" spans="3:6" ht="13.5" thickBot="1" x14ac:dyDescent="0.25">
      <c r="C604" s="102"/>
      <c r="D604" s="102"/>
      <c r="E604" s="102"/>
      <c r="F604" s="105"/>
    </row>
    <row r="605" spans="3:6" ht="13.5" thickBot="1" x14ac:dyDescent="0.25">
      <c r="C605" s="102"/>
      <c r="D605" s="102"/>
      <c r="E605" s="102"/>
      <c r="F605" s="105"/>
    </row>
    <row r="606" spans="3:6" ht="13.5" thickBot="1" x14ac:dyDescent="0.25">
      <c r="C606" s="102"/>
      <c r="D606" s="102"/>
      <c r="E606" s="102"/>
      <c r="F606" s="105"/>
    </row>
    <row r="607" spans="3:6" ht="13.5" thickBot="1" x14ac:dyDescent="0.25">
      <c r="C607" s="102"/>
      <c r="D607" s="102"/>
      <c r="E607" s="102"/>
      <c r="F607" s="105"/>
    </row>
    <row r="608" spans="3:6" ht="13.5" thickBot="1" x14ac:dyDescent="0.25">
      <c r="C608" s="102"/>
      <c r="D608" s="102"/>
      <c r="E608" s="102"/>
      <c r="F608" s="105"/>
    </row>
    <row r="609" spans="3:6" ht="13.5" thickBot="1" x14ac:dyDescent="0.25">
      <c r="C609" s="102"/>
      <c r="D609" s="102"/>
      <c r="E609" s="102"/>
      <c r="F609" s="105"/>
    </row>
    <row r="610" spans="3:6" ht="13.5" thickBot="1" x14ac:dyDescent="0.25">
      <c r="C610" s="102"/>
      <c r="D610" s="102"/>
      <c r="E610" s="102"/>
      <c r="F610" s="105"/>
    </row>
    <row r="611" spans="3:6" ht="13.5" thickBot="1" x14ac:dyDescent="0.25">
      <c r="C611" s="102"/>
      <c r="D611" s="102"/>
      <c r="E611" s="102"/>
      <c r="F611" s="105"/>
    </row>
    <row r="612" spans="3:6" ht="13.5" thickBot="1" x14ac:dyDescent="0.25">
      <c r="C612" s="102"/>
      <c r="D612" s="102"/>
      <c r="E612" s="102"/>
      <c r="F612" s="105"/>
    </row>
    <row r="613" spans="3:6" ht="13.5" thickBot="1" x14ac:dyDescent="0.25">
      <c r="C613" s="102"/>
      <c r="D613" s="102"/>
      <c r="E613" s="102"/>
      <c r="F613" s="105"/>
    </row>
    <row r="614" spans="3:6" ht="13.5" thickBot="1" x14ac:dyDescent="0.25">
      <c r="C614" s="102"/>
      <c r="D614" s="102"/>
      <c r="E614" s="102"/>
      <c r="F614" s="105"/>
    </row>
    <row r="615" spans="3:6" ht="13.5" thickBot="1" x14ac:dyDescent="0.25">
      <c r="C615" s="102"/>
      <c r="D615" s="102"/>
      <c r="E615" s="102"/>
      <c r="F615" s="105"/>
    </row>
    <row r="616" spans="3:6" ht="13.5" thickBot="1" x14ac:dyDescent="0.25">
      <c r="C616" s="102"/>
      <c r="D616" s="102"/>
      <c r="E616" s="102"/>
      <c r="F616" s="105"/>
    </row>
    <row r="617" spans="3:6" ht="13.5" thickBot="1" x14ac:dyDescent="0.25">
      <c r="C617" s="102"/>
      <c r="D617" s="102"/>
      <c r="E617" s="102"/>
      <c r="F617" s="105"/>
    </row>
    <row r="618" spans="3:6" ht="13.5" thickBot="1" x14ac:dyDescent="0.25">
      <c r="C618" s="102"/>
      <c r="D618" s="102"/>
      <c r="E618" s="102"/>
      <c r="F618" s="105"/>
    </row>
    <row r="619" spans="3:6" ht="13.5" thickBot="1" x14ac:dyDescent="0.25">
      <c r="C619" s="102"/>
      <c r="D619" s="102"/>
      <c r="E619" s="102"/>
      <c r="F619" s="105"/>
    </row>
    <row r="620" spans="3:6" ht="13.5" thickBot="1" x14ac:dyDescent="0.25">
      <c r="C620" s="102"/>
      <c r="D620" s="102"/>
      <c r="E620" s="102"/>
      <c r="F620" s="105"/>
    </row>
    <row r="621" spans="3:6" ht="13.5" thickBot="1" x14ac:dyDescent="0.25">
      <c r="C621" s="102"/>
      <c r="D621" s="102"/>
      <c r="E621" s="102"/>
      <c r="F621" s="105"/>
    </row>
    <row r="622" spans="3:6" ht="13.5" thickBot="1" x14ac:dyDescent="0.25">
      <c r="C622" s="102"/>
      <c r="D622" s="102"/>
      <c r="E622" s="102"/>
      <c r="F622" s="105"/>
    </row>
    <row r="623" spans="3:6" ht="13.5" thickBot="1" x14ac:dyDescent="0.25">
      <c r="C623" s="102"/>
      <c r="D623" s="102"/>
      <c r="E623" s="102"/>
      <c r="F623" s="105"/>
    </row>
    <row r="624" spans="3:6" ht="13.5" thickBot="1" x14ac:dyDescent="0.25">
      <c r="C624" s="102"/>
      <c r="D624" s="102"/>
      <c r="E624" s="102"/>
      <c r="F624" s="105"/>
    </row>
    <row r="625" spans="3:6" ht="13.5" thickBot="1" x14ac:dyDescent="0.25">
      <c r="C625" s="102"/>
      <c r="D625" s="102"/>
      <c r="E625" s="102"/>
      <c r="F625" s="105"/>
    </row>
    <row r="626" spans="3:6" ht="13.5" thickBot="1" x14ac:dyDescent="0.25">
      <c r="C626" s="102"/>
      <c r="D626" s="102"/>
      <c r="E626" s="102"/>
      <c r="F626" s="105"/>
    </row>
    <row r="627" spans="3:6" ht="13.5" thickBot="1" x14ac:dyDescent="0.25">
      <c r="C627" s="102"/>
      <c r="D627" s="102"/>
      <c r="E627" s="102"/>
      <c r="F627" s="105"/>
    </row>
    <row r="628" spans="3:6" ht="13.5" thickBot="1" x14ac:dyDescent="0.25">
      <c r="C628" s="102"/>
      <c r="D628" s="102"/>
      <c r="E628" s="102"/>
      <c r="F628" s="105"/>
    </row>
    <row r="629" spans="3:6" ht="13.5" thickBot="1" x14ac:dyDescent="0.25">
      <c r="C629" s="102"/>
      <c r="D629" s="102"/>
      <c r="E629" s="102"/>
      <c r="F629" s="105"/>
    </row>
    <row r="630" spans="3:6" ht="13.5" thickBot="1" x14ac:dyDescent="0.25">
      <c r="C630" s="102"/>
      <c r="D630" s="102"/>
      <c r="E630" s="102"/>
      <c r="F630" s="105"/>
    </row>
    <row r="631" spans="3:6" ht="13.5" thickBot="1" x14ac:dyDescent="0.25">
      <c r="C631" s="102"/>
      <c r="D631" s="102"/>
      <c r="E631" s="102"/>
      <c r="F631" s="105"/>
    </row>
    <row r="632" spans="3:6" ht="13.5" thickBot="1" x14ac:dyDescent="0.25">
      <c r="C632" s="102"/>
      <c r="D632" s="102"/>
      <c r="E632" s="102"/>
      <c r="F632" s="105"/>
    </row>
    <row r="633" spans="3:6" ht="13.5" thickBot="1" x14ac:dyDescent="0.25">
      <c r="C633" s="102"/>
      <c r="D633" s="102"/>
      <c r="E633" s="102"/>
      <c r="F633" s="105"/>
    </row>
    <row r="634" spans="3:6" ht="13.5" thickBot="1" x14ac:dyDescent="0.25">
      <c r="C634" s="102"/>
      <c r="D634" s="102"/>
      <c r="E634" s="102"/>
      <c r="F634" s="105"/>
    </row>
    <row r="635" spans="3:6" ht="13.5" thickBot="1" x14ac:dyDescent="0.25">
      <c r="C635" s="102"/>
      <c r="D635" s="102"/>
      <c r="E635" s="102"/>
      <c r="F635" s="105"/>
    </row>
    <row r="636" spans="3:6" ht="13.5" thickBot="1" x14ac:dyDescent="0.25">
      <c r="C636" s="102"/>
      <c r="D636" s="102"/>
      <c r="E636" s="102"/>
      <c r="F636" s="105"/>
    </row>
    <row r="637" spans="3:6" ht="13.5" thickBot="1" x14ac:dyDescent="0.25">
      <c r="C637" s="102"/>
      <c r="D637" s="102"/>
      <c r="E637" s="102"/>
      <c r="F637" s="105"/>
    </row>
    <row r="638" spans="3:6" ht="13.5" thickBot="1" x14ac:dyDescent="0.25">
      <c r="C638" s="102"/>
      <c r="D638" s="102"/>
      <c r="E638" s="102"/>
      <c r="F638" s="105"/>
    </row>
    <row r="639" spans="3:6" ht="13.5" thickBot="1" x14ac:dyDescent="0.25">
      <c r="C639" s="102"/>
      <c r="D639" s="102"/>
      <c r="E639" s="102"/>
      <c r="F639" s="105"/>
    </row>
    <row r="640" spans="3:6" ht="13.5" thickBot="1" x14ac:dyDescent="0.25">
      <c r="C640" s="102"/>
      <c r="D640" s="102"/>
      <c r="E640" s="102"/>
      <c r="F640" s="105"/>
    </row>
    <row r="641" spans="3:6" ht="13.5" thickBot="1" x14ac:dyDescent="0.25">
      <c r="C641" s="102"/>
      <c r="D641" s="102"/>
      <c r="E641" s="102"/>
      <c r="F641" s="105"/>
    </row>
    <row r="642" spans="3:6" ht="13.5" thickBot="1" x14ac:dyDescent="0.25">
      <c r="C642" s="102"/>
      <c r="D642" s="102"/>
      <c r="E642" s="102"/>
      <c r="F642" s="105"/>
    </row>
    <row r="643" spans="3:6" ht="13.5" thickBot="1" x14ac:dyDescent="0.25">
      <c r="C643" s="102"/>
      <c r="D643" s="102"/>
      <c r="E643" s="102"/>
      <c r="F643" s="105"/>
    </row>
    <row r="644" spans="3:6" ht="13.5" thickBot="1" x14ac:dyDescent="0.25">
      <c r="C644" s="102"/>
      <c r="D644" s="102"/>
      <c r="E644" s="102"/>
      <c r="F644" s="105"/>
    </row>
    <row r="645" spans="3:6" ht="13.5" thickBot="1" x14ac:dyDescent="0.25">
      <c r="C645" s="102"/>
      <c r="D645" s="102"/>
      <c r="E645" s="102"/>
      <c r="F645" s="105"/>
    </row>
    <row r="646" spans="3:6" ht="13.5" thickBot="1" x14ac:dyDescent="0.25">
      <c r="C646" s="102"/>
      <c r="D646" s="102"/>
      <c r="E646" s="102"/>
      <c r="F646" s="105"/>
    </row>
    <row r="647" spans="3:6" ht="13.5" thickBot="1" x14ac:dyDescent="0.25">
      <c r="C647" s="102"/>
      <c r="D647" s="102"/>
      <c r="E647" s="102"/>
      <c r="F647" s="105"/>
    </row>
    <row r="648" spans="3:6" ht="13.5" thickBot="1" x14ac:dyDescent="0.25">
      <c r="C648" s="102"/>
      <c r="D648" s="102"/>
      <c r="E648" s="102"/>
      <c r="F648" s="105"/>
    </row>
    <row r="649" spans="3:6" ht="13.5" thickBot="1" x14ac:dyDescent="0.25">
      <c r="C649" s="102"/>
      <c r="D649" s="102"/>
      <c r="E649" s="102"/>
      <c r="F649" s="105"/>
    </row>
    <row r="650" spans="3:6" ht="13.5" thickBot="1" x14ac:dyDescent="0.25">
      <c r="C650" s="102"/>
      <c r="D650" s="102"/>
      <c r="E650" s="102"/>
      <c r="F650" s="105"/>
    </row>
    <row r="651" spans="3:6" ht="13.5" thickBot="1" x14ac:dyDescent="0.25">
      <c r="C651" s="102"/>
      <c r="D651" s="102"/>
      <c r="E651" s="102"/>
      <c r="F651" s="105"/>
    </row>
    <row r="652" spans="3:6" ht="13.5" thickBot="1" x14ac:dyDescent="0.25">
      <c r="C652" s="102"/>
      <c r="D652" s="102"/>
      <c r="E652" s="102"/>
      <c r="F652" s="105"/>
    </row>
    <row r="653" spans="3:6" ht="13.5" thickBot="1" x14ac:dyDescent="0.25">
      <c r="C653" s="102"/>
      <c r="D653" s="102"/>
      <c r="E653" s="102"/>
      <c r="F653" s="105"/>
    </row>
    <row r="654" spans="3:6" ht="13.5" thickBot="1" x14ac:dyDescent="0.25">
      <c r="C654" s="102"/>
      <c r="D654" s="102"/>
      <c r="E654" s="102"/>
      <c r="F654" s="105"/>
    </row>
    <row r="655" spans="3:6" ht="13.5" thickBot="1" x14ac:dyDescent="0.25">
      <c r="C655" s="102"/>
      <c r="D655" s="102"/>
      <c r="E655" s="102"/>
      <c r="F655" s="105"/>
    </row>
    <row r="656" spans="3:6" ht="13.5" thickBot="1" x14ac:dyDescent="0.25">
      <c r="C656" s="102"/>
      <c r="D656" s="102"/>
      <c r="E656" s="102"/>
      <c r="F656" s="105"/>
    </row>
    <row r="657" spans="3:6" ht="13.5" thickBot="1" x14ac:dyDescent="0.25">
      <c r="C657" s="102"/>
      <c r="D657" s="102"/>
      <c r="E657" s="102"/>
      <c r="F657" s="105"/>
    </row>
    <row r="658" spans="3:6" ht="13.5" thickBot="1" x14ac:dyDescent="0.25">
      <c r="C658" s="102"/>
      <c r="D658" s="102"/>
      <c r="E658" s="102"/>
      <c r="F658" s="105"/>
    </row>
    <row r="659" spans="3:6" ht="13.5" thickBot="1" x14ac:dyDescent="0.25">
      <c r="C659" s="102"/>
      <c r="D659" s="102"/>
      <c r="E659" s="102"/>
      <c r="F659" s="105"/>
    </row>
    <row r="660" spans="3:6" ht="13.5" thickBot="1" x14ac:dyDescent="0.25">
      <c r="C660" s="102"/>
      <c r="D660" s="102"/>
      <c r="E660" s="102"/>
      <c r="F660" s="105"/>
    </row>
    <row r="661" spans="3:6" ht="13.5" thickBot="1" x14ac:dyDescent="0.25">
      <c r="C661" s="102"/>
      <c r="D661" s="102"/>
      <c r="E661" s="102"/>
      <c r="F661" s="105"/>
    </row>
    <row r="662" spans="3:6" ht="13.5" thickBot="1" x14ac:dyDescent="0.25">
      <c r="C662" s="102"/>
      <c r="D662" s="102"/>
      <c r="E662" s="102"/>
      <c r="F662" s="105"/>
    </row>
    <row r="663" spans="3:6" ht="13.5" thickBot="1" x14ac:dyDescent="0.25">
      <c r="C663" s="102"/>
      <c r="D663" s="102"/>
      <c r="E663" s="102"/>
      <c r="F663" s="105"/>
    </row>
    <row r="664" spans="3:6" ht="13.5" thickBot="1" x14ac:dyDescent="0.25">
      <c r="C664" s="102"/>
      <c r="D664" s="102"/>
      <c r="E664" s="102"/>
      <c r="F664" s="105"/>
    </row>
    <row r="665" spans="3:6" ht="13.5" thickBot="1" x14ac:dyDescent="0.25">
      <c r="C665" s="102"/>
      <c r="D665" s="102"/>
      <c r="E665" s="102"/>
      <c r="F665" s="105"/>
    </row>
    <row r="666" spans="3:6" ht="13.5" thickBot="1" x14ac:dyDescent="0.25">
      <c r="C666" s="102"/>
      <c r="D666" s="102"/>
      <c r="E666" s="102"/>
      <c r="F666" s="105"/>
    </row>
    <row r="667" spans="3:6" ht="13.5" thickBot="1" x14ac:dyDescent="0.25">
      <c r="C667" s="102"/>
      <c r="D667" s="102"/>
      <c r="E667" s="102"/>
      <c r="F667" s="105"/>
    </row>
    <row r="668" spans="3:6" ht="13.5" thickBot="1" x14ac:dyDescent="0.25">
      <c r="C668" s="102"/>
      <c r="D668" s="102"/>
      <c r="E668" s="102"/>
      <c r="F668" s="105"/>
    </row>
    <row r="669" spans="3:6" ht="13.5" thickBot="1" x14ac:dyDescent="0.25">
      <c r="C669" s="102"/>
      <c r="D669" s="102"/>
      <c r="E669" s="102"/>
      <c r="F669" s="105"/>
    </row>
    <row r="670" spans="3:6" ht="13.5" thickBot="1" x14ac:dyDescent="0.25">
      <c r="C670" s="102"/>
      <c r="D670" s="102"/>
      <c r="E670" s="102"/>
      <c r="F670" s="105"/>
    </row>
    <row r="671" spans="3:6" ht="13.5" thickBot="1" x14ac:dyDescent="0.25">
      <c r="C671" s="102"/>
      <c r="D671" s="102"/>
      <c r="E671" s="102"/>
      <c r="F671" s="105"/>
    </row>
    <row r="672" spans="3:6" ht="13.5" thickBot="1" x14ac:dyDescent="0.25">
      <c r="C672" s="102"/>
      <c r="D672" s="102"/>
      <c r="E672" s="102"/>
      <c r="F672" s="105"/>
    </row>
    <row r="673" spans="3:6" ht="13.5" thickBot="1" x14ac:dyDescent="0.25">
      <c r="C673" s="102"/>
      <c r="D673" s="102"/>
      <c r="E673" s="102"/>
      <c r="F673" s="105"/>
    </row>
    <row r="674" spans="3:6" ht="13.5" thickBot="1" x14ac:dyDescent="0.25">
      <c r="C674" s="102"/>
      <c r="D674" s="102"/>
      <c r="E674" s="102"/>
      <c r="F674" s="105"/>
    </row>
    <row r="675" spans="3:6" ht="13.5" thickBot="1" x14ac:dyDescent="0.25">
      <c r="C675" s="102"/>
      <c r="D675" s="102"/>
      <c r="E675" s="102"/>
      <c r="F675" s="105"/>
    </row>
    <row r="676" spans="3:6" ht="13.5" thickBot="1" x14ac:dyDescent="0.25">
      <c r="C676" s="102"/>
      <c r="D676" s="102"/>
      <c r="E676" s="102"/>
      <c r="F676" s="105"/>
    </row>
    <row r="677" spans="3:6" ht="13.5" thickBot="1" x14ac:dyDescent="0.25">
      <c r="C677" s="102"/>
      <c r="D677" s="102"/>
      <c r="E677" s="102"/>
      <c r="F677" s="105"/>
    </row>
    <row r="678" spans="3:6" ht="13.5" thickBot="1" x14ac:dyDescent="0.25">
      <c r="C678" s="102"/>
      <c r="D678" s="102"/>
      <c r="E678" s="102"/>
      <c r="F678" s="105"/>
    </row>
    <row r="679" spans="3:6" ht="13.5" thickBot="1" x14ac:dyDescent="0.25">
      <c r="C679" s="102"/>
      <c r="D679" s="102"/>
      <c r="E679" s="102"/>
      <c r="F679" s="105"/>
    </row>
    <row r="680" spans="3:6" ht="13.5" thickBot="1" x14ac:dyDescent="0.25">
      <c r="C680" s="102"/>
      <c r="D680" s="102"/>
      <c r="E680" s="102"/>
      <c r="F680" s="105"/>
    </row>
    <row r="681" spans="3:6" ht="13.5" thickBot="1" x14ac:dyDescent="0.25">
      <c r="C681" s="102"/>
      <c r="D681" s="102"/>
      <c r="E681" s="102"/>
      <c r="F681" s="105"/>
    </row>
    <row r="682" spans="3:6" ht="13.5" thickBot="1" x14ac:dyDescent="0.25">
      <c r="C682" s="102"/>
      <c r="D682" s="102"/>
      <c r="E682" s="102"/>
      <c r="F682" s="105"/>
    </row>
    <row r="683" spans="3:6" ht="13.5" thickBot="1" x14ac:dyDescent="0.25">
      <c r="C683" s="102"/>
      <c r="D683" s="102"/>
      <c r="E683" s="102"/>
      <c r="F683" s="105"/>
    </row>
    <row r="684" spans="3:6" ht="13.5" thickBot="1" x14ac:dyDescent="0.25">
      <c r="C684" s="102"/>
      <c r="D684" s="102"/>
      <c r="E684" s="102"/>
      <c r="F684" s="105"/>
    </row>
    <row r="685" spans="3:6" ht="13.5" thickBot="1" x14ac:dyDescent="0.25">
      <c r="C685" s="102"/>
      <c r="D685" s="102"/>
      <c r="E685" s="102"/>
      <c r="F685" s="105"/>
    </row>
    <row r="686" spans="3:6" ht="13.5" thickBot="1" x14ac:dyDescent="0.25">
      <c r="C686" s="102"/>
      <c r="D686" s="102"/>
      <c r="E686" s="102"/>
      <c r="F686" s="105"/>
    </row>
    <row r="687" spans="3:6" ht="13.5" thickBot="1" x14ac:dyDescent="0.25">
      <c r="C687" s="102"/>
      <c r="D687" s="102"/>
      <c r="E687" s="102"/>
      <c r="F687" s="105"/>
    </row>
    <row r="688" spans="3:6" ht="13.5" thickBot="1" x14ac:dyDescent="0.25">
      <c r="C688" s="102"/>
      <c r="D688" s="102"/>
      <c r="E688" s="102"/>
      <c r="F688" s="105"/>
    </row>
    <row r="689" spans="3:6" ht="13.5" thickBot="1" x14ac:dyDescent="0.25">
      <c r="C689" s="102"/>
      <c r="D689" s="102"/>
      <c r="E689" s="102"/>
      <c r="F689" s="105"/>
    </row>
    <row r="690" spans="3:6" ht="13.5" thickBot="1" x14ac:dyDescent="0.25">
      <c r="C690" s="102"/>
      <c r="D690" s="102"/>
      <c r="E690" s="102"/>
      <c r="F690" s="105"/>
    </row>
    <row r="691" spans="3:6" ht="13.5" thickBot="1" x14ac:dyDescent="0.25">
      <c r="C691" s="102"/>
      <c r="D691" s="102"/>
      <c r="E691" s="102"/>
      <c r="F691" s="105"/>
    </row>
    <row r="692" spans="3:6" ht="13.5" thickBot="1" x14ac:dyDescent="0.25">
      <c r="C692" s="102"/>
      <c r="D692" s="102"/>
      <c r="E692" s="102"/>
      <c r="F692" s="105"/>
    </row>
    <row r="693" spans="3:6" ht="13.5" thickBot="1" x14ac:dyDescent="0.25">
      <c r="C693" s="102"/>
      <c r="D693" s="102"/>
      <c r="E693" s="102"/>
      <c r="F693" s="105"/>
    </row>
    <row r="694" spans="3:6" ht="13.5" thickBot="1" x14ac:dyDescent="0.25">
      <c r="C694" s="102"/>
      <c r="D694" s="102"/>
      <c r="E694" s="102"/>
      <c r="F694" s="105"/>
    </row>
    <row r="695" spans="3:6" ht="13.5" thickBot="1" x14ac:dyDescent="0.25">
      <c r="C695" s="102"/>
      <c r="D695" s="102"/>
      <c r="E695" s="102"/>
      <c r="F695" s="105"/>
    </row>
    <row r="696" spans="3:6" ht="13.5" thickBot="1" x14ac:dyDescent="0.25">
      <c r="C696" s="102"/>
      <c r="D696" s="102"/>
      <c r="E696" s="102"/>
      <c r="F696" s="105"/>
    </row>
    <row r="697" spans="3:6" ht="13.5" thickBot="1" x14ac:dyDescent="0.25">
      <c r="C697" s="102"/>
      <c r="D697" s="102"/>
      <c r="E697" s="102"/>
      <c r="F697" s="105"/>
    </row>
    <row r="698" spans="3:6" ht="13.5" thickBot="1" x14ac:dyDescent="0.25">
      <c r="C698" s="102"/>
      <c r="D698" s="102"/>
      <c r="E698" s="102"/>
      <c r="F698" s="105"/>
    </row>
    <row r="699" spans="3:6" ht="13.5" thickBot="1" x14ac:dyDescent="0.25">
      <c r="C699" s="102"/>
      <c r="D699" s="102"/>
      <c r="E699" s="102"/>
      <c r="F699" s="105"/>
    </row>
    <row r="700" spans="3:6" ht="13.5" thickBot="1" x14ac:dyDescent="0.25">
      <c r="C700" s="102"/>
      <c r="D700" s="102"/>
      <c r="E700" s="102"/>
      <c r="F700" s="105"/>
    </row>
    <row r="701" spans="3:6" ht="13.5" thickBot="1" x14ac:dyDescent="0.25">
      <c r="C701" s="102"/>
      <c r="D701" s="102"/>
      <c r="E701" s="102"/>
      <c r="F701" s="105"/>
    </row>
    <row r="702" spans="3:6" ht="13.5" thickBot="1" x14ac:dyDescent="0.25">
      <c r="C702" s="102"/>
      <c r="D702" s="102"/>
      <c r="E702" s="102"/>
      <c r="F702" s="105"/>
    </row>
    <row r="703" spans="3:6" ht="13.5" thickBot="1" x14ac:dyDescent="0.25">
      <c r="C703" s="102"/>
      <c r="D703" s="102"/>
      <c r="E703" s="102"/>
      <c r="F703" s="105"/>
    </row>
    <row r="704" spans="3:6" ht="13.5" thickBot="1" x14ac:dyDescent="0.25">
      <c r="C704" s="102"/>
      <c r="D704" s="102"/>
      <c r="E704" s="102"/>
      <c r="F704" s="105"/>
    </row>
    <row r="705" spans="3:6" ht="13.5" thickBot="1" x14ac:dyDescent="0.25">
      <c r="C705" s="102"/>
      <c r="D705" s="102"/>
      <c r="E705" s="102"/>
      <c r="F705" s="105"/>
    </row>
    <row r="706" spans="3:6" ht="13.5" thickBot="1" x14ac:dyDescent="0.25">
      <c r="C706" s="102"/>
      <c r="D706" s="102"/>
      <c r="E706" s="102"/>
      <c r="F706" s="105"/>
    </row>
    <row r="707" spans="3:6" ht="13.5" thickBot="1" x14ac:dyDescent="0.25">
      <c r="C707" s="102"/>
      <c r="D707" s="102"/>
      <c r="E707" s="102"/>
      <c r="F707" s="105"/>
    </row>
    <row r="708" spans="3:6" ht="13.5" thickBot="1" x14ac:dyDescent="0.25">
      <c r="C708" s="102"/>
      <c r="D708" s="102"/>
      <c r="E708" s="102"/>
      <c r="F708" s="105"/>
    </row>
    <row r="709" spans="3:6" ht="13.5" thickBot="1" x14ac:dyDescent="0.25">
      <c r="C709" s="102"/>
      <c r="D709" s="102"/>
      <c r="E709" s="102"/>
      <c r="F709" s="105"/>
    </row>
    <row r="710" spans="3:6" ht="13.5" thickBot="1" x14ac:dyDescent="0.25">
      <c r="C710" s="102"/>
      <c r="D710" s="102"/>
      <c r="E710" s="102"/>
      <c r="F710" s="105"/>
    </row>
    <row r="711" spans="3:6" ht="13.5" thickBot="1" x14ac:dyDescent="0.25">
      <c r="C711" s="102"/>
      <c r="D711" s="102"/>
      <c r="E711" s="102"/>
      <c r="F711" s="105"/>
    </row>
    <row r="712" spans="3:6" ht="13.5" thickBot="1" x14ac:dyDescent="0.25">
      <c r="C712" s="102"/>
      <c r="D712" s="102"/>
      <c r="E712" s="102"/>
      <c r="F712" s="105"/>
    </row>
    <row r="713" spans="3:6" ht="13.5" thickBot="1" x14ac:dyDescent="0.25">
      <c r="C713" s="102"/>
      <c r="D713" s="102"/>
      <c r="E713" s="102"/>
      <c r="F713" s="105"/>
    </row>
    <row r="714" spans="3:6" ht="13.5" thickBot="1" x14ac:dyDescent="0.25">
      <c r="C714" s="102"/>
      <c r="D714" s="102"/>
      <c r="E714" s="102"/>
      <c r="F714" s="105"/>
    </row>
    <row r="715" spans="3:6" ht="13.5" thickBot="1" x14ac:dyDescent="0.25">
      <c r="C715" s="102"/>
      <c r="D715" s="102"/>
      <c r="E715" s="102"/>
      <c r="F715" s="105"/>
    </row>
    <row r="716" spans="3:6" ht="13.5" thickBot="1" x14ac:dyDescent="0.25">
      <c r="C716" s="102"/>
      <c r="D716" s="102"/>
      <c r="E716" s="102"/>
      <c r="F716" s="105"/>
    </row>
    <row r="717" spans="3:6" ht="13.5" thickBot="1" x14ac:dyDescent="0.25">
      <c r="C717" s="102"/>
      <c r="D717" s="102"/>
      <c r="E717" s="102"/>
      <c r="F717" s="105"/>
    </row>
    <row r="718" spans="3:6" ht="13.5" thickBot="1" x14ac:dyDescent="0.25">
      <c r="C718" s="102"/>
      <c r="D718" s="102"/>
      <c r="E718" s="102"/>
      <c r="F718" s="105"/>
    </row>
    <row r="719" spans="3:6" ht="13.5" thickBot="1" x14ac:dyDescent="0.25">
      <c r="C719" s="102"/>
      <c r="D719" s="102"/>
      <c r="E719" s="102"/>
      <c r="F719" s="105"/>
    </row>
    <row r="720" spans="3:6" ht="13.5" thickBot="1" x14ac:dyDescent="0.25">
      <c r="C720" s="102"/>
      <c r="D720" s="102"/>
      <c r="E720" s="102"/>
      <c r="F720" s="105"/>
    </row>
    <row r="721" spans="3:6" ht="13.5" thickBot="1" x14ac:dyDescent="0.25">
      <c r="C721" s="102"/>
      <c r="D721" s="102"/>
      <c r="E721" s="102"/>
      <c r="F721" s="105"/>
    </row>
    <row r="722" spans="3:6" ht="13.5" thickBot="1" x14ac:dyDescent="0.25">
      <c r="C722" s="102"/>
      <c r="D722" s="102"/>
      <c r="E722" s="102"/>
      <c r="F722" s="105"/>
    </row>
    <row r="723" spans="3:6" ht="13.5" thickBot="1" x14ac:dyDescent="0.25">
      <c r="C723" s="102"/>
      <c r="D723" s="102"/>
      <c r="E723" s="102"/>
      <c r="F723" s="105"/>
    </row>
    <row r="724" spans="3:6" ht="13.5" thickBot="1" x14ac:dyDescent="0.25">
      <c r="C724" s="102"/>
      <c r="D724" s="102"/>
      <c r="E724" s="102"/>
      <c r="F724" s="105"/>
    </row>
    <row r="725" spans="3:6" ht="13.5" thickBot="1" x14ac:dyDescent="0.25">
      <c r="C725" s="102"/>
      <c r="D725" s="102"/>
      <c r="E725" s="102"/>
      <c r="F725" s="105"/>
    </row>
    <row r="726" spans="3:6" ht="13.5" thickBot="1" x14ac:dyDescent="0.25">
      <c r="C726" s="102"/>
      <c r="D726" s="102"/>
      <c r="E726" s="102"/>
      <c r="F726" s="105"/>
    </row>
    <row r="727" spans="3:6" ht="13.5" thickBot="1" x14ac:dyDescent="0.25">
      <c r="C727" s="102"/>
      <c r="D727" s="102"/>
      <c r="E727" s="102"/>
      <c r="F727" s="105"/>
    </row>
    <row r="728" spans="3:6" ht="13.5" thickBot="1" x14ac:dyDescent="0.25">
      <c r="C728" s="102"/>
      <c r="D728" s="102"/>
      <c r="E728" s="102"/>
      <c r="F728" s="105"/>
    </row>
    <row r="729" spans="3:6" ht="13.5" thickBot="1" x14ac:dyDescent="0.25">
      <c r="C729" s="102"/>
      <c r="D729" s="102"/>
      <c r="E729" s="102"/>
      <c r="F729" s="105"/>
    </row>
    <row r="730" spans="3:6" ht="13.5" thickBot="1" x14ac:dyDescent="0.25">
      <c r="C730" s="102"/>
      <c r="D730" s="102"/>
      <c r="E730" s="102"/>
      <c r="F730" s="105"/>
    </row>
    <row r="731" spans="3:6" ht="13.5" thickBot="1" x14ac:dyDescent="0.25">
      <c r="C731" s="102"/>
      <c r="D731" s="102"/>
      <c r="E731" s="102"/>
      <c r="F731" s="105"/>
    </row>
    <row r="732" spans="3:6" ht="13.5" thickBot="1" x14ac:dyDescent="0.25">
      <c r="C732" s="102"/>
      <c r="D732" s="102"/>
      <c r="E732" s="102"/>
      <c r="F732" s="105"/>
    </row>
    <row r="733" spans="3:6" ht="13.5" thickBot="1" x14ac:dyDescent="0.25">
      <c r="C733" s="102"/>
      <c r="D733" s="102"/>
      <c r="E733" s="102"/>
      <c r="F733" s="105"/>
    </row>
    <row r="734" spans="3:6" ht="13.5" thickBot="1" x14ac:dyDescent="0.25">
      <c r="C734" s="102"/>
      <c r="D734" s="102"/>
      <c r="E734" s="102"/>
      <c r="F734" s="105"/>
    </row>
    <row r="735" spans="3:6" ht="13.5" thickBot="1" x14ac:dyDescent="0.25">
      <c r="C735" s="102"/>
      <c r="D735" s="102"/>
      <c r="E735" s="102"/>
      <c r="F735" s="105"/>
    </row>
    <row r="736" spans="3:6" ht="13.5" thickBot="1" x14ac:dyDescent="0.25">
      <c r="C736" s="102"/>
      <c r="D736" s="102"/>
      <c r="E736" s="102"/>
      <c r="F736" s="105"/>
    </row>
    <row r="737" spans="3:6" ht="13.5" thickBot="1" x14ac:dyDescent="0.25">
      <c r="C737" s="102"/>
      <c r="D737" s="102"/>
      <c r="E737" s="102"/>
      <c r="F737" s="105"/>
    </row>
    <row r="738" spans="3:6" ht="13.5" thickBot="1" x14ac:dyDescent="0.25">
      <c r="C738" s="102"/>
      <c r="D738" s="102"/>
      <c r="E738" s="102"/>
      <c r="F738" s="105"/>
    </row>
    <row r="739" spans="3:6" ht="13.5" thickBot="1" x14ac:dyDescent="0.25">
      <c r="C739" s="102"/>
      <c r="D739" s="102"/>
      <c r="E739" s="102"/>
      <c r="F739" s="105"/>
    </row>
    <row r="740" spans="3:6" ht="13.5" thickBot="1" x14ac:dyDescent="0.25">
      <c r="C740" s="102"/>
      <c r="D740" s="102"/>
      <c r="E740" s="102"/>
      <c r="F740" s="105"/>
    </row>
    <row r="741" spans="3:6" ht="13.5" thickBot="1" x14ac:dyDescent="0.25">
      <c r="C741" s="102"/>
      <c r="D741" s="102"/>
      <c r="E741" s="102"/>
      <c r="F741" s="105"/>
    </row>
    <row r="742" spans="3:6" ht="13.5" thickBot="1" x14ac:dyDescent="0.25">
      <c r="C742" s="102"/>
      <c r="D742" s="102"/>
      <c r="E742" s="102"/>
      <c r="F742" s="105"/>
    </row>
    <row r="743" spans="3:6" ht="13.5" thickBot="1" x14ac:dyDescent="0.25">
      <c r="C743" s="102"/>
      <c r="D743" s="102"/>
      <c r="E743" s="102"/>
      <c r="F743" s="105"/>
    </row>
    <row r="744" spans="3:6" ht="13.5" thickBot="1" x14ac:dyDescent="0.25">
      <c r="C744" s="102"/>
      <c r="D744" s="102"/>
      <c r="E744" s="102"/>
      <c r="F744" s="105"/>
    </row>
    <row r="745" spans="3:6" ht="13.5" thickBot="1" x14ac:dyDescent="0.25">
      <c r="C745" s="102"/>
      <c r="D745" s="102"/>
      <c r="E745" s="102"/>
      <c r="F745" s="105"/>
    </row>
    <row r="746" spans="3:6" ht="13.5" thickBot="1" x14ac:dyDescent="0.25">
      <c r="C746" s="102"/>
      <c r="D746" s="102"/>
      <c r="E746" s="102"/>
      <c r="F746" s="105"/>
    </row>
    <row r="747" spans="3:6" ht="13.5" thickBot="1" x14ac:dyDescent="0.25">
      <c r="C747" s="102"/>
      <c r="D747" s="102"/>
      <c r="E747" s="102"/>
      <c r="F747" s="105"/>
    </row>
    <row r="748" spans="3:6" ht="13.5" thickBot="1" x14ac:dyDescent="0.25">
      <c r="C748" s="102"/>
      <c r="D748" s="102"/>
      <c r="E748" s="102"/>
      <c r="F748" s="105"/>
    </row>
    <row r="749" spans="3:6" ht="13.5" thickBot="1" x14ac:dyDescent="0.25">
      <c r="C749" s="102"/>
      <c r="D749" s="102"/>
      <c r="E749" s="102"/>
      <c r="F749" s="105"/>
    </row>
    <row r="750" spans="3:6" ht="13.5" thickBot="1" x14ac:dyDescent="0.25">
      <c r="C750" s="102"/>
      <c r="D750" s="102"/>
      <c r="E750" s="102"/>
      <c r="F750" s="105"/>
    </row>
    <row r="751" spans="3:6" ht="13.5" thickBot="1" x14ac:dyDescent="0.25">
      <c r="C751" s="102"/>
      <c r="D751" s="102"/>
      <c r="E751" s="102"/>
      <c r="F751" s="105"/>
    </row>
    <row r="752" spans="3:6" ht="13.5" thickBot="1" x14ac:dyDescent="0.25">
      <c r="C752" s="102"/>
      <c r="D752" s="102"/>
      <c r="E752" s="102"/>
      <c r="F752" s="105"/>
    </row>
    <row r="753" spans="3:6" ht="13.5" thickBot="1" x14ac:dyDescent="0.25">
      <c r="C753" s="102"/>
      <c r="D753" s="102"/>
      <c r="E753" s="102"/>
      <c r="F753" s="105"/>
    </row>
    <row r="754" spans="3:6" ht="13.5" thickBot="1" x14ac:dyDescent="0.25">
      <c r="C754" s="102"/>
      <c r="D754" s="102"/>
      <c r="E754" s="102"/>
      <c r="F754" s="105"/>
    </row>
    <row r="755" spans="3:6" ht="13.5" thickBot="1" x14ac:dyDescent="0.25">
      <c r="C755" s="102"/>
      <c r="D755" s="102"/>
      <c r="E755" s="102"/>
      <c r="F755" s="105"/>
    </row>
    <row r="756" spans="3:6" ht="13.5" thickBot="1" x14ac:dyDescent="0.25">
      <c r="C756" s="102"/>
      <c r="D756" s="102"/>
      <c r="E756" s="102"/>
      <c r="F756" s="105"/>
    </row>
    <row r="757" spans="3:6" ht="13.5" thickBot="1" x14ac:dyDescent="0.25">
      <c r="C757" s="102"/>
      <c r="D757" s="102"/>
      <c r="E757" s="102"/>
      <c r="F757" s="105"/>
    </row>
    <row r="758" spans="3:6" ht="13.5" thickBot="1" x14ac:dyDescent="0.25">
      <c r="C758" s="102"/>
      <c r="D758" s="102"/>
      <c r="E758" s="102"/>
      <c r="F758" s="105"/>
    </row>
    <row r="759" spans="3:6" ht="13.5" thickBot="1" x14ac:dyDescent="0.25">
      <c r="C759" s="102"/>
      <c r="D759" s="102"/>
      <c r="E759" s="102"/>
      <c r="F759" s="105"/>
    </row>
    <row r="760" spans="3:6" ht="13.5" thickBot="1" x14ac:dyDescent="0.25">
      <c r="C760" s="102"/>
      <c r="D760" s="102"/>
      <c r="E760" s="102"/>
      <c r="F760" s="105"/>
    </row>
    <row r="761" spans="3:6" ht="13.5" thickBot="1" x14ac:dyDescent="0.25">
      <c r="C761" s="102"/>
      <c r="D761" s="102"/>
      <c r="E761" s="102"/>
      <c r="F761" s="105"/>
    </row>
    <row r="762" spans="3:6" ht="13.5" thickBot="1" x14ac:dyDescent="0.25">
      <c r="C762" s="102"/>
      <c r="D762" s="102"/>
      <c r="E762" s="102"/>
      <c r="F762" s="105"/>
    </row>
    <row r="763" spans="3:6" ht="13.5" thickBot="1" x14ac:dyDescent="0.25">
      <c r="C763" s="102"/>
      <c r="D763" s="102"/>
      <c r="E763" s="102"/>
      <c r="F763" s="105"/>
    </row>
    <row r="764" spans="3:6" ht="13.5" thickBot="1" x14ac:dyDescent="0.25">
      <c r="C764" s="102"/>
      <c r="D764" s="102"/>
      <c r="E764" s="102"/>
      <c r="F764" s="105"/>
    </row>
    <row r="765" spans="3:6" ht="13.5" thickBot="1" x14ac:dyDescent="0.25">
      <c r="C765" s="102"/>
      <c r="D765" s="102"/>
      <c r="E765" s="102"/>
      <c r="F765" s="105"/>
    </row>
    <row r="766" spans="3:6" ht="13.5" thickBot="1" x14ac:dyDescent="0.25">
      <c r="C766" s="102"/>
      <c r="D766" s="102"/>
      <c r="E766" s="102"/>
      <c r="F766" s="105"/>
    </row>
    <row r="767" spans="3:6" ht="13.5" thickBot="1" x14ac:dyDescent="0.25">
      <c r="C767" s="102"/>
      <c r="D767" s="102"/>
      <c r="E767" s="102"/>
      <c r="F767" s="105"/>
    </row>
    <row r="768" spans="3:6" ht="13.5" thickBot="1" x14ac:dyDescent="0.25">
      <c r="C768" s="102"/>
      <c r="D768" s="102"/>
      <c r="E768" s="102"/>
      <c r="F768" s="105"/>
    </row>
    <row r="769" spans="3:6" ht="13.5" thickBot="1" x14ac:dyDescent="0.25">
      <c r="C769" s="102"/>
      <c r="D769" s="102"/>
      <c r="E769" s="102"/>
      <c r="F769" s="105"/>
    </row>
    <row r="770" spans="3:6" ht="13.5" thickBot="1" x14ac:dyDescent="0.25">
      <c r="C770" s="102"/>
      <c r="D770" s="102"/>
      <c r="E770" s="102"/>
      <c r="F770" s="105"/>
    </row>
    <row r="771" spans="3:6" ht="13.5" thickBot="1" x14ac:dyDescent="0.25">
      <c r="C771" s="102"/>
      <c r="D771" s="102"/>
      <c r="E771" s="102"/>
      <c r="F771" s="105"/>
    </row>
    <row r="772" spans="3:6" ht="13.5" thickBot="1" x14ac:dyDescent="0.25">
      <c r="C772" s="102"/>
      <c r="D772" s="102"/>
      <c r="E772" s="102"/>
      <c r="F772" s="105"/>
    </row>
    <row r="773" spans="3:6" ht="13.5" thickBot="1" x14ac:dyDescent="0.25">
      <c r="C773" s="102"/>
      <c r="D773" s="102"/>
      <c r="E773" s="102"/>
      <c r="F773" s="105"/>
    </row>
    <row r="774" spans="3:6" ht="13.5" thickBot="1" x14ac:dyDescent="0.25">
      <c r="C774" s="102"/>
      <c r="D774" s="102"/>
      <c r="E774" s="102"/>
      <c r="F774" s="105"/>
    </row>
    <row r="775" spans="3:6" ht="13.5" thickBot="1" x14ac:dyDescent="0.25">
      <c r="C775" s="102"/>
      <c r="D775" s="102"/>
      <c r="E775" s="102"/>
      <c r="F775" s="105"/>
    </row>
    <row r="776" spans="3:6" ht="13.5" thickBot="1" x14ac:dyDescent="0.25">
      <c r="C776" s="102"/>
      <c r="D776" s="102"/>
      <c r="E776" s="102"/>
      <c r="F776" s="105"/>
    </row>
    <row r="777" spans="3:6" ht="13.5" thickBot="1" x14ac:dyDescent="0.25">
      <c r="C777" s="102"/>
      <c r="D777" s="102"/>
      <c r="E777" s="102"/>
      <c r="F777" s="105"/>
    </row>
    <row r="778" spans="3:6" ht="13.5" thickBot="1" x14ac:dyDescent="0.25">
      <c r="C778" s="102"/>
      <c r="D778" s="102"/>
      <c r="E778" s="102"/>
      <c r="F778" s="105"/>
    </row>
    <row r="779" spans="3:6" ht="13.5" thickBot="1" x14ac:dyDescent="0.25">
      <c r="C779" s="102"/>
      <c r="D779" s="102"/>
      <c r="E779" s="102"/>
      <c r="F779" s="105"/>
    </row>
    <row r="780" spans="3:6" ht="13.5" thickBot="1" x14ac:dyDescent="0.25">
      <c r="C780" s="102"/>
      <c r="D780" s="102"/>
      <c r="E780" s="102"/>
      <c r="F780" s="105"/>
    </row>
    <row r="781" spans="3:6" ht="13.5" thickBot="1" x14ac:dyDescent="0.25">
      <c r="C781" s="102"/>
      <c r="D781" s="102"/>
      <c r="E781" s="102"/>
      <c r="F781" s="105"/>
    </row>
    <row r="782" spans="3:6" ht="13.5" thickBot="1" x14ac:dyDescent="0.25">
      <c r="C782" s="102"/>
      <c r="D782" s="102"/>
      <c r="E782" s="102"/>
      <c r="F782" s="105"/>
    </row>
    <row r="783" spans="3:6" ht="13.5" thickBot="1" x14ac:dyDescent="0.25">
      <c r="C783" s="102"/>
      <c r="D783" s="102"/>
      <c r="E783" s="102"/>
      <c r="F783" s="105"/>
    </row>
    <row r="784" spans="3:6" ht="13.5" thickBot="1" x14ac:dyDescent="0.25">
      <c r="C784" s="102"/>
      <c r="D784" s="102"/>
      <c r="E784" s="102"/>
      <c r="F784" s="105"/>
    </row>
    <row r="785" spans="3:6" ht="13.5" thickBot="1" x14ac:dyDescent="0.25">
      <c r="C785" s="102"/>
      <c r="D785" s="102"/>
      <c r="E785" s="102"/>
      <c r="F785" s="105"/>
    </row>
    <row r="786" spans="3:6" ht="13.5" thickBot="1" x14ac:dyDescent="0.25">
      <c r="C786" s="102"/>
      <c r="D786" s="102"/>
      <c r="E786" s="102"/>
      <c r="F786" s="105"/>
    </row>
    <row r="787" spans="3:6" ht="13.5" thickBot="1" x14ac:dyDescent="0.25">
      <c r="C787" s="102"/>
      <c r="D787" s="102"/>
      <c r="E787" s="102"/>
      <c r="F787" s="105"/>
    </row>
    <row r="788" spans="3:6" ht="13.5" thickBot="1" x14ac:dyDescent="0.25">
      <c r="C788" s="102"/>
      <c r="D788" s="102"/>
      <c r="E788" s="102"/>
      <c r="F788" s="105"/>
    </row>
    <row r="789" spans="3:6" ht="13.5" thickBot="1" x14ac:dyDescent="0.25">
      <c r="C789" s="102"/>
      <c r="D789" s="102"/>
      <c r="E789" s="102"/>
      <c r="F789" s="105"/>
    </row>
    <row r="790" spans="3:6" ht="13.5" thickBot="1" x14ac:dyDescent="0.25">
      <c r="C790" s="102"/>
      <c r="D790" s="102"/>
      <c r="E790" s="102"/>
      <c r="F790" s="105"/>
    </row>
    <row r="791" spans="3:6" ht="13.5" thickBot="1" x14ac:dyDescent="0.25">
      <c r="C791" s="102"/>
      <c r="D791" s="102"/>
      <c r="E791" s="102"/>
      <c r="F791" s="105"/>
    </row>
    <row r="792" spans="3:6" ht="13.5" thickBot="1" x14ac:dyDescent="0.25">
      <c r="C792" s="102"/>
      <c r="D792" s="102"/>
      <c r="E792" s="102"/>
      <c r="F792" s="105"/>
    </row>
    <row r="793" spans="3:6" ht="13.5" thickBot="1" x14ac:dyDescent="0.25">
      <c r="C793" s="102"/>
      <c r="D793" s="102"/>
      <c r="E793" s="102"/>
      <c r="F793" s="105"/>
    </row>
    <row r="794" spans="3:6" ht="13.5" thickBot="1" x14ac:dyDescent="0.25">
      <c r="C794" s="102"/>
      <c r="D794" s="102"/>
      <c r="E794" s="102"/>
      <c r="F794" s="105"/>
    </row>
    <row r="795" spans="3:6" ht="13.5" thickBot="1" x14ac:dyDescent="0.25">
      <c r="C795" s="102"/>
      <c r="D795" s="102"/>
      <c r="E795" s="102"/>
      <c r="F795" s="105"/>
    </row>
    <row r="796" spans="3:6" ht="13.5" thickBot="1" x14ac:dyDescent="0.25">
      <c r="C796" s="102"/>
      <c r="D796" s="102"/>
      <c r="E796" s="102"/>
      <c r="F796" s="105"/>
    </row>
    <row r="797" spans="3:6" ht="13.5" thickBot="1" x14ac:dyDescent="0.25">
      <c r="C797" s="102"/>
      <c r="D797" s="102"/>
      <c r="E797" s="102"/>
      <c r="F797" s="105"/>
    </row>
    <row r="798" spans="3:6" ht="13.5" thickBot="1" x14ac:dyDescent="0.25">
      <c r="C798" s="102"/>
      <c r="D798" s="102"/>
      <c r="E798" s="102"/>
      <c r="F798" s="105"/>
    </row>
    <row r="799" spans="3:6" ht="13.5" thickBot="1" x14ac:dyDescent="0.25">
      <c r="C799" s="102"/>
      <c r="D799" s="102"/>
      <c r="E799" s="102"/>
      <c r="F799" s="105"/>
    </row>
    <row r="800" spans="3:6" ht="13.5" thickBot="1" x14ac:dyDescent="0.25">
      <c r="C800" s="102"/>
      <c r="D800" s="102"/>
      <c r="E800" s="102"/>
      <c r="F800" s="105"/>
    </row>
    <row r="801" spans="3:6" ht="13.5" thickBot="1" x14ac:dyDescent="0.25">
      <c r="C801" s="102"/>
      <c r="D801" s="102"/>
      <c r="E801" s="102"/>
      <c r="F801" s="105"/>
    </row>
    <row r="802" spans="3:6" ht="13.5" thickBot="1" x14ac:dyDescent="0.25">
      <c r="C802" s="102"/>
      <c r="D802" s="102"/>
      <c r="E802" s="102"/>
      <c r="F802" s="105"/>
    </row>
    <row r="803" spans="3:6" ht="13.5" thickBot="1" x14ac:dyDescent="0.25">
      <c r="C803" s="102"/>
      <c r="D803" s="102"/>
      <c r="E803" s="102"/>
      <c r="F803" s="105"/>
    </row>
    <row r="804" spans="3:6" ht="13.5" thickBot="1" x14ac:dyDescent="0.25">
      <c r="C804" s="102"/>
      <c r="D804" s="102"/>
      <c r="E804" s="102"/>
      <c r="F804" s="105"/>
    </row>
    <row r="805" spans="3:6" ht="13.5" thickBot="1" x14ac:dyDescent="0.25">
      <c r="C805" s="102"/>
      <c r="D805" s="102"/>
      <c r="E805" s="102"/>
      <c r="F805" s="105"/>
    </row>
    <row r="806" spans="3:6" ht="13.5" thickBot="1" x14ac:dyDescent="0.25">
      <c r="C806" s="102"/>
      <c r="D806" s="102"/>
      <c r="E806" s="102"/>
      <c r="F806" s="105"/>
    </row>
    <row r="807" spans="3:6" ht="13.5" thickBot="1" x14ac:dyDescent="0.25">
      <c r="C807" s="102"/>
      <c r="D807" s="102"/>
      <c r="E807" s="102"/>
      <c r="F807" s="105"/>
    </row>
    <row r="808" spans="3:6" ht="13.5" thickBot="1" x14ac:dyDescent="0.25">
      <c r="C808" s="102"/>
      <c r="D808" s="102"/>
      <c r="E808" s="102"/>
      <c r="F808" s="105"/>
    </row>
    <row r="809" spans="3:6" ht="13.5" thickBot="1" x14ac:dyDescent="0.25">
      <c r="C809" s="102"/>
      <c r="D809" s="102"/>
      <c r="E809" s="102"/>
      <c r="F809" s="105"/>
    </row>
    <row r="810" spans="3:6" ht="13.5" thickBot="1" x14ac:dyDescent="0.25">
      <c r="C810" s="102"/>
      <c r="D810" s="102"/>
      <c r="E810" s="102"/>
      <c r="F810" s="105"/>
    </row>
    <row r="811" spans="3:6" ht="13.5" thickBot="1" x14ac:dyDescent="0.25">
      <c r="C811" s="102"/>
      <c r="D811" s="102"/>
      <c r="E811" s="102"/>
      <c r="F811" s="105"/>
    </row>
    <row r="812" spans="3:6" ht="13.5" thickBot="1" x14ac:dyDescent="0.25">
      <c r="C812" s="102"/>
      <c r="D812" s="102"/>
      <c r="E812" s="102"/>
      <c r="F812" s="105"/>
    </row>
    <row r="813" spans="3:6" ht="13.5" thickBot="1" x14ac:dyDescent="0.25">
      <c r="C813" s="102"/>
      <c r="D813" s="102"/>
      <c r="E813" s="102"/>
      <c r="F813" s="105"/>
    </row>
    <row r="814" spans="3:6" ht="13.5" thickBot="1" x14ac:dyDescent="0.25">
      <c r="C814" s="102"/>
      <c r="D814" s="102"/>
      <c r="E814" s="102"/>
      <c r="F814" s="105"/>
    </row>
    <row r="815" spans="3:6" ht="13.5" thickBot="1" x14ac:dyDescent="0.25">
      <c r="C815" s="102"/>
      <c r="D815" s="102"/>
      <c r="E815" s="102"/>
      <c r="F815" s="105"/>
    </row>
    <row r="816" spans="3:6" ht="13.5" thickBot="1" x14ac:dyDescent="0.25">
      <c r="C816" s="102"/>
      <c r="D816" s="102"/>
      <c r="E816" s="102"/>
      <c r="F816" s="105"/>
    </row>
    <row r="817" spans="3:6" ht="13.5" thickBot="1" x14ac:dyDescent="0.25">
      <c r="C817" s="102"/>
      <c r="D817" s="102"/>
      <c r="E817" s="102"/>
      <c r="F817" s="105"/>
    </row>
    <row r="818" spans="3:6" ht="13.5" thickBot="1" x14ac:dyDescent="0.25">
      <c r="C818" s="102"/>
      <c r="D818" s="102"/>
      <c r="E818" s="102"/>
      <c r="F818" s="105"/>
    </row>
    <row r="819" spans="3:6" ht="13.5" thickBot="1" x14ac:dyDescent="0.25">
      <c r="C819" s="102"/>
      <c r="D819" s="102"/>
      <c r="E819" s="102"/>
      <c r="F819" s="105"/>
    </row>
    <row r="820" spans="3:6" ht="13.5" thickBot="1" x14ac:dyDescent="0.25">
      <c r="C820" s="102"/>
      <c r="D820" s="102"/>
      <c r="E820" s="102"/>
      <c r="F820" s="105"/>
    </row>
    <row r="821" spans="3:6" ht="13.5" thickBot="1" x14ac:dyDescent="0.25">
      <c r="C821" s="102"/>
      <c r="D821" s="102"/>
      <c r="E821" s="102"/>
      <c r="F821" s="105"/>
    </row>
    <row r="822" spans="3:6" ht="13.5" thickBot="1" x14ac:dyDescent="0.25">
      <c r="C822" s="102"/>
      <c r="D822" s="102"/>
      <c r="E822" s="102"/>
      <c r="F822" s="105"/>
    </row>
    <row r="823" spans="3:6" ht="13.5" thickBot="1" x14ac:dyDescent="0.25">
      <c r="C823" s="102"/>
      <c r="D823" s="102"/>
      <c r="E823" s="102"/>
      <c r="F823" s="105"/>
    </row>
    <row r="824" spans="3:6" ht="13.5" thickBot="1" x14ac:dyDescent="0.25">
      <c r="C824" s="102"/>
      <c r="D824" s="102"/>
      <c r="E824" s="102"/>
      <c r="F824" s="105"/>
    </row>
    <row r="825" spans="3:6" ht="13.5" thickBot="1" x14ac:dyDescent="0.25">
      <c r="C825" s="102"/>
      <c r="D825" s="102"/>
      <c r="E825" s="102"/>
      <c r="F825" s="105"/>
    </row>
    <row r="826" spans="3:6" ht="13.5" thickBot="1" x14ac:dyDescent="0.25">
      <c r="C826" s="102"/>
      <c r="D826" s="102"/>
      <c r="E826" s="102"/>
      <c r="F826" s="105"/>
    </row>
    <row r="827" spans="3:6" ht="13.5" thickBot="1" x14ac:dyDescent="0.25">
      <c r="C827" s="102"/>
      <c r="D827" s="102"/>
      <c r="E827" s="102"/>
      <c r="F827" s="105"/>
    </row>
    <row r="828" spans="3:6" ht="13.5" thickBot="1" x14ac:dyDescent="0.25">
      <c r="C828" s="102"/>
      <c r="D828" s="102"/>
      <c r="E828" s="102"/>
      <c r="F828" s="105"/>
    </row>
    <row r="829" spans="3:6" ht="13.5" thickBot="1" x14ac:dyDescent="0.25">
      <c r="C829" s="102"/>
      <c r="D829" s="102"/>
      <c r="E829" s="102"/>
      <c r="F829" s="105"/>
    </row>
    <row r="830" spans="3:6" ht="13.5" thickBot="1" x14ac:dyDescent="0.25">
      <c r="C830" s="102"/>
      <c r="D830" s="102"/>
      <c r="E830" s="102"/>
      <c r="F830" s="105"/>
    </row>
    <row r="831" spans="3:6" ht="13.5" thickBot="1" x14ac:dyDescent="0.25">
      <c r="C831" s="102"/>
      <c r="D831" s="102"/>
      <c r="E831" s="102"/>
      <c r="F831" s="105"/>
    </row>
    <row r="832" spans="3:6" ht="13.5" thickBot="1" x14ac:dyDescent="0.25">
      <c r="C832" s="102"/>
      <c r="D832" s="102"/>
      <c r="E832" s="102"/>
      <c r="F832" s="105"/>
    </row>
    <row r="833" spans="3:6" ht="13.5" thickBot="1" x14ac:dyDescent="0.25">
      <c r="C833" s="102"/>
      <c r="D833" s="102"/>
      <c r="E833" s="102"/>
      <c r="F833" s="105"/>
    </row>
    <row r="834" spans="3:6" ht="13.5" thickBot="1" x14ac:dyDescent="0.25">
      <c r="C834" s="102"/>
      <c r="D834" s="102"/>
      <c r="E834" s="102"/>
      <c r="F834" s="105"/>
    </row>
    <row r="835" spans="3:6" ht="13.5" thickBot="1" x14ac:dyDescent="0.25">
      <c r="C835" s="102"/>
      <c r="D835" s="102"/>
      <c r="E835" s="102"/>
      <c r="F835" s="105"/>
    </row>
    <row r="836" spans="3:6" ht="13.5" thickBot="1" x14ac:dyDescent="0.25">
      <c r="C836" s="102"/>
      <c r="D836" s="102"/>
      <c r="E836" s="102"/>
      <c r="F836" s="105"/>
    </row>
    <row r="837" spans="3:6" ht="13.5" thickBot="1" x14ac:dyDescent="0.25">
      <c r="C837" s="102"/>
      <c r="D837" s="102"/>
      <c r="E837" s="102"/>
      <c r="F837" s="105"/>
    </row>
    <row r="838" spans="3:6" ht="13.5" thickBot="1" x14ac:dyDescent="0.25">
      <c r="C838" s="102"/>
      <c r="D838" s="102"/>
      <c r="E838" s="102"/>
      <c r="F838" s="105"/>
    </row>
    <row r="839" spans="3:6" ht="13.5" thickBot="1" x14ac:dyDescent="0.25">
      <c r="C839" s="102"/>
      <c r="D839" s="102"/>
      <c r="E839" s="102"/>
      <c r="F839" s="105"/>
    </row>
    <row r="840" spans="3:6" ht="13.5" thickBot="1" x14ac:dyDescent="0.25">
      <c r="C840" s="102"/>
      <c r="D840" s="102"/>
      <c r="E840" s="102"/>
      <c r="F840" s="105"/>
    </row>
    <row r="841" spans="3:6" ht="13.5" thickBot="1" x14ac:dyDescent="0.25">
      <c r="C841" s="102"/>
      <c r="D841" s="102"/>
      <c r="E841" s="102"/>
      <c r="F841" s="105"/>
    </row>
    <row r="842" spans="3:6" ht="13.5" thickBot="1" x14ac:dyDescent="0.25">
      <c r="C842" s="102"/>
      <c r="D842" s="102"/>
      <c r="E842" s="102"/>
      <c r="F842" s="105"/>
    </row>
    <row r="843" spans="3:6" ht="13.5" thickBot="1" x14ac:dyDescent="0.25">
      <c r="C843" s="102"/>
      <c r="D843" s="102"/>
      <c r="E843" s="102"/>
      <c r="F843" s="105"/>
    </row>
    <row r="844" spans="3:6" ht="13.5" thickBot="1" x14ac:dyDescent="0.25">
      <c r="C844" s="102"/>
      <c r="D844" s="102"/>
      <c r="E844" s="102"/>
      <c r="F844" s="105"/>
    </row>
    <row r="845" spans="3:6" ht="13.5" thickBot="1" x14ac:dyDescent="0.25">
      <c r="C845" s="102"/>
      <c r="D845" s="102"/>
      <c r="E845" s="102"/>
      <c r="F845" s="105"/>
    </row>
    <row r="846" spans="3:6" ht="13.5" thickBot="1" x14ac:dyDescent="0.25">
      <c r="C846" s="102"/>
      <c r="D846" s="102"/>
      <c r="E846" s="102"/>
      <c r="F846" s="105"/>
    </row>
    <row r="847" spans="3:6" ht="13.5" thickBot="1" x14ac:dyDescent="0.25">
      <c r="C847" s="102"/>
      <c r="D847" s="102"/>
      <c r="E847" s="102"/>
      <c r="F847" s="105"/>
    </row>
    <row r="848" spans="3:6" ht="13.5" thickBot="1" x14ac:dyDescent="0.25">
      <c r="C848" s="102"/>
      <c r="D848" s="102"/>
      <c r="E848" s="102"/>
      <c r="F848" s="105"/>
    </row>
    <row r="849" spans="3:6" ht="13.5" thickBot="1" x14ac:dyDescent="0.25">
      <c r="C849" s="102"/>
      <c r="D849" s="102"/>
      <c r="E849" s="102"/>
      <c r="F849" s="105"/>
    </row>
    <row r="850" spans="3:6" ht="13.5" thickBot="1" x14ac:dyDescent="0.25">
      <c r="C850" s="102"/>
      <c r="D850" s="102"/>
      <c r="E850" s="102"/>
      <c r="F850" s="105"/>
    </row>
    <row r="851" spans="3:6" ht="13.5" thickBot="1" x14ac:dyDescent="0.25">
      <c r="C851" s="102"/>
      <c r="D851" s="102"/>
      <c r="E851" s="102"/>
      <c r="F851" s="105"/>
    </row>
    <row r="852" spans="3:6" ht="13.5" thickBot="1" x14ac:dyDescent="0.25">
      <c r="C852" s="102"/>
      <c r="D852" s="102"/>
      <c r="E852" s="102"/>
      <c r="F852" s="105"/>
    </row>
    <row r="853" spans="3:6" ht="13.5" thickBot="1" x14ac:dyDescent="0.25">
      <c r="C853" s="102"/>
      <c r="D853" s="102"/>
      <c r="E853" s="102"/>
      <c r="F853" s="105"/>
    </row>
    <row r="854" spans="3:6" ht="13.5" thickBot="1" x14ac:dyDescent="0.25">
      <c r="C854" s="102"/>
      <c r="D854" s="102"/>
      <c r="E854" s="102"/>
      <c r="F854" s="105"/>
    </row>
    <row r="855" spans="3:6" ht="13.5" thickBot="1" x14ac:dyDescent="0.25">
      <c r="C855" s="102"/>
      <c r="D855" s="102"/>
      <c r="E855" s="102"/>
      <c r="F855" s="105"/>
    </row>
    <row r="856" spans="3:6" ht="13.5" thickBot="1" x14ac:dyDescent="0.25">
      <c r="C856" s="102"/>
      <c r="D856" s="102"/>
      <c r="E856" s="102"/>
      <c r="F856" s="105"/>
    </row>
    <row r="857" spans="3:6" ht="13.5" thickBot="1" x14ac:dyDescent="0.25">
      <c r="C857" s="102"/>
      <c r="D857" s="102"/>
      <c r="E857" s="102"/>
      <c r="F857" s="105"/>
    </row>
    <row r="858" spans="3:6" ht="13.5" thickBot="1" x14ac:dyDescent="0.25">
      <c r="C858" s="102"/>
      <c r="D858" s="102"/>
      <c r="E858" s="102"/>
      <c r="F858" s="105"/>
    </row>
    <row r="859" spans="3:6" ht="13.5" thickBot="1" x14ac:dyDescent="0.25">
      <c r="C859" s="102"/>
      <c r="D859" s="102"/>
      <c r="E859" s="102"/>
      <c r="F859" s="105"/>
    </row>
    <row r="860" spans="3:6" ht="13.5" thickBot="1" x14ac:dyDescent="0.25">
      <c r="C860" s="102"/>
      <c r="D860" s="102"/>
      <c r="E860" s="102"/>
      <c r="F860" s="105"/>
    </row>
    <row r="861" spans="3:6" ht="13.5" thickBot="1" x14ac:dyDescent="0.25">
      <c r="C861" s="102"/>
      <c r="D861" s="102"/>
      <c r="E861" s="102"/>
      <c r="F861" s="105"/>
    </row>
    <row r="862" spans="3:6" ht="13.5" thickBot="1" x14ac:dyDescent="0.25">
      <c r="C862" s="102"/>
      <c r="D862" s="102"/>
      <c r="E862" s="102"/>
      <c r="F862" s="105"/>
    </row>
    <row r="863" spans="3:6" ht="13.5" thickBot="1" x14ac:dyDescent="0.25">
      <c r="C863" s="102"/>
      <c r="D863" s="102"/>
      <c r="E863" s="102"/>
      <c r="F863" s="105"/>
    </row>
    <row r="864" spans="3:6" ht="13.5" thickBot="1" x14ac:dyDescent="0.25">
      <c r="C864" s="102"/>
      <c r="D864" s="102"/>
      <c r="E864" s="102"/>
      <c r="F864" s="105"/>
    </row>
    <row r="865" spans="3:6" ht="13.5" thickBot="1" x14ac:dyDescent="0.25">
      <c r="C865" s="102"/>
      <c r="D865" s="102"/>
      <c r="E865" s="102"/>
      <c r="F865" s="105"/>
    </row>
    <row r="866" spans="3:6" ht="13.5" thickBot="1" x14ac:dyDescent="0.25">
      <c r="C866" s="102"/>
      <c r="D866" s="102"/>
      <c r="E866" s="102"/>
      <c r="F866" s="105"/>
    </row>
    <row r="867" spans="3:6" ht="13.5" thickBot="1" x14ac:dyDescent="0.25">
      <c r="C867" s="102"/>
      <c r="D867" s="102"/>
      <c r="E867" s="102"/>
      <c r="F867" s="105"/>
    </row>
    <row r="868" spans="3:6" ht="13.5" thickBot="1" x14ac:dyDescent="0.25">
      <c r="C868" s="102"/>
      <c r="D868" s="102"/>
      <c r="E868" s="102"/>
      <c r="F868" s="105"/>
    </row>
    <row r="869" spans="3:6" ht="13.5" thickBot="1" x14ac:dyDescent="0.25">
      <c r="C869" s="102"/>
      <c r="D869" s="102"/>
      <c r="E869" s="102"/>
      <c r="F869" s="105"/>
    </row>
    <row r="870" spans="3:6" ht="13.5" thickBot="1" x14ac:dyDescent="0.25">
      <c r="C870" s="102"/>
      <c r="D870" s="102"/>
      <c r="E870" s="102"/>
      <c r="F870" s="105"/>
    </row>
    <row r="871" spans="3:6" ht="13.5" thickBot="1" x14ac:dyDescent="0.25">
      <c r="C871" s="102"/>
      <c r="D871" s="102"/>
      <c r="E871" s="102"/>
      <c r="F871" s="105"/>
    </row>
    <row r="872" spans="3:6" ht="13.5" thickBot="1" x14ac:dyDescent="0.25">
      <c r="C872" s="102"/>
      <c r="D872" s="102"/>
      <c r="E872" s="102"/>
      <c r="F872" s="105"/>
    </row>
    <row r="873" spans="3:6" ht="13.5" thickBot="1" x14ac:dyDescent="0.25">
      <c r="C873" s="102"/>
      <c r="D873" s="102"/>
      <c r="E873" s="102"/>
      <c r="F873" s="105"/>
    </row>
    <row r="874" spans="3:6" ht="13.5" thickBot="1" x14ac:dyDescent="0.25">
      <c r="C874" s="102"/>
      <c r="D874" s="102"/>
      <c r="E874" s="102"/>
      <c r="F874" s="105"/>
    </row>
    <row r="875" spans="3:6" ht="13.5" thickBot="1" x14ac:dyDescent="0.25">
      <c r="C875" s="102"/>
      <c r="D875" s="102"/>
      <c r="E875" s="102"/>
      <c r="F875" s="105"/>
    </row>
    <row r="876" spans="3:6" ht="13.5" thickBot="1" x14ac:dyDescent="0.25">
      <c r="C876" s="102"/>
      <c r="D876" s="102"/>
      <c r="E876" s="102"/>
      <c r="F876" s="105"/>
    </row>
    <row r="877" spans="3:6" ht="13.5" thickBot="1" x14ac:dyDescent="0.25">
      <c r="C877" s="102"/>
      <c r="D877" s="102"/>
      <c r="E877" s="102"/>
      <c r="F877" s="105"/>
    </row>
    <row r="878" spans="3:6" ht="13.5" thickBot="1" x14ac:dyDescent="0.25">
      <c r="C878" s="102"/>
      <c r="D878" s="102"/>
      <c r="E878" s="102"/>
      <c r="F878" s="105"/>
    </row>
    <row r="879" spans="3:6" ht="13.5" thickBot="1" x14ac:dyDescent="0.25">
      <c r="C879" s="102"/>
      <c r="D879" s="102"/>
      <c r="E879" s="102"/>
      <c r="F879" s="105"/>
    </row>
    <row r="880" spans="3:6" ht="13.5" thickBot="1" x14ac:dyDescent="0.25">
      <c r="C880" s="102"/>
      <c r="D880" s="102"/>
      <c r="E880" s="102"/>
      <c r="F880" s="105"/>
    </row>
    <row r="881" spans="3:6" ht="13.5" thickBot="1" x14ac:dyDescent="0.25">
      <c r="C881" s="102"/>
      <c r="D881" s="102"/>
      <c r="E881" s="102"/>
      <c r="F881" s="105"/>
    </row>
    <row r="882" spans="3:6" ht="13.5" thickBot="1" x14ac:dyDescent="0.25">
      <c r="C882" s="102"/>
      <c r="D882" s="102"/>
      <c r="E882" s="102"/>
      <c r="F882" s="105"/>
    </row>
    <row r="883" spans="3:6" ht="13.5" thickBot="1" x14ac:dyDescent="0.25">
      <c r="C883" s="102"/>
      <c r="D883" s="102"/>
      <c r="E883" s="102"/>
      <c r="F883" s="105"/>
    </row>
    <row r="884" spans="3:6" ht="13.5" thickBot="1" x14ac:dyDescent="0.25">
      <c r="C884" s="102"/>
      <c r="D884" s="102"/>
      <c r="E884" s="102"/>
      <c r="F884" s="105"/>
    </row>
    <row r="885" spans="3:6" ht="13.5" thickBot="1" x14ac:dyDescent="0.25">
      <c r="C885" s="102"/>
      <c r="D885" s="102"/>
      <c r="E885" s="102"/>
      <c r="F885" s="105"/>
    </row>
    <row r="886" spans="3:6" ht="13.5" thickBot="1" x14ac:dyDescent="0.25">
      <c r="C886" s="102"/>
      <c r="D886" s="102"/>
      <c r="E886" s="102"/>
      <c r="F886" s="105"/>
    </row>
    <row r="887" spans="3:6" ht="13.5" thickBot="1" x14ac:dyDescent="0.25">
      <c r="C887" s="102"/>
      <c r="D887" s="102"/>
      <c r="E887" s="102"/>
      <c r="F887" s="105"/>
    </row>
    <row r="888" spans="3:6" ht="13.5" thickBot="1" x14ac:dyDescent="0.25">
      <c r="C888" s="102"/>
      <c r="D888" s="102"/>
      <c r="E888" s="102"/>
      <c r="F888" s="105"/>
    </row>
    <row r="889" spans="3:6" ht="13.5" thickBot="1" x14ac:dyDescent="0.25">
      <c r="C889" s="102"/>
      <c r="D889" s="102"/>
      <c r="E889" s="102"/>
      <c r="F889" s="105"/>
    </row>
    <row r="890" spans="3:6" ht="13.5" thickBot="1" x14ac:dyDescent="0.25">
      <c r="C890" s="102"/>
      <c r="D890" s="102"/>
      <c r="E890" s="102"/>
      <c r="F890" s="105"/>
    </row>
    <row r="891" spans="3:6" ht="13.5" thickBot="1" x14ac:dyDescent="0.25">
      <c r="C891" s="102"/>
      <c r="D891" s="102"/>
      <c r="E891" s="102"/>
      <c r="F891" s="105"/>
    </row>
    <row r="892" spans="3:6" ht="13.5" thickBot="1" x14ac:dyDescent="0.25">
      <c r="C892" s="102"/>
      <c r="D892" s="102"/>
      <c r="E892" s="102"/>
      <c r="F892" s="105"/>
    </row>
    <row r="893" spans="3:6" ht="13.5" thickBot="1" x14ac:dyDescent="0.25">
      <c r="C893" s="102"/>
      <c r="D893" s="102"/>
      <c r="E893" s="102"/>
      <c r="F893" s="105"/>
    </row>
    <row r="894" spans="3:6" ht="13.5" thickBot="1" x14ac:dyDescent="0.25">
      <c r="C894" s="102"/>
      <c r="D894" s="102"/>
      <c r="E894" s="102"/>
      <c r="F894" s="105"/>
    </row>
    <row r="895" spans="3:6" ht="13.5" thickBot="1" x14ac:dyDescent="0.25">
      <c r="C895" s="102"/>
      <c r="D895" s="102"/>
      <c r="E895" s="102"/>
      <c r="F895" s="105"/>
    </row>
    <row r="896" spans="3:6" ht="13.5" thickBot="1" x14ac:dyDescent="0.25">
      <c r="C896" s="102"/>
      <c r="D896" s="102"/>
      <c r="E896" s="102"/>
      <c r="F896" s="105"/>
    </row>
    <row r="897" spans="3:6" ht="13.5" thickBot="1" x14ac:dyDescent="0.25">
      <c r="C897" s="102"/>
      <c r="D897" s="102"/>
      <c r="E897" s="102"/>
      <c r="F897" s="105"/>
    </row>
    <row r="898" spans="3:6" ht="13.5" thickBot="1" x14ac:dyDescent="0.25">
      <c r="C898" s="102"/>
      <c r="D898" s="102"/>
      <c r="E898" s="102"/>
      <c r="F898" s="105"/>
    </row>
    <row r="899" spans="3:6" ht="13.5" thickBot="1" x14ac:dyDescent="0.25">
      <c r="C899" s="102"/>
      <c r="D899" s="102"/>
      <c r="E899" s="102"/>
      <c r="F899" s="105"/>
    </row>
    <row r="900" spans="3:6" ht="13.5" thickBot="1" x14ac:dyDescent="0.25">
      <c r="C900" s="102"/>
      <c r="D900" s="102"/>
      <c r="E900" s="102"/>
      <c r="F900" s="105"/>
    </row>
    <row r="901" spans="3:6" ht="13.5" thickBot="1" x14ac:dyDescent="0.25">
      <c r="C901" s="102"/>
      <c r="D901" s="102"/>
      <c r="E901" s="102"/>
      <c r="F901" s="105"/>
    </row>
    <row r="902" spans="3:6" ht="13.5" thickBot="1" x14ac:dyDescent="0.25">
      <c r="C902" s="102"/>
      <c r="D902" s="102"/>
      <c r="E902" s="102"/>
      <c r="F902" s="105"/>
    </row>
    <row r="903" spans="3:6" ht="13.5" thickBot="1" x14ac:dyDescent="0.25">
      <c r="C903" s="102"/>
      <c r="D903" s="102"/>
      <c r="E903" s="102"/>
      <c r="F903" s="105"/>
    </row>
    <row r="904" spans="3:6" ht="13.5" thickBot="1" x14ac:dyDescent="0.25">
      <c r="C904" s="102"/>
      <c r="D904" s="102"/>
      <c r="E904" s="102"/>
      <c r="F904" s="105"/>
    </row>
    <row r="905" spans="3:6" ht="13.5" thickBot="1" x14ac:dyDescent="0.25">
      <c r="C905" s="102"/>
      <c r="D905" s="102"/>
      <c r="E905" s="102"/>
      <c r="F905" s="105"/>
    </row>
    <row r="906" spans="3:6" ht="13.5" thickBot="1" x14ac:dyDescent="0.25">
      <c r="C906" s="102"/>
      <c r="D906" s="102"/>
      <c r="E906" s="102"/>
      <c r="F906" s="105"/>
    </row>
    <row r="907" spans="3:6" ht="13.5" thickBot="1" x14ac:dyDescent="0.25">
      <c r="C907" s="102"/>
      <c r="D907" s="102"/>
      <c r="E907" s="102"/>
      <c r="F907" s="105"/>
    </row>
    <row r="908" spans="3:6" ht="13.5" thickBot="1" x14ac:dyDescent="0.25">
      <c r="C908" s="102"/>
      <c r="D908" s="102"/>
      <c r="E908" s="102"/>
      <c r="F908" s="105"/>
    </row>
    <row r="909" spans="3:6" ht="13.5" thickBot="1" x14ac:dyDescent="0.25">
      <c r="C909" s="102"/>
      <c r="D909" s="102"/>
      <c r="E909" s="102"/>
      <c r="F909" s="105"/>
    </row>
    <row r="910" spans="3:6" ht="13.5" thickBot="1" x14ac:dyDescent="0.25">
      <c r="C910" s="102"/>
      <c r="D910" s="102"/>
      <c r="E910" s="102"/>
      <c r="F910" s="105"/>
    </row>
    <row r="911" spans="3:6" ht="13.5" thickBot="1" x14ac:dyDescent="0.25">
      <c r="C911" s="102"/>
      <c r="D911" s="102"/>
      <c r="E911" s="102"/>
      <c r="F911" s="105"/>
    </row>
    <row r="912" spans="3:6" ht="13.5" thickBot="1" x14ac:dyDescent="0.25">
      <c r="C912" s="102"/>
      <c r="D912" s="102"/>
      <c r="E912" s="102"/>
      <c r="F912" s="105"/>
    </row>
    <row r="913" spans="3:6" ht="13.5" thickBot="1" x14ac:dyDescent="0.25">
      <c r="C913" s="102"/>
      <c r="D913" s="102"/>
      <c r="E913" s="102"/>
      <c r="F913" s="105"/>
    </row>
    <row r="914" spans="3:6" ht="13.5" thickBot="1" x14ac:dyDescent="0.25">
      <c r="C914" s="102"/>
      <c r="D914" s="102"/>
      <c r="E914" s="102"/>
      <c r="F914" s="105"/>
    </row>
    <row r="915" spans="3:6" ht="13.5" thickBot="1" x14ac:dyDescent="0.25">
      <c r="C915" s="102"/>
      <c r="D915" s="102"/>
      <c r="E915" s="102"/>
      <c r="F915" s="105"/>
    </row>
    <row r="916" spans="3:6" ht="13.5" thickBot="1" x14ac:dyDescent="0.25">
      <c r="C916" s="102"/>
      <c r="D916" s="102"/>
      <c r="E916" s="102"/>
      <c r="F916" s="105"/>
    </row>
    <row r="917" spans="3:6" ht="13.5" thickBot="1" x14ac:dyDescent="0.25">
      <c r="C917" s="102"/>
      <c r="D917" s="102"/>
      <c r="E917" s="102"/>
      <c r="F917" s="105"/>
    </row>
    <row r="918" spans="3:6" ht="13.5" thickBot="1" x14ac:dyDescent="0.25">
      <c r="C918" s="102"/>
      <c r="D918" s="102"/>
      <c r="E918" s="102"/>
      <c r="F918" s="105"/>
    </row>
    <row r="919" spans="3:6" ht="13.5" thickBot="1" x14ac:dyDescent="0.25">
      <c r="C919" s="102"/>
      <c r="D919" s="102"/>
      <c r="E919" s="102"/>
      <c r="F919" s="105"/>
    </row>
    <row r="920" spans="3:6" ht="13.5" thickBot="1" x14ac:dyDescent="0.25">
      <c r="C920" s="102"/>
      <c r="D920" s="102"/>
      <c r="E920" s="102"/>
      <c r="F920" s="105"/>
    </row>
    <row r="921" spans="3:6" ht="13.5" thickBot="1" x14ac:dyDescent="0.25">
      <c r="C921" s="102"/>
      <c r="D921" s="102"/>
      <c r="E921" s="102"/>
      <c r="F921" s="105"/>
    </row>
    <row r="922" spans="3:6" ht="13.5" thickBot="1" x14ac:dyDescent="0.25">
      <c r="C922" s="102"/>
      <c r="D922" s="102"/>
      <c r="E922" s="102"/>
      <c r="F922" s="105"/>
    </row>
    <row r="923" spans="3:6" ht="13.5" thickBot="1" x14ac:dyDescent="0.25">
      <c r="C923" s="102"/>
      <c r="D923" s="102"/>
      <c r="E923" s="102"/>
      <c r="F923" s="105"/>
    </row>
    <row r="924" spans="3:6" ht="13.5" thickBot="1" x14ac:dyDescent="0.25">
      <c r="C924" s="102"/>
      <c r="D924" s="102"/>
      <c r="E924" s="102"/>
      <c r="F924" s="105"/>
    </row>
    <row r="925" spans="3:6" ht="13.5" thickBot="1" x14ac:dyDescent="0.25">
      <c r="C925" s="102"/>
      <c r="D925" s="102"/>
      <c r="E925" s="102"/>
      <c r="F925" s="105"/>
    </row>
    <row r="926" spans="3:6" ht="13.5" thickBot="1" x14ac:dyDescent="0.25">
      <c r="C926" s="102"/>
      <c r="D926" s="102"/>
      <c r="E926" s="102"/>
      <c r="F926" s="105"/>
    </row>
    <row r="927" spans="3:6" ht="13.5" thickBot="1" x14ac:dyDescent="0.25">
      <c r="C927" s="102"/>
      <c r="D927" s="102"/>
      <c r="E927" s="102"/>
      <c r="F927" s="105"/>
    </row>
    <row r="928" spans="3:6" ht="13.5" thickBot="1" x14ac:dyDescent="0.25">
      <c r="C928" s="102"/>
      <c r="D928" s="102"/>
      <c r="E928" s="102"/>
      <c r="F928" s="105"/>
    </row>
    <row r="929" spans="3:6" ht="13.5" thickBot="1" x14ac:dyDescent="0.25">
      <c r="C929" s="102"/>
      <c r="D929" s="102"/>
      <c r="E929" s="102"/>
      <c r="F929" s="105"/>
    </row>
    <row r="930" spans="3:6" ht="13.5" thickBot="1" x14ac:dyDescent="0.25">
      <c r="C930" s="102"/>
      <c r="D930" s="102"/>
      <c r="E930" s="102"/>
      <c r="F930" s="105"/>
    </row>
    <row r="931" spans="3:6" ht="13.5" thickBot="1" x14ac:dyDescent="0.25">
      <c r="C931" s="102"/>
      <c r="D931" s="102"/>
      <c r="E931" s="102"/>
      <c r="F931" s="105"/>
    </row>
    <row r="932" spans="3:6" ht="13.5" thickBot="1" x14ac:dyDescent="0.25">
      <c r="C932" s="102"/>
      <c r="D932" s="102"/>
      <c r="E932" s="102"/>
      <c r="F932" s="105"/>
    </row>
    <row r="933" spans="3:6" ht="13.5" thickBot="1" x14ac:dyDescent="0.25">
      <c r="C933" s="102"/>
      <c r="D933" s="102"/>
      <c r="E933" s="102"/>
      <c r="F933" s="105"/>
    </row>
    <row r="934" spans="3:6" ht="13.5" thickBot="1" x14ac:dyDescent="0.25">
      <c r="C934" s="102"/>
      <c r="D934" s="102"/>
      <c r="E934" s="102"/>
      <c r="F934" s="105"/>
    </row>
    <row r="935" spans="3:6" ht="13.5" thickBot="1" x14ac:dyDescent="0.25">
      <c r="C935" s="102"/>
      <c r="D935" s="102"/>
      <c r="E935" s="102"/>
      <c r="F935" s="105"/>
    </row>
    <row r="936" spans="3:6" ht="13.5" thickBot="1" x14ac:dyDescent="0.25">
      <c r="C936" s="102"/>
      <c r="D936" s="102"/>
      <c r="E936" s="102"/>
      <c r="F936" s="105"/>
    </row>
    <row r="937" spans="3:6" ht="13.5" thickBot="1" x14ac:dyDescent="0.25">
      <c r="C937" s="102"/>
      <c r="D937" s="102"/>
      <c r="E937" s="102"/>
      <c r="F937" s="105"/>
    </row>
    <row r="938" spans="3:6" ht="13.5" thickBot="1" x14ac:dyDescent="0.25">
      <c r="C938" s="102"/>
      <c r="D938" s="102"/>
      <c r="E938" s="102"/>
      <c r="F938" s="105"/>
    </row>
    <row r="939" spans="3:6" ht="13.5" thickBot="1" x14ac:dyDescent="0.25">
      <c r="C939" s="102"/>
      <c r="D939" s="102"/>
      <c r="E939" s="102"/>
      <c r="F939" s="105"/>
    </row>
  </sheetData>
  <phoneticPr fontId="3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EMR 수집</vt:lpstr>
      <vt:lpstr>baseline</vt:lpstr>
      <vt:lpstr>fu1</vt:lpstr>
      <vt:lpstr>fu2</vt:lpstr>
      <vt:lpstr>Query</vt:lpstr>
      <vt:lpstr>Exception</vt:lpstr>
      <vt:lpstr>Query_Rules</vt:lpstr>
      <vt:lpstr>PartB_Wide</vt:lpstr>
      <vt:lpstr>part B 변수목록 수정 - 송모세 검토</vt:lpstr>
      <vt:lpstr>part B 변수목록 수정_최종본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진주혜</cp:lastModifiedBy>
  <dcterms:modified xsi:type="dcterms:W3CDTF">2026-09-30T10:17:17Z</dcterms:modified>
</cp:coreProperties>
</file>